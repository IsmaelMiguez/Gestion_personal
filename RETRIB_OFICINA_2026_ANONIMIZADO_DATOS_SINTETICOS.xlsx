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featurePropertyBag/featurePropertyBag.xml" ContentType="application/vnd.ms-excel.featurepropertybag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\\wsl.localhost\Ubuntu-24.04\home\zeugim\ProyectosPropios\Gestion_personal\"/>
    </mc:Choice>
  </mc:AlternateContent>
  <xr:revisionPtr revIDLastSave="0" documentId="13_ncr:1_{D9D30B9E-E556-4A08-98B5-47AFDDC80BD6}" xr6:coauthVersionLast="47" xr6:coauthVersionMax="47" xr10:uidLastSave="{00000000-0000-0000-0000-000000000000}"/>
  <bookViews>
    <workbookView xWindow="43200" yWindow="-1980" windowWidth="14400" windowHeight="15600" activeTab="1" xr2:uid="{00000000-000D-0000-FFFF-FFFF00000000}"/>
  </bookViews>
  <sheets>
    <sheet name="CONFIG_SS_2026" sheetId="18" r:id="rId1"/>
    <sheet name="EMPLEADOS" sheetId="19" r:id="rId2"/>
    <sheet name="VARIABLES_2026" sheetId="20" r:id="rId3"/>
    <sheet name="CALCULO_2026" sheetId="21" r:id="rId4"/>
    <sheet name="BONUS_2026" sheetId="48" r:id="rId5"/>
    <sheet name="F_TRABAJADOR_1" sheetId="22" r:id="rId6"/>
    <sheet name="F_TRABAJADOR_2" sheetId="23" r:id="rId7"/>
    <sheet name="F_TRABAJADOR_3" sheetId="24" r:id="rId8"/>
    <sheet name="F_TRABAJADOR_4" sheetId="25" r:id="rId9"/>
    <sheet name="F_TRABAJADOR_5" sheetId="26" r:id="rId10"/>
    <sheet name="F_TRABAJADOR_6" sheetId="27" r:id="rId11"/>
    <sheet name="F_TRABAJADOR_7" sheetId="28" r:id="rId12"/>
    <sheet name="F_TRABAJADOR_8" sheetId="29" r:id="rId13"/>
    <sheet name="F_TRABAJADOR_9" sheetId="30" r:id="rId14"/>
    <sheet name="F_TRABAJADOR_10" sheetId="31" r:id="rId15"/>
    <sheet name="F_TRABAJADOR_11" sheetId="32" r:id="rId16"/>
    <sheet name="F_TRABAJADOR_12" sheetId="33" r:id="rId17"/>
    <sheet name="F_TRABAJADOR_13" sheetId="34" r:id="rId18"/>
    <sheet name="F_TRABAJADOR_14" sheetId="35" r:id="rId19"/>
    <sheet name="F_TRABAJADOR_15" sheetId="36" r:id="rId20"/>
    <sheet name="F_TRABAJADOR_16" sheetId="37" r:id="rId21"/>
    <sheet name="F_TRABAJADOR_17" sheetId="38" r:id="rId22"/>
    <sheet name="F_TRABAJADOR_18" sheetId="39" r:id="rId23"/>
    <sheet name="F_TRABAJADOR_19" sheetId="40" r:id="rId24"/>
    <sheet name="F_TRABAJADOR_20" sheetId="41" r:id="rId25"/>
    <sheet name="F_TRABAJADOR_21" sheetId="42" r:id="rId26"/>
    <sheet name="F_TRABAJADOR_22" sheetId="43" r:id="rId27"/>
    <sheet name="F_TRABAJADOR_23" sheetId="44" r:id="rId28"/>
    <sheet name="F_TRABAJADOR_24" sheetId="45" r:id="rId29"/>
    <sheet name="EMPRESA_INSS_2026" sheetId="46" r:id="rId30"/>
    <sheet name="RESUMEN_ANUAL_INSS" sheetId="47" r:id="rId3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48" i="45" l="1"/>
  <c r="J48" i="45"/>
  <c r="I48" i="45"/>
  <c r="H48" i="45"/>
  <c r="G48" i="45"/>
  <c r="F48" i="45"/>
  <c r="E48" i="45"/>
  <c r="D48" i="45"/>
  <c r="C48" i="45"/>
  <c r="B48" i="45"/>
  <c r="K48" i="44"/>
  <c r="J48" i="44"/>
  <c r="I48" i="44"/>
  <c r="H48" i="44"/>
  <c r="G48" i="44"/>
  <c r="F48" i="44"/>
  <c r="E48" i="44"/>
  <c r="D48" i="44"/>
  <c r="C48" i="44"/>
  <c r="B48" i="44"/>
  <c r="K48" i="43"/>
  <c r="J48" i="43"/>
  <c r="I48" i="43"/>
  <c r="H48" i="43"/>
  <c r="G48" i="43"/>
  <c r="F48" i="43"/>
  <c r="E48" i="43"/>
  <c r="D48" i="43"/>
  <c r="C48" i="43"/>
  <c r="B48" i="43"/>
  <c r="K48" i="42"/>
  <c r="J48" i="42"/>
  <c r="I48" i="42"/>
  <c r="H48" i="42"/>
  <c r="G48" i="42"/>
  <c r="F48" i="42"/>
  <c r="E48" i="42"/>
  <c r="D48" i="42"/>
  <c r="C48" i="42"/>
  <c r="B48" i="42"/>
  <c r="K48" i="41"/>
  <c r="J48" i="41"/>
  <c r="I48" i="41"/>
  <c r="H48" i="41"/>
  <c r="G48" i="41"/>
  <c r="F48" i="41"/>
  <c r="E48" i="41"/>
  <c r="D48" i="41"/>
  <c r="C48" i="41"/>
  <c r="B48" i="41"/>
  <c r="K48" i="40"/>
  <c r="J48" i="40"/>
  <c r="I48" i="40"/>
  <c r="H48" i="40"/>
  <c r="G48" i="40"/>
  <c r="F48" i="40"/>
  <c r="E48" i="40"/>
  <c r="D48" i="40"/>
  <c r="C48" i="40"/>
  <c r="B48" i="40"/>
  <c r="K48" i="39"/>
  <c r="J48" i="39"/>
  <c r="I48" i="39"/>
  <c r="H48" i="39"/>
  <c r="G48" i="39"/>
  <c r="F48" i="39"/>
  <c r="E48" i="39"/>
  <c r="D48" i="39"/>
  <c r="C48" i="39"/>
  <c r="B48" i="39"/>
  <c r="K48" i="38"/>
  <c r="J48" i="38"/>
  <c r="I48" i="38"/>
  <c r="H48" i="38"/>
  <c r="G48" i="38"/>
  <c r="F48" i="38"/>
  <c r="E48" i="38"/>
  <c r="D48" i="38"/>
  <c r="C48" i="38"/>
  <c r="B48" i="38"/>
  <c r="K48" i="37"/>
  <c r="J48" i="37"/>
  <c r="I48" i="37"/>
  <c r="H48" i="37"/>
  <c r="G48" i="37"/>
  <c r="F48" i="37"/>
  <c r="E48" i="37"/>
  <c r="D48" i="37"/>
  <c r="C48" i="37"/>
  <c r="B48" i="37"/>
  <c r="K48" i="36"/>
  <c r="J48" i="36"/>
  <c r="I48" i="36"/>
  <c r="H48" i="36"/>
  <c r="G48" i="36"/>
  <c r="F48" i="36"/>
  <c r="E48" i="36"/>
  <c r="D48" i="36"/>
  <c r="C48" i="36"/>
  <c r="B48" i="36"/>
  <c r="K48" i="35"/>
  <c r="J48" i="35"/>
  <c r="I48" i="35"/>
  <c r="H48" i="35"/>
  <c r="G48" i="35"/>
  <c r="F48" i="35"/>
  <c r="E48" i="35"/>
  <c r="D48" i="35"/>
  <c r="C48" i="35"/>
  <c r="B48" i="35"/>
  <c r="K48" i="34"/>
  <c r="J48" i="34"/>
  <c r="I48" i="34"/>
  <c r="H48" i="34"/>
  <c r="G48" i="34"/>
  <c r="F48" i="34"/>
  <c r="E48" i="34"/>
  <c r="D48" i="34"/>
  <c r="C48" i="34"/>
  <c r="B48" i="34"/>
  <c r="K48" i="33"/>
  <c r="J48" i="33"/>
  <c r="I48" i="33"/>
  <c r="H48" i="33"/>
  <c r="G48" i="33"/>
  <c r="F48" i="33"/>
  <c r="E48" i="33"/>
  <c r="D48" i="33"/>
  <c r="C48" i="33"/>
  <c r="B48" i="33"/>
  <c r="K48" i="32"/>
  <c r="J48" i="32"/>
  <c r="I48" i="32"/>
  <c r="H48" i="32"/>
  <c r="G48" i="32"/>
  <c r="F48" i="32"/>
  <c r="E48" i="32"/>
  <c r="D48" i="32"/>
  <c r="C48" i="32"/>
  <c r="B48" i="32"/>
  <c r="K48" i="31"/>
  <c r="J48" i="31"/>
  <c r="I48" i="31"/>
  <c r="H48" i="31"/>
  <c r="G48" i="31"/>
  <c r="F48" i="31"/>
  <c r="E48" i="31"/>
  <c r="D48" i="31"/>
  <c r="C48" i="31"/>
  <c r="B48" i="31"/>
  <c r="K48" i="30"/>
  <c r="J48" i="30"/>
  <c r="I48" i="30"/>
  <c r="H48" i="30"/>
  <c r="G48" i="30"/>
  <c r="F48" i="30"/>
  <c r="E48" i="30"/>
  <c r="D48" i="30"/>
  <c r="C48" i="30"/>
  <c r="B48" i="30"/>
  <c r="K48" i="29"/>
  <c r="J48" i="29"/>
  <c r="I48" i="29"/>
  <c r="H48" i="29"/>
  <c r="G48" i="29"/>
  <c r="F48" i="29"/>
  <c r="E48" i="29"/>
  <c r="D48" i="29"/>
  <c r="C48" i="29"/>
  <c r="B48" i="29"/>
  <c r="K48" i="28"/>
  <c r="J48" i="28"/>
  <c r="I48" i="28"/>
  <c r="H48" i="28"/>
  <c r="G48" i="28"/>
  <c r="F48" i="28"/>
  <c r="E48" i="28"/>
  <c r="D48" i="28"/>
  <c r="C48" i="28"/>
  <c r="B48" i="28"/>
  <c r="K48" i="27"/>
  <c r="J48" i="27"/>
  <c r="I48" i="27"/>
  <c r="H48" i="27"/>
  <c r="G48" i="27"/>
  <c r="F48" i="27"/>
  <c r="E48" i="27"/>
  <c r="D48" i="27"/>
  <c r="C48" i="27"/>
  <c r="B48" i="27"/>
  <c r="K48" i="26"/>
  <c r="J48" i="26"/>
  <c r="I48" i="26"/>
  <c r="H48" i="26"/>
  <c r="G48" i="26"/>
  <c r="F48" i="26"/>
  <c r="E48" i="26"/>
  <c r="D48" i="26"/>
  <c r="C48" i="26"/>
  <c r="B48" i="26"/>
  <c r="K48" i="25"/>
  <c r="J48" i="25"/>
  <c r="I48" i="25"/>
  <c r="H48" i="25"/>
  <c r="G48" i="25"/>
  <c r="F48" i="25"/>
  <c r="E48" i="25"/>
  <c r="D48" i="25"/>
  <c r="C48" i="25"/>
  <c r="B48" i="25"/>
  <c r="K48" i="24"/>
  <c r="J48" i="24"/>
  <c r="I48" i="24"/>
  <c r="H48" i="24"/>
  <c r="G48" i="24"/>
  <c r="F48" i="24"/>
  <c r="E48" i="24"/>
  <c r="D48" i="24"/>
  <c r="C48" i="24"/>
  <c r="B48" i="24"/>
  <c r="K48" i="23"/>
  <c r="J48" i="23"/>
  <c r="I48" i="23"/>
  <c r="H48" i="23"/>
  <c r="G48" i="23"/>
  <c r="F48" i="23"/>
  <c r="E48" i="23"/>
  <c r="D48" i="23"/>
  <c r="C48" i="23"/>
  <c r="B48" i="23"/>
  <c r="K48" i="22"/>
  <c r="J48" i="22"/>
  <c r="I48" i="22"/>
  <c r="H48" i="22"/>
  <c r="G48" i="22"/>
  <c r="F48" i="22"/>
  <c r="E48" i="22"/>
  <c r="D48" i="22"/>
  <c r="C48" i="22"/>
  <c r="B48" i="22"/>
  <c r="AT292" i="48"/>
  <c r="AQ292" i="48"/>
  <c r="AR292" i="48" s="1"/>
  <c r="AF292" i="48"/>
  <c r="AE292" i="48"/>
  <c r="V292" i="48"/>
  <c r="S292" i="48"/>
  <c r="P292" i="48"/>
  <c r="M292" i="48"/>
  <c r="J292" i="48"/>
  <c r="F292" i="48"/>
  <c r="AT291" i="48"/>
  <c r="AQ291" i="48"/>
  <c r="AR291" i="48" s="1"/>
  <c r="AF291" i="48"/>
  <c r="AE291" i="48"/>
  <c r="V291" i="48"/>
  <c r="S291" i="48"/>
  <c r="P291" i="48"/>
  <c r="M291" i="48"/>
  <c r="J291" i="48"/>
  <c r="F291" i="48"/>
  <c r="AT290" i="48"/>
  <c r="AR290" i="48"/>
  <c r="AQ290" i="48"/>
  <c r="AF290" i="48"/>
  <c r="AE290" i="48"/>
  <c r="V290" i="48"/>
  <c r="S290" i="48"/>
  <c r="P290" i="48"/>
  <c r="M290" i="48"/>
  <c r="J290" i="48"/>
  <c r="F290" i="48"/>
  <c r="AT289" i="48"/>
  <c r="AR289" i="48"/>
  <c r="AQ289" i="48"/>
  <c r="AF289" i="48"/>
  <c r="AE289" i="48"/>
  <c r="V289" i="48"/>
  <c r="S289" i="48"/>
  <c r="P289" i="48"/>
  <c r="M289" i="48"/>
  <c r="J289" i="48"/>
  <c r="F289" i="48"/>
  <c r="AT288" i="48"/>
  <c r="AQ288" i="48"/>
  <c r="AR288" i="48" s="1"/>
  <c r="AF288" i="48"/>
  <c r="AE288" i="48"/>
  <c r="V288" i="48"/>
  <c r="S288" i="48"/>
  <c r="P288" i="48"/>
  <c r="M288" i="48"/>
  <c r="J288" i="48"/>
  <c r="F288" i="48"/>
  <c r="AT287" i="48"/>
  <c r="AR287" i="48"/>
  <c r="AQ287" i="48"/>
  <c r="AF287" i="48"/>
  <c r="AS287" i="48" s="1"/>
  <c r="AE287" i="48"/>
  <c r="V287" i="48"/>
  <c r="S287" i="48"/>
  <c r="P287" i="48"/>
  <c r="M287" i="48"/>
  <c r="J287" i="48"/>
  <c r="F287" i="48"/>
  <c r="AT286" i="48"/>
  <c r="AQ286" i="48"/>
  <c r="AR286" i="48" s="1"/>
  <c r="AF286" i="48"/>
  <c r="AE286" i="48"/>
  <c r="V286" i="48"/>
  <c r="S286" i="48"/>
  <c r="P286" i="48"/>
  <c r="M286" i="48"/>
  <c r="J286" i="48"/>
  <c r="F286" i="48"/>
  <c r="AT285" i="48"/>
  <c r="AQ285" i="48"/>
  <c r="AR285" i="48" s="1"/>
  <c r="AF285" i="48"/>
  <c r="AS285" i="48" s="1"/>
  <c r="AE285" i="48"/>
  <c r="V285" i="48"/>
  <c r="S285" i="48"/>
  <c r="P285" i="48"/>
  <c r="M285" i="48"/>
  <c r="J285" i="48"/>
  <c r="F285" i="48"/>
  <c r="AT284" i="48"/>
  <c r="AR284" i="48"/>
  <c r="AQ284" i="48"/>
  <c r="AF284" i="48"/>
  <c r="AS284" i="48" s="1"/>
  <c r="AE284" i="48"/>
  <c r="V284" i="48"/>
  <c r="S284" i="48"/>
  <c r="P284" i="48"/>
  <c r="M284" i="48"/>
  <c r="J284" i="48"/>
  <c r="F284" i="48"/>
  <c r="AT283" i="48"/>
  <c r="AQ283" i="48"/>
  <c r="AR283" i="48" s="1"/>
  <c r="AF283" i="48"/>
  <c r="AE283" i="48"/>
  <c r="V283" i="48"/>
  <c r="S283" i="48"/>
  <c r="P283" i="48"/>
  <c r="M283" i="48"/>
  <c r="J283" i="48"/>
  <c r="F283" i="48"/>
  <c r="AT282" i="48"/>
  <c r="AR282" i="48"/>
  <c r="AQ282" i="48"/>
  <c r="AF282" i="48"/>
  <c r="AE282" i="48"/>
  <c r="V282" i="48"/>
  <c r="S282" i="48"/>
  <c r="P282" i="48"/>
  <c r="M282" i="48"/>
  <c r="J282" i="48"/>
  <c r="F282" i="48"/>
  <c r="AT281" i="48"/>
  <c r="AQ281" i="48"/>
  <c r="AR281" i="48" s="1"/>
  <c r="AF281" i="48"/>
  <c r="AE281" i="48"/>
  <c r="V281" i="48"/>
  <c r="S281" i="48"/>
  <c r="P281" i="48"/>
  <c r="M281" i="48"/>
  <c r="J281" i="48"/>
  <c r="F281" i="48"/>
  <c r="AQ280" i="48"/>
  <c r="AR280" i="48" s="1"/>
  <c r="AF280" i="48"/>
  <c r="AE280" i="48"/>
  <c r="V280" i="48"/>
  <c r="S280" i="48"/>
  <c r="P280" i="48"/>
  <c r="M280" i="48"/>
  <c r="J280" i="48"/>
  <c r="AT280" i="48" s="1"/>
  <c r="F280" i="48"/>
  <c r="AR279" i="48"/>
  <c r="AQ279" i="48"/>
  <c r="AF279" i="48"/>
  <c r="AE279" i="48"/>
  <c r="V279" i="48"/>
  <c r="S279" i="48"/>
  <c r="P279" i="48"/>
  <c r="M279" i="48"/>
  <c r="J279" i="48"/>
  <c r="AT279" i="48" s="1"/>
  <c r="F279" i="48"/>
  <c r="AR278" i="48"/>
  <c r="AQ278" i="48"/>
  <c r="AF278" i="48"/>
  <c r="AS278" i="48" s="1"/>
  <c r="AE278" i="48"/>
  <c r="V278" i="48"/>
  <c r="S278" i="48"/>
  <c r="P278" i="48"/>
  <c r="M278" i="48"/>
  <c r="J278" i="48"/>
  <c r="AT278" i="48" s="1"/>
  <c r="F278" i="48"/>
  <c r="AQ277" i="48"/>
  <c r="AR277" i="48" s="1"/>
  <c r="AF277" i="48"/>
  <c r="AE277" i="48"/>
  <c r="V277" i="48"/>
  <c r="S277" i="48"/>
  <c r="P277" i="48"/>
  <c r="M277" i="48"/>
  <c r="J277" i="48"/>
  <c r="AT277" i="48" s="1"/>
  <c r="F277" i="48"/>
  <c r="AR276" i="48"/>
  <c r="AQ276" i="48"/>
  <c r="AF276" i="48"/>
  <c r="AE276" i="48"/>
  <c r="V276" i="48"/>
  <c r="S276" i="48"/>
  <c r="P276" i="48"/>
  <c r="M276" i="48"/>
  <c r="J276" i="48"/>
  <c r="AT276" i="48" s="1"/>
  <c r="F276" i="48"/>
  <c r="AR275" i="48"/>
  <c r="AQ275" i="48"/>
  <c r="AF275" i="48"/>
  <c r="AE275" i="48"/>
  <c r="V275" i="48"/>
  <c r="S275" i="48"/>
  <c r="P275" i="48"/>
  <c r="M275" i="48"/>
  <c r="J275" i="48"/>
  <c r="AT275" i="48" s="1"/>
  <c r="F275" i="48"/>
  <c r="AR274" i="48"/>
  <c r="AQ274" i="48"/>
  <c r="AF274" i="48"/>
  <c r="AS274" i="48" s="1"/>
  <c r="AE274" i="48"/>
  <c r="V274" i="48"/>
  <c r="S274" i="48"/>
  <c r="P274" i="48"/>
  <c r="M274" i="48"/>
  <c r="J274" i="48"/>
  <c r="AT274" i="48" s="1"/>
  <c r="F274" i="48"/>
  <c r="AR273" i="48"/>
  <c r="AQ273" i="48"/>
  <c r="AF273" i="48"/>
  <c r="AE273" i="48"/>
  <c r="V273" i="48"/>
  <c r="S273" i="48"/>
  <c r="P273" i="48"/>
  <c r="M273" i="48"/>
  <c r="J273" i="48"/>
  <c r="AT273" i="48" s="1"/>
  <c r="F273" i="48"/>
  <c r="AR272" i="48"/>
  <c r="AQ272" i="48"/>
  <c r="AF272" i="48"/>
  <c r="AE272" i="48"/>
  <c r="V272" i="48"/>
  <c r="S272" i="48"/>
  <c r="P272" i="48"/>
  <c r="M272" i="48"/>
  <c r="J272" i="48"/>
  <c r="AT272" i="48" s="1"/>
  <c r="F272" i="48"/>
  <c r="AR271" i="48"/>
  <c r="AQ271" i="48"/>
  <c r="AF271" i="48"/>
  <c r="AS271" i="48" s="1"/>
  <c r="AE271" i="48"/>
  <c r="V271" i="48"/>
  <c r="S271" i="48"/>
  <c r="P271" i="48"/>
  <c r="M271" i="48"/>
  <c r="J271" i="48"/>
  <c r="AT271" i="48" s="1"/>
  <c r="F271" i="48"/>
  <c r="AR270" i="48"/>
  <c r="AQ270" i="48"/>
  <c r="AF270" i="48"/>
  <c r="AE270" i="48"/>
  <c r="V270" i="48"/>
  <c r="S270" i="48"/>
  <c r="P270" i="48"/>
  <c r="M270" i="48"/>
  <c r="J270" i="48"/>
  <c r="AT270" i="48" s="1"/>
  <c r="F270" i="48"/>
  <c r="AR269" i="48"/>
  <c r="AQ269" i="48"/>
  <c r="AF269" i="48"/>
  <c r="AE269" i="48"/>
  <c r="V269" i="48"/>
  <c r="S269" i="48"/>
  <c r="P269" i="48"/>
  <c r="M269" i="48"/>
  <c r="J269" i="48"/>
  <c r="AT269" i="48" s="1"/>
  <c r="F269" i="48"/>
  <c r="AT268" i="48"/>
  <c r="AQ268" i="48"/>
  <c r="AR268" i="48" s="1"/>
  <c r="AF268" i="48"/>
  <c r="AE268" i="48"/>
  <c r="V268" i="48"/>
  <c r="S268" i="48"/>
  <c r="P268" i="48"/>
  <c r="M268" i="48"/>
  <c r="J268" i="48"/>
  <c r="F268" i="48"/>
  <c r="AT267" i="48"/>
  <c r="AR267" i="48"/>
  <c r="AQ267" i="48"/>
  <c r="AF267" i="48"/>
  <c r="AS267" i="48" s="1"/>
  <c r="AE267" i="48"/>
  <c r="V267" i="48"/>
  <c r="S267" i="48"/>
  <c r="P267" i="48"/>
  <c r="M267" i="48"/>
  <c r="J267" i="48"/>
  <c r="F267" i="48"/>
  <c r="AT266" i="48"/>
  <c r="AR266" i="48"/>
  <c r="AQ266" i="48"/>
  <c r="AF266" i="48"/>
  <c r="AE266" i="48"/>
  <c r="V266" i="48"/>
  <c r="S266" i="48"/>
  <c r="P266" i="48"/>
  <c r="M266" i="48"/>
  <c r="J266" i="48"/>
  <c r="F266" i="48"/>
  <c r="AT265" i="48"/>
  <c r="AR265" i="48"/>
  <c r="AQ265" i="48"/>
  <c r="AF265" i="48"/>
  <c r="AE265" i="48"/>
  <c r="V265" i="48"/>
  <c r="S265" i="48"/>
  <c r="P265" i="48"/>
  <c r="M265" i="48"/>
  <c r="J265" i="48"/>
  <c r="F265" i="48"/>
  <c r="AT264" i="48"/>
  <c r="AQ264" i="48"/>
  <c r="AR264" i="48" s="1"/>
  <c r="AF264" i="48"/>
  <c r="AE264" i="48"/>
  <c r="V264" i="48"/>
  <c r="S264" i="48"/>
  <c r="P264" i="48"/>
  <c r="M264" i="48"/>
  <c r="J264" i="48"/>
  <c r="F264" i="48"/>
  <c r="AT263" i="48"/>
  <c r="AR263" i="48"/>
  <c r="AQ263" i="48"/>
  <c r="AF263" i="48"/>
  <c r="AS263" i="48" s="1"/>
  <c r="AE263" i="48"/>
  <c r="V263" i="48"/>
  <c r="S263" i="48"/>
  <c r="P263" i="48"/>
  <c r="M263" i="48"/>
  <c r="J263" i="48"/>
  <c r="F263" i="48"/>
  <c r="AT262" i="48"/>
  <c r="AQ262" i="48"/>
  <c r="AR262" i="48" s="1"/>
  <c r="AF262" i="48"/>
  <c r="AE262" i="48"/>
  <c r="V262" i="48"/>
  <c r="S262" i="48"/>
  <c r="P262" i="48"/>
  <c r="M262" i="48"/>
  <c r="J262" i="48"/>
  <c r="F262" i="48"/>
  <c r="AT261" i="48"/>
  <c r="AQ261" i="48"/>
  <c r="AR261" i="48" s="1"/>
  <c r="AF261" i="48"/>
  <c r="AE261" i="48"/>
  <c r="V261" i="48"/>
  <c r="S261" i="48"/>
  <c r="P261" i="48"/>
  <c r="M261" i="48"/>
  <c r="J261" i="48"/>
  <c r="F261" i="48"/>
  <c r="AT260" i="48"/>
  <c r="AR260" i="48"/>
  <c r="AQ260" i="48"/>
  <c r="AF260" i="48"/>
  <c r="AE260" i="48"/>
  <c r="V260" i="48"/>
  <c r="S260" i="48"/>
  <c r="P260" i="48"/>
  <c r="M260" i="48"/>
  <c r="J260" i="48"/>
  <c r="F260" i="48"/>
  <c r="AT259" i="48"/>
  <c r="AR259" i="48"/>
  <c r="AQ259" i="48"/>
  <c r="AF259" i="48"/>
  <c r="AE259" i="48"/>
  <c r="V259" i="48"/>
  <c r="S259" i="48"/>
  <c r="P259" i="48"/>
  <c r="M259" i="48"/>
  <c r="J259" i="48"/>
  <c r="F259" i="48"/>
  <c r="AT258" i="48"/>
  <c r="AR258" i="48"/>
  <c r="AQ258" i="48"/>
  <c r="AF258" i="48"/>
  <c r="AE258" i="48"/>
  <c r="V258" i="48"/>
  <c r="S258" i="48"/>
  <c r="P258" i="48"/>
  <c r="M258" i="48"/>
  <c r="J258" i="48"/>
  <c r="F258" i="48"/>
  <c r="AT257" i="48"/>
  <c r="AR257" i="48"/>
  <c r="AQ257" i="48"/>
  <c r="AF257" i="48"/>
  <c r="AE257" i="48"/>
  <c r="V257" i="48"/>
  <c r="S257" i="48"/>
  <c r="P257" i="48"/>
  <c r="M257" i="48"/>
  <c r="J257" i="48"/>
  <c r="F257" i="48"/>
  <c r="AT256" i="48"/>
  <c r="AQ256" i="48"/>
  <c r="AR256" i="48" s="1"/>
  <c r="AF256" i="48"/>
  <c r="AE256" i="48"/>
  <c r="V256" i="48"/>
  <c r="S256" i="48"/>
  <c r="P256" i="48"/>
  <c r="M256" i="48"/>
  <c r="J256" i="48"/>
  <c r="F256" i="48"/>
  <c r="AT255" i="48"/>
  <c r="AR255" i="48"/>
  <c r="AQ255" i="48"/>
  <c r="AF255" i="48"/>
  <c r="AS255" i="48" s="1"/>
  <c r="AE255" i="48"/>
  <c r="V255" i="48"/>
  <c r="S255" i="48"/>
  <c r="P255" i="48"/>
  <c r="M255" i="48"/>
  <c r="J255" i="48"/>
  <c r="F255" i="48"/>
  <c r="AT254" i="48"/>
  <c r="AR254" i="48"/>
  <c r="AQ254" i="48"/>
  <c r="AF254" i="48"/>
  <c r="AE254" i="48"/>
  <c r="V254" i="48"/>
  <c r="S254" i="48"/>
  <c r="P254" i="48"/>
  <c r="M254" i="48"/>
  <c r="J254" i="48"/>
  <c r="F254" i="48"/>
  <c r="AT253" i="48"/>
  <c r="AR253" i="48"/>
  <c r="AQ253" i="48"/>
  <c r="AF253" i="48"/>
  <c r="AE253" i="48"/>
  <c r="V253" i="48"/>
  <c r="S253" i="48"/>
  <c r="P253" i="48"/>
  <c r="M253" i="48"/>
  <c r="J253" i="48"/>
  <c r="F253" i="48"/>
  <c r="AT252" i="48"/>
  <c r="AQ252" i="48"/>
  <c r="AR252" i="48" s="1"/>
  <c r="AF252" i="48"/>
  <c r="AS252" i="48" s="1"/>
  <c r="AE252" i="48"/>
  <c r="V252" i="48"/>
  <c r="S252" i="48"/>
  <c r="P252" i="48"/>
  <c r="M252" i="48"/>
  <c r="J252" i="48"/>
  <c r="F252" i="48"/>
  <c r="AT251" i="48"/>
  <c r="AR251" i="48"/>
  <c r="AQ251" i="48"/>
  <c r="AF251" i="48"/>
  <c r="AS251" i="48" s="1"/>
  <c r="AE251" i="48"/>
  <c r="V251" i="48"/>
  <c r="S251" i="48"/>
  <c r="P251" i="48"/>
  <c r="M251" i="48"/>
  <c r="J251" i="48"/>
  <c r="F251" i="48"/>
  <c r="AT250" i="48"/>
  <c r="AQ250" i="48"/>
  <c r="AR250" i="48" s="1"/>
  <c r="AF250" i="48"/>
  <c r="AE250" i="48"/>
  <c r="V250" i="48"/>
  <c r="S250" i="48"/>
  <c r="P250" i="48"/>
  <c r="M250" i="48"/>
  <c r="J250" i="48"/>
  <c r="F250" i="48"/>
  <c r="AT249" i="48"/>
  <c r="AQ249" i="48"/>
  <c r="AR249" i="48" s="1"/>
  <c r="AF249" i="48"/>
  <c r="AS249" i="48" s="1"/>
  <c r="AE249" i="48"/>
  <c r="V249" i="48"/>
  <c r="S249" i="48"/>
  <c r="P249" i="48"/>
  <c r="M249" i="48"/>
  <c r="J249" i="48"/>
  <c r="F249" i="48"/>
  <c r="AT248" i="48"/>
  <c r="AR248" i="48"/>
  <c r="AQ248" i="48"/>
  <c r="AF248" i="48"/>
  <c r="AE248" i="48"/>
  <c r="V248" i="48"/>
  <c r="S248" i="48"/>
  <c r="P248" i="48"/>
  <c r="M248" i="48"/>
  <c r="J248" i="48"/>
  <c r="F248" i="48"/>
  <c r="AT247" i="48"/>
  <c r="AR247" i="48"/>
  <c r="AQ247" i="48"/>
  <c r="AF247" i="48"/>
  <c r="AE247" i="48"/>
  <c r="V247" i="48"/>
  <c r="S247" i="48"/>
  <c r="P247" i="48"/>
  <c r="M247" i="48"/>
  <c r="J247" i="48"/>
  <c r="F247" i="48"/>
  <c r="AT246" i="48"/>
  <c r="AR246" i="48"/>
  <c r="AQ246" i="48"/>
  <c r="AF246" i="48"/>
  <c r="AE246" i="48"/>
  <c r="V246" i="48"/>
  <c r="S246" i="48"/>
  <c r="P246" i="48"/>
  <c r="M246" i="48"/>
  <c r="J246" i="48"/>
  <c r="F246" i="48"/>
  <c r="AT245" i="48"/>
  <c r="AR245" i="48"/>
  <c r="AQ245" i="48"/>
  <c r="AF245" i="48"/>
  <c r="AE245" i="48"/>
  <c r="V245" i="48"/>
  <c r="S245" i="48"/>
  <c r="P245" i="48"/>
  <c r="M245" i="48"/>
  <c r="J245" i="48"/>
  <c r="F245" i="48"/>
  <c r="AT244" i="48"/>
  <c r="AQ244" i="48"/>
  <c r="AR244" i="48" s="1"/>
  <c r="AF244" i="48"/>
  <c r="AE244" i="48"/>
  <c r="V244" i="48"/>
  <c r="S244" i="48"/>
  <c r="P244" i="48"/>
  <c r="M244" i="48"/>
  <c r="J244" i="48"/>
  <c r="F244" i="48"/>
  <c r="AT243" i="48"/>
  <c r="AR243" i="48"/>
  <c r="AQ243" i="48"/>
  <c r="AF243" i="48"/>
  <c r="AS243" i="48" s="1"/>
  <c r="AE243" i="48"/>
  <c r="V243" i="48"/>
  <c r="S243" i="48"/>
  <c r="P243" i="48"/>
  <c r="M243" i="48"/>
  <c r="J243" i="48"/>
  <c r="F243" i="48"/>
  <c r="AT242" i="48"/>
  <c r="AR242" i="48"/>
  <c r="AQ242" i="48"/>
  <c r="AF242" i="48"/>
  <c r="AE242" i="48"/>
  <c r="V242" i="48"/>
  <c r="S242" i="48"/>
  <c r="P242" i="48"/>
  <c r="M242" i="48"/>
  <c r="J242" i="48"/>
  <c r="F242" i="48"/>
  <c r="AT241" i="48"/>
  <c r="AQ241" i="48"/>
  <c r="AR241" i="48" s="1"/>
  <c r="AF241" i="48"/>
  <c r="AE241" i="48"/>
  <c r="V241" i="48"/>
  <c r="S241" i="48"/>
  <c r="P241" i="48"/>
  <c r="M241" i="48"/>
  <c r="J241" i="48"/>
  <c r="F241" i="48"/>
  <c r="AT240" i="48"/>
  <c r="AQ240" i="48"/>
  <c r="AR240" i="48" s="1"/>
  <c r="AF240" i="48"/>
  <c r="AS240" i="48" s="1"/>
  <c r="AE240" i="48"/>
  <c r="V240" i="48"/>
  <c r="S240" i="48"/>
  <c r="P240" i="48"/>
  <c r="M240" i="48"/>
  <c r="J240" i="48"/>
  <c r="F240" i="48"/>
  <c r="AT239" i="48"/>
  <c r="AR239" i="48"/>
  <c r="AQ239" i="48"/>
  <c r="AF239" i="48"/>
  <c r="AE239" i="48"/>
  <c r="V239" i="48"/>
  <c r="S239" i="48"/>
  <c r="P239" i="48"/>
  <c r="M239" i="48"/>
  <c r="J239" i="48"/>
  <c r="F239" i="48"/>
  <c r="AT238" i="48"/>
  <c r="AQ238" i="48"/>
  <c r="AR238" i="48" s="1"/>
  <c r="AE238" i="48"/>
  <c r="AF238" i="48" s="1"/>
  <c r="V238" i="48"/>
  <c r="S238" i="48"/>
  <c r="P238" i="48"/>
  <c r="M238" i="48"/>
  <c r="J238" i="48"/>
  <c r="F238" i="48"/>
  <c r="AT237" i="48"/>
  <c r="AR237" i="48"/>
  <c r="AQ237" i="48"/>
  <c r="AF237" i="48"/>
  <c r="AE237" i="48"/>
  <c r="V237" i="48"/>
  <c r="S237" i="48"/>
  <c r="P237" i="48"/>
  <c r="M237" i="48"/>
  <c r="J237" i="48"/>
  <c r="F237" i="48"/>
  <c r="AT236" i="48"/>
  <c r="AQ236" i="48"/>
  <c r="AR236" i="48" s="1"/>
  <c r="AF236" i="48"/>
  <c r="AE236" i="48"/>
  <c r="V236" i="48"/>
  <c r="S236" i="48"/>
  <c r="P236" i="48"/>
  <c r="M236" i="48"/>
  <c r="J236" i="48"/>
  <c r="F236" i="48"/>
  <c r="AT235" i="48"/>
  <c r="AR235" i="48"/>
  <c r="AQ235" i="48"/>
  <c r="AF235" i="48"/>
  <c r="AE235" i="48"/>
  <c r="V235" i="48"/>
  <c r="S235" i="48"/>
  <c r="P235" i="48"/>
  <c r="M235" i="48"/>
  <c r="J235" i="48"/>
  <c r="F235" i="48"/>
  <c r="AT234" i="48"/>
  <c r="AR234" i="48"/>
  <c r="AQ234" i="48"/>
  <c r="AF234" i="48"/>
  <c r="AE234" i="48"/>
  <c r="V234" i="48"/>
  <c r="S234" i="48"/>
  <c r="P234" i="48"/>
  <c r="M234" i="48"/>
  <c r="J234" i="48"/>
  <c r="F234" i="48"/>
  <c r="AT233" i="48"/>
  <c r="AQ233" i="48"/>
  <c r="AR233" i="48" s="1"/>
  <c r="AF233" i="48"/>
  <c r="AE233" i="48"/>
  <c r="V233" i="48"/>
  <c r="S233" i="48"/>
  <c r="P233" i="48"/>
  <c r="M233" i="48"/>
  <c r="J233" i="48"/>
  <c r="F233" i="48"/>
  <c r="AR232" i="48"/>
  <c r="AQ232" i="48"/>
  <c r="AF232" i="48"/>
  <c r="AS232" i="48" s="1"/>
  <c r="AE232" i="48"/>
  <c r="V232" i="48"/>
  <c r="S232" i="48"/>
  <c r="P232" i="48"/>
  <c r="M232" i="48"/>
  <c r="J232" i="48"/>
  <c r="AT232" i="48" s="1"/>
  <c r="F232" i="48"/>
  <c r="AT231" i="48"/>
  <c r="AR231" i="48"/>
  <c r="AQ231" i="48"/>
  <c r="AE231" i="48"/>
  <c r="AF231" i="48" s="1"/>
  <c r="V231" i="48"/>
  <c r="S231" i="48"/>
  <c r="P231" i="48"/>
  <c r="M231" i="48"/>
  <c r="J231" i="48"/>
  <c r="F231" i="48"/>
  <c r="AR230" i="48"/>
  <c r="AQ230" i="48"/>
  <c r="AF230" i="48"/>
  <c r="AE230" i="48"/>
  <c r="V230" i="48"/>
  <c r="S230" i="48"/>
  <c r="P230" i="48"/>
  <c r="M230" i="48"/>
  <c r="AT230" i="48" s="1"/>
  <c r="J230" i="48"/>
  <c r="F230" i="48"/>
  <c r="AT229" i="48"/>
  <c r="AQ229" i="48"/>
  <c r="AR229" i="48" s="1"/>
  <c r="AF229" i="48"/>
  <c r="AS229" i="48" s="1"/>
  <c r="AE229" i="48"/>
  <c r="V229" i="48"/>
  <c r="S229" i="48"/>
  <c r="P229" i="48"/>
  <c r="M229" i="48"/>
  <c r="J229" i="48"/>
  <c r="F229" i="48"/>
  <c r="AR228" i="48"/>
  <c r="AQ228" i="48"/>
  <c r="AF228" i="48"/>
  <c r="AS228" i="48" s="1"/>
  <c r="AE228" i="48"/>
  <c r="V228" i="48"/>
  <c r="S228" i="48"/>
  <c r="P228" i="48"/>
  <c r="M228" i="48"/>
  <c r="J228" i="48"/>
  <c r="AT228" i="48" s="1"/>
  <c r="F228" i="48"/>
  <c r="AQ227" i="48"/>
  <c r="AR227" i="48" s="1"/>
  <c r="AE227" i="48"/>
  <c r="AF227" i="48" s="1"/>
  <c r="AS227" i="48" s="1"/>
  <c r="V227" i="48"/>
  <c r="S227" i="48"/>
  <c r="P227" i="48"/>
  <c r="M227" i="48"/>
  <c r="J227" i="48"/>
  <c r="AT227" i="48" s="1"/>
  <c r="F227" i="48"/>
  <c r="AQ226" i="48"/>
  <c r="AR226" i="48" s="1"/>
  <c r="AF226" i="48"/>
  <c r="AS226" i="48" s="1"/>
  <c r="AE226" i="48"/>
  <c r="V226" i="48"/>
  <c r="S226" i="48"/>
  <c r="P226" i="48"/>
  <c r="M226" i="48"/>
  <c r="J226" i="48"/>
  <c r="AT226" i="48" s="1"/>
  <c r="F226" i="48"/>
  <c r="AR225" i="48"/>
  <c r="AQ225" i="48"/>
  <c r="AE225" i="48"/>
  <c r="AF225" i="48" s="1"/>
  <c r="AS225" i="48" s="1"/>
  <c r="V225" i="48"/>
  <c r="S225" i="48"/>
  <c r="AT225" i="48" s="1"/>
  <c r="P225" i="48"/>
  <c r="M225" i="48"/>
  <c r="J225" i="48"/>
  <c r="F225" i="48"/>
  <c r="AT224" i="48"/>
  <c r="AQ224" i="48"/>
  <c r="AR224" i="48" s="1"/>
  <c r="AE224" i="48"/>
  <c r="AF224" i="48" s="1"/>
  <c r="AS224" i="48" s="1"/>
  <c r="V224" i="48"/>
  <c r="S224" i="48"/>
  <c r="P224" i="48"/>
  <c r="M224" i="48"/>
  <c r="J224" i="48"/>
  <c r="F224" i="48"/>
  <c r="AR223" i="48"/>
  <c r="AQ223" i="48"/>
  <c r="AF223" i="48"/>
  <c r="AE223" i="48"/>
  <c r="V223" i="48"/>
  <c r="S223" i="48"/>
  <c r="P223" i="48"/>
  <c r="M223" i="48"/>
  <c r="AT223" i="48" s="1"/>
  <c r="J223" i="48"/>
  <c r="F223" i="48"/>
  <c r="AQ222" i="48"/>
  <c r="AR222" i="48" s="1"/>
  <c r="AE222" i="48"/>
  <c r="AF222" i="48" s="1"/>
  <c r="V222" i="48"/>
  <c r="S222" i="48"/>
  <c r="P222" i="48"/>
  <c r="M222" i="48"/>
  <c r="J222" i="48"/>
  <c r="AT222" i="48" s="1"/>
  <c r="F222" i="48"/>
  <c r="AQ221" i="48"/>
  <c r="AR221" i="48" s="1"/>
  <c r="AF221" i="48"/>
  <c r="AE221" i="48"/>
  <c r="V221" i="48"/>
  <c r="S221" i="48"/>
  <c r="P221" i="48"/>
  <c r="M221" i="48"/>
  <c r="J221" i="48"/>
  <c r="AT221" i="48" s="1"/>
  <c r="F221" i="48"/>
  <c r="AT220" i="48"/>
  <c r="AR220" i="48"/>
  <c r="AQ220" i="48"/>
  <c r="AF220" i="48"/>
  <c r="AS220" i="48" s="1"/>
  <c r="AE220" i="48"/>
  <c r="V220" i="48"/>
  <c r="S220" i="48"/>
  <c r="P220" i="48"/>
  <c r="M220" i="48"/>
  <c r="J220" i="48"/>
  <c r="F220" i="48"/>
  <c r="AT219" i="48"/>
  <c r="AR219" i="48"/>
  <c r="AQ219" i="48"/>
  <c r="AE219" i="48"/>
  <c r="AF219" i="48" s="1"/>
  <c r="AS219" i="48" s="1"/>
  <c r="V219" i="48"/>
  <c r="S219" i="48"/>
  <c r="P219" i="48"/>
  <c r="M219" i="48"/>
  <c r="J219" i="48"/>
  <c r="F219" i="48"/>
  <c r="AQ218" i="48"/>
  <c r="AR218" i="48" s="1"/>
  <c r="AF218" i="48"/>
  <c r="AE218" i="48"/>
  <c r="V218" i="48"/>
  <c r="S218" i="48"/>
  <c r="P218" i="48"/>
  <c r="M218" i="48"/>
  <c r="J218" i="48"/>
  <c r="F218" i="48"/>
  <c r="AQ217" i="48"/>
  <c r="AR217" i="48" s="1"/>
  <c r="AF217" i="48"/>
  <c r="AS217" i="48" s="1"/>
  <c r="AE217" i="48"/>
  <c r="V217" i="48"/>
  <c r="S217" i="48"/>
  <c r="P217" i="48"/>
  <c r="AT217" i="48" s="1"/>
  <c r="M217" i="48"/>
  <c r="J217" i="48"/>
  <c r="F217" i="48"/>
  <c r="AR216" i="48"/>
  <c r="AQ216" i="48"/>
  <c r="AE216" i="48"/>
  <c r="AF216" i="48" s="1"/>
  <c r="AS216" i="48" s="1"/>
  <c r="V216" i="48"/>
  <c r="S216" i="48"/>
  <c r="P216" i="48"/>
  <c r="M216" i="48"/>
  <c r="J216" i="48"/>
  <c r="F216" i="48"/>
  <c r="AQ215" i="48"/>
  <c r="AR215" i="48" s="1"/>
  <c r="AE215" i="48"/>
  <c r="AF215" i="48" s="1"/>
  <c r="V215" i="48"/>
  <c r="S215" i="48"/>
  <c r="P215" i="48"/>
  <c r="M215" i="48"/>
  <c r="J215" i="48"/>
  <c r="AT215" i="48" s="1"/>
  <c r="F215" i="48"/>
  <c r="AQ214" i="48"/>
  <c r="AR214" i="48" s="1"/>
  <c r="AF214" i="48"/>
  <c r="AS214" i="48" s="1"/>
  <c r="AE214" i="48"/>
  <c r="V214" i="48"/>
  <c r="S214" i="48"/>
  <c r="P214" i="48"/>
  <c r="M214" i="48"/>
  <c r="J214" i="48"/>
  <c r="F214" i="48"/>
  <c r="AR213" i="48"/>
  <c r="AQ213" i="48"/>
  <c r="AE213" i="48"/>
  <c r="AF213" i="48" s="1"/>
  <c r="AS213" i="48" s="1"/>
  <c r="V213" i="48"/>
  <c r="S213" i="48"/>
  <c r="P213" i="48"/>
  <c r="M213" i="48"/>
  <c r="J213" i="48"/>
  <c r="F213" i="48"/>
  <c r="AQ212" i="48"/>
  <c r="AR212" i="48" s="1"/>
  <c r="AE212" i="48"/>
  <c r="AF212" i="48" s="1"/>
  <c r="AS212" i="48" s="1"/>
  <c r="V212" i="48"/>
  <c r="S212" i="48"/>
  <c r="P212" i="48"/>
  <c r="M212" i="48"/>
  <c r="AT212" i="48" s="1"/>
  <c r="J212" i="48"/>
  <c r="F212" i="48"/>
  <c r="AT211" i="48"/>
  <c r="AR211" i="48"/>
  <c r="AQ211" i="48"/>
  <c r="AF211" i="48"/>
  <c r="AE211" i="48"/>
  <c r="V211" i="48"/>
  <c r="S211" i="48"/>
  <c r="P211" i="48"/>
  <c r="M211" i="48"/>
  <c r="J211" i="48"/>
  <c r="F211" i="48"/>
  <c r="AQ210" i="48"/>
  <c r="AR210" i="48" s="1"/>
  <c r="AE210" i="48"/>
  <c r="AF210" i="48" s="1"/>
  <c r="AS210" i="48" s="1"/>
  <c r="V210" i="48"/>
  <c r="S210" i="48"/>
  <c r="P210" i="48"/>
  <c r="M210" i="48"/>
  <c r="J210" i="48"/>
  <c r="AT210" i="48" s="1"/>
  <c r="F210" i="48"/>
  <c r="AQ209" i="48"/>
  <c r="AR209" i="48" s="1"/>
  <c r="AF209" i="48"/>
  <c r="AE209" i="48"/>
  <c r="V209" i="48"/>
  <c r="S209" i="48"/>
  <c r="P209" i="48"/>
  <c r="M209" i="48"/>
  <c r="J209" i="48"/>
  <c r="AT209" i="48" s="1"/>
  <c r="F209" i="48"/>
  <c r="AT208" i="48"/>
  <c r="AR208" i="48"/>
  <c r="AQ208" i="48"/>
  <c r="AF208" i="48"/>
  <c r="AS208" i="48" s="1"/>
  <c r="AE208" i="48"/>
  <c r="V208" i="48"/>
  <c r="S208" i="48"/>
  <c r="P208" i="48"/>
  <c r="M208" i="48"/>
  <c r="J208" i="48"/>
  <c r="F208" i="48"/>
  <c r="AT207" i="48"/>
  <c r="AR207" i="48"/>
  <c r="AQ207" i="48"/>
  <c r="AF207" i="48"/>
  <c r="AS207" i="48" s="1"/>
  <c r="AE207" i="48"/>
  <c r="V207" i="48"/>
  <c r="S207" i="48"/>
  <c r="P207" i="48"/>
  <c r="M207" i="48"/>
  <c r="J207" i="48"/>
  <c r="F207" i="48"/>
  <c r="AT206" i="48"/>
  <c r="AR206" i="48"/>
  <c r="AQ206" i="48"/>
  <c r="AF206" i="48"/>
  <c r="AS206" i="48" s="1"/>
  <c r="AE206" i="48"/>
  <c r="V206" i="48"/>
  <c r="S206" i="48"/>
  <c r="P206" i="48"/>
  <c r="M206" i="48"/>
  <c r="J206" i="48"/>
  <c r="F206" i="48"/>
  <c r="AT205" i="48"/>
  <c r="AR205" i="48"/>
  <c r="AQ205" i="48"/>
  <c r="AF205" i="48"/>
  <c r="AS205" i="48" s="1"/>
  <c r="AE205" i="48"/>
  <c r="V205" i="48"/>
  <c r="S205" i="48"/>
  <c r="P205" i="48"/>
  <c r="M205" i="48"/>
  <c r="J205" i="48"/>
  <c r="F205" i="48"/>
  <c r="AT204" i="48"/>
  <c r="AR204" i="48"/>
  <c r="AQ204" i="48"/>
  <c r="AF204" i="48"/>
  <c r="AS204" i="48" s="1"/>
  <c r="AE204" i="48"/>
  <c r="V204" i="48"/>
  <c r="S204" i="48"/>
  <c r="P204" i="48"/>
  <c r="M204" i="48"/>
  <c r="J204" i="48"/>
  <c r="F204" i="48"/>
  <c r="AT203" i="48"/>
  <c r="AR203" i="48"/>
  <c r="AQ203" i="48"/>
  <c r="AF203" i="48"/>
  <c r="AS203" i="48" s="1"/>
  <c r="AE203" i="48"/>
  <c r="V203" i="48"/>
  <c r="S203" i="48"/>
  <c r="P203" i="48"/>
  <c r="M203" i="48"/>
  <c r="J203" i="48"/>
  <c r="F203" i="48"/>
  <c r="AT202" i="48"/>
  <c r="AR202" i="48"/>
  <c r="AQ202" i="48"/>
  <c r="AF202" i="48"/>
  <c r="AS202" i="48" s="1"/>
  <c r="AE202" i="48"/>
  <c r="V202" i="48"/>
  <c r="S202" i="48"/>
  <c r="P202" i="48"/>
  <c r="M202" i="48"/>
  <c r="J202" i="48"/>
  <c r="F202" i="48"/>
  <c r="AT201" i="48"/>
  <c r="AR201" i="48"/>
  <c r="AQ201" i="48"/>
  <c r="AF201" i="48"/>
  <c r="AS201" i="48" s="1"/>
  <c r="AE201" i="48"/>
  <c r="V201" i="48"/>
  <c r="S201" i="48"/>
  <c r="P201" i="48"/>
  <c r="M201" i="48"/>
  <c r="J201" i="48"/>
  <c r="F201" i="48"/>
  <c r="AT200" i="48"/>
  <c r="AR200" i="48"/>
  <c r="AQ200" i="48"/>
  <c r="AF200" i="48"/>
  <c r="AS200" i="48" s="1"/>
  <c r="AE200" i="48"/>
  <c r="V200" i="48"/>
  <c r="S200" i="48"/>
  <c r="P200" i="48"/>
  <c r="M200" i="48"/>
  <c r="J200" i="48"/>
  <c r="F200" i="48"/>
  <c r="AT199" i="48"/>
  <c r="AR199" i="48"/>
  <c r="AQ199" i="48"/>
  <c r="AF199" i="48"/>
  <c r="AS199" i="48" s="1"/>
  <c r="AE199" i="48"/>
  <c r="V199" i="48"/>
  <c r="S199" i="48"/>
  <c r="P199" i="48"/>
  <c r="M199" i="48"/>
  <c r="J199" i="48"/>
  <c r="F199" i="48"/>
  <c r="AT198" i="48"/>
  <c r="AR198" i="48"/>
  <c r="AQ198" i="48"/>
  <c r="AF198" i="48"/>
  <c r="AS198" i="48" s="1"/>
  <c r="AE198" i="48"/>
  <c r="V198" i="48"/>
  <c r="S198" i="48"/>
  <c r="P198" i="48"/>
  <c r="M198" i="48"/>
  <c r="J198" i="48"/>
  <c r="F198" i="48"/>
  <c r="AT197" i="48"/>
  <c r="AR197" i="48"/>
  <c r="AQ197" i="48"/>
  <c r="AF197" i="48"/>
  <c r="AS197" i="48" s="1"/>
  <c r="AE197" i="48"/>
  <c r="V197" i="48"/>
  <c r="S197" i="48"/>
  <c r="P197" i="48"/>
  <c r="M197" i="48"/>
  <c r="J197" i="48"/>
  <c r="F197" i="48"/>
  <c r="AR196" i="48"/>
  <c r="AQ196" i="48"/>
  <c r="AF196" i="48"/>
  <c r="AS196" i="48" s="1"/>
  <c r="AE196" i="48"/>
  <c r="V196" i="48"/>
  <c r="S196" i="48"/>
  <c r="P196" i="48"/>
  <c r="M196" i="48"/>
  <c r="J196" i="48"/>
  <c r="AT196" i="48" s="1"/>
  <c r="F196" i="48"/>
  <c r="AR195" i="48"/>
  <c r="AQ195" i="48"/>
  <c r="AF195" i="48"/>
  <c r="AS195" i="48" s="1"/>
  <c r="AE195" i="48"/>
  <c r="V195" i="48"/>
  <c r="S195" i="48"/>
  <c r="P195" i="48"/>
  <c r="M195" i="48"/>
  <c r="J195" i="48"/>
  <c r="AT195" i="48" s="1"/>
  <c r="F195" i="48"/>
  <c r="AR194" i="48"/>
  <c r="AQ194" i="48"/>
  <c r="AF194" i="48"/>
  <c r="AS194" i="48" s="1"/>
  <c r="AE194" i="48"/>
  <c r="V194" i="48"/>
  <c r="S194" i="48"/>
  <c r="P194" i="48"/>
  <c r="M194" i="48"/>
  <c r="J194" i="48"/>
  <c r="AT194" i="48" s="1"/>
  <c r="F194" i="48"/>
  <c r="AR193" i="48"/>
  <c r="AQ193" i="48"/>
  <c r="AF193" i="48"/>
  <c r="AS193" i="48" s="1"/>
  <c r="AE193" i="48"/>
  <c r="V193" i="48"/>
  <c r="S193" i="48"/>
  <c r="P193" i="48"/>
  <c r="M193" i="48"/>
  <c r="J193" i="48"/>
  <c r="AT193" i="48" s="1"/>
  <c r="F193" i="48"/>
  <c r="AR192" i="48"/>
  <c r="AQ192" i="48"/>
  <c r="AF192" i="48"/>
  <c r="AS192" i="48" s="1"/>
  <c r="AE192" i="48"/>
  <c r="V192" i="48"/>
  <c r="S192" i="48"/>
  <c r="P192" i="48"/>
  <c r="M192" i="48"/>
  <c r="J192" i="48"/>
  <c r="AT192" i="48" s="1"/>
  <c r="F192" i="48"/>
  <c r="AR191" i="48"/>
  <c r="AQ191" i="48"/>
  <c r="AF191" i="48"/>
  <c r="AS191" i="48" s="1"/>
  <c r="AE191" i="48"/>
  <c r="V191" i="48"/>
  <c r="S191" i="48"/>
  <c r="P191" i="48"/>
  <c r="M191" i="48"/>
  <c r="J191" i="48"/>
  <c r="AT191" i="48" s="1"/>
  <c r="F191" i="48"/>
  <c r="AR190" i="48"/>
  <c r="AQ190" i="48"/>
  <c r="AF190" i="48"/>
  <c r="AS190" i="48" s="1"/>
  <c r="AE190" i="48"/>
  <c r="V190" i="48"/>
  <c r="S190" i="48"/>
  <c r="P190" i="48"/>
  <c r="M190" i="48"/>
  <c r="J190" i="48"/>
  <c r="AT190" i="48" s="1"/>
  <c r="F190" i="48"/>
  <c r="AR189" i="48"/>
  <c r="AQ189" i="48"/>
  <c r="AF189" i="48"/>
  <c r="AS189" i="48" s="1"/>
  <c r="AE189" i="48"/>
  <c r="V189" i="48"/>
  <c r="S189" i="48"/>
  <c r="P189" i="48"/>
  <c r="M189" i="48"/>
  <c r="J189" i="48"/>
  <c r="AT189" i="48" s="1"/>
  <c r="F189" i="48"/>
  <c r="AR188" i="48"/>
  <c r="AQ188" i="48"/>
  <c r="AF188" i="48"/>
  <c r="AS188" i="48" s="1"/>
  <c r="AE188" i="48"/>
  <c r="V188" i="48"/>
  <c r="S188" i="48"/>
  <c r="P188" i="48"/>
  <c r="M188" i="48"/>
  <c r="J188" i="48"/>
  <c r="AT188" i="48" s="1"/>
  <c r="F188" i="48"/>
  <c r="AR187" i="48"/>
  <c r="AQ187" i="48"/>
  <c r="AF187" i="48"/>
  <c r="AS187" i="48" s="1"/>
  <c r="AE187" i="48"/>
  <c r="V187" i="48"/>
  <c r="S187" i="48"/>
  <c r="P187" i="48"/>
  <c r="M187" i="48"/>
  <c r="J187" i="48"/>
  <c r="AT187" i="48" s="1"/>
  <c r="F187" i="48"/>
  <c r="AR186" i="48"/>
  <c r="AQ186" i="48"/>
  <c r="AF186" i="48"/>
  <c r="AS186" i="48" s="1"/>
  <c r="AE186" i="48"/>
  <c r="V186" i="48"/>
  <c r="S186" i="48"/>
  <c r="P186" i="48"/>
  <c r="M186" i="48"/>
  <c r="J186" i="48"/>
  <c r="AT186" i="48" s="1"/>
  <c r="F186" i="48"/>
  <c r="AR185" i="48"/>
  <c r="AQ185" i="48"/>
  <c r="AF185" i="48"/>
  <c r="AS185" i="48" s="1"/>
  <c r="AE185" i="48"/>
  <c r="V185" i="48"/>
  <c r="S185" i="48"/>
  <c r="P185" i="48"/>
  <c r="M185" i="48"/>
  <c r="J185" i="48"/>
  <c r="AT185" i="48" s="1"/>
  <c r="F185" i="48"/>
  <c r="AR184" i="48"/>
  <c r="AQ184" i="48"/>
  <c r="AF184" i="48"/>
  <c r="AS184" i="48" s="1"/>
  <c r="AE184" i="48"/>
  <c r="V184" i="48"/>
  <c r="S184" i="48"/>
  <c r="P184" i="48"/>
  <c r="M184" i="48"/>
  <c r="J184" i="48"/>
  <c r="AT184" i="48" s="1"/>
  <c r="F184" i="48"/>
  <c r="AR183" i="48"/>
  <c r="AQ183" i="48"/>
  <c r="AF183" i="48"/>
  <c r="AS183" i="48" s="1"/>
  <c r="AE183" i="48"/>
  <c r="V183" i="48"/>
  <c r="S183" i="48"/>
  <c r="P183" i="48"/>
  <c r="M183" i="48"/>
  <c r="J183" i="48"/>
  <c r="AT183" i="48" s="1"/>
  <c r="F183" i="48"/>
  <c r="AR182" i="48"/>
  <c r="AQ182" i="48"/>
  <c r="AF182" i="48"/>
  <c r="AS182" i="48" s="1"/>
  <c r="AE182" i="48"/>
  <c r="V182" i="48"/>
  <c r="S182" i="48"/>
  <c r="P182" i="48"/>
  <c r="M182" i="48"/>
  <c r="J182" i="48"/>
  <c r="AT182" i="48" s="1"/>
  <c r="F182" i="48"/>
  <c r="AR181" i="48"/>
  <c r="AQ181" i="48"/>
  <c r="AF181" i="48"/>
  <c r="AS181" i="48" s="1"/>
  <c r="AE181" i="48"/>
  <c r="V181" i="48"/>
  <c r="S181" i="48"/>
  <c r="P181" i="48"/>
  <c r="M181" i="48"/>
  <c r="J181" i="48"/>
  <c r="AT181" i="48" s="1"/>
  <c r="F181" i="48"/>
  <c r="AQ180" i="48"/>
  <c r="AR180" i="48" s="1"/>
  <c r="AE180" i="48"/>
  <c r="AF180" i="48" s="1"/>
  <c r="AS180" i="48" s="1"/>
  <c r="V180" i="48"/>
  <c r="S180" i="48"/>
  <c r="P180" i="48"/>
  <c r="M180" i="48"/>
  <c r="J180" i="48"/>
  <c r="AT180" i="48" s="1"/>
  <c r="F180" i="48"/>
  <c r="AQ179" i="48"/>
  <c r="AR179" i="48" s="1"/>
  <c r="AE179" i="48"/>
  <c r="AF179" i="48" s="1"/>
  <c r="AS179" i="48" s="1"/>
  <c r="V179" i="48"/>
  <c r="S179" i="48"/>
  <c r="P179" i="48"/>
  <c r="M179" i="48"/>
  <c r="J179" i="48"/>
  <c r="AT179" i="48" s="1"/>
  <c r="F179" i="48"/>
  <c r="AQ178" i="48"/>
  <c r="AR178" i="48" s="1"/>
  <c r="AF178" i="48"/>
  <c r="AS178" i="48" s="1"/>
  <c r="AE178" i="48"/>
  <c r="V178" i="48"/>
  <c r="S178" i="48"/>
  <c r="P178" i="48"/>
  <c r="M178" i="48"/>
  <c r="J178" i="48"/>
  <c r="AT178" i="48" s="1"/>
  <c r="F178" i="48"/>
  <c r="AT177" i="48"/>
  <c r="AQ177" i="48"/>
  <c r="AR177" i="48" s="1"/>
  <c r="AE177" i="48"/>
  <c r="AF177" i="48" s="1"/>
  <c r="AS177" i="48" s="1"/>
  <c r="V177" i="48"/>
  <c r="S177" i="48"/>
  <c r="P177" i="48"/>
  <c r="M177" i="48"/>
  <c r="J177" i="48"/>
  <c r="F177" i="48"/>
  <c r="AT176" i="48"/>
  <c r="AQ176" i="48"/>
  <c r="AR176" i="48" s="1"/>
  <c r="AE176" i="48"/>
  <c r="AF176" i="48" s="1"/>
  <c r="AS176" i="48" s="1"/>
  <c r="V176" i="48"/>
  <c r="S176" i="48"/>
  <c r="P176" i="48"/>
  <c r="M176" i="48"/>
  <c r="J176" i="48"/>
  <c r="F176" i="48"/>
  <c r="AS175" i="48"/>
  <c r="AQ175" i="48"/>
  <c r="AR175" i="48" s="1"/>
  <c r="AF175" i="48"/>
  <c r="AE175" i="48"/>
  <c r="V175" i="48"/>
  <c r="S175" i="48"/>
  <c r="P175" i="48"/>
  <c r="M175" i="48"/>
  <c r="J175" i="48"/>
  <c r="AT175" i="48" s="1"/>
  <c r="F175" i="48"/>
  <c r="AT174" i="48"/>
  <c r="AQ174" i="48"/>
  <c r="AR174" i="48" s="1"/>
  <c r="AF174" i="48"/>
  <c r="AS174" i="48" s="1"/>
  <c r="AE174" i="48"/>
  <c r="V174" i="48"/>
  <c r="S174" i="48"/>
  <c r="P174" i="48"/>
  <c r="M174" i="48"/>
  <c r="J174" i="48"/>
  <c r="F174" i="48"/>
  <c r="AT173" i="48"/>
  <c r="AQ173" i="48"/>
  <c r="AR173" i="48" s="1"/>
  <c r="AE173" i="48"/>
  <c r="AF173" i="48" s="1"/>
  <c r="AS173" i="48" s="1"/>
  <c r="V173" i="48"/>
  <c r="S173" i="48"/>
  <c r="P173" i="48"/>
  <c r="M173" i="48"/>
  <c r="J173" i="48"/>
  <c r="F173" i="48"/>
  <c r="AT172" i="48"/>
  <c r="AQ172" i="48"/>
  <c r="AR172" i="48" s="1"/>
  <c r="AE172" i="48"/>
  <c r="AF172" i="48" s="1"/>
  <c r="V172" i="48"/>
  <c r="S172" i="48"/>
  <c r="P172" i="48"/>
  <c r="M172" i="48"/>
  <c r="J172" i="48"/>
  <c r="F172" i="48"/>
  <c r="AT171" i="48"/>
  <c r="AQ171" i="48"/>
  <c r="AR171" i="48" s="1"/>
  <c r="AF171" i="48"/>
  <c r="AS171" i="48" s="1"/>
  <c r="AE171" i="48"/>
  <c r="V171" i="48"/>
  <c r="S171" i="48"/>
  <c r="P171" i="48"/>
  <c r="M171" i="48"/>
  <c r="J171" i="48"/>
  <c r="F171" i="48"/>
  <c r="AT170" i="48"/>
  <c r="AQ170" i="48"/>
  <c r="AR170" i="48" s="1"/>
  <c r="AE170" i="48"/>
  <c r="AF170" i="48" s="1"/>
  <c r="AS170" i="48" s="1"/>
  <c r="V170" i="48"/>
  <c r="S170" i="48"/>
  <c r="P170" i="48"/>
  <c r="M170" i="48"/>
  <c r="J170" i="48"/>
  <c r="F170" i="48"/>
  <c r="AT169" i="48"/>
  <c r="AQ169" i="48"/>
  <c r="AR169" i="48" s="1"/>
  <c r="AF169" i="48"/>
  <c r="AS169" i="48" s="1"/>
  <c r="AE169" i="48"/>
  <c r="V169" i="48"/>
  <c r="S169" i="48"/>
  <c r="P169" i="48"/>
  <c r="M169" i="48"/>
  <c r="J169" i="48"/>
  <c r="F169" i="48"/>
  <c r="AQ168" i="48"/>
  <c r="AR168" i="48" s="1"/>
  <c r="AE168" i="48"/>
  <c r="AF168" i="48" s="1"/>
  <c r="AS168" i="48" s="1"/>
  <c r="V168" i="48"/>
  <c r="S168" i="48"/>
  <c r="P168" i="48"/>
  <c r="M168" i="48"/>
  <c r="J168" i="48"/>
  <c r="AT168" i="48" s="1"/>
  <c r="F168" i="48"/>
  <c r="AQ167" i="48"/>
  <c r="AR167" i="48" s="1"/>
  <c r="AE167" i="48"/>
  <c r="AF167" i="48" s="1"/>
  <c r="AS167" i="48" s="1"/>
  <c r="V167" i="48"/>
  <c r="S167" i="48"/>
  <c r="P167" i="48"/>
  <c r="M167" i="48"/>
  <c r="J167" i="48"/>
  <c r="AT167" i="48" s="1"/>
  <c r="F167" i="48"/>
  <c r="AQ166" i="48"/>
  <c r="AR166" i="48" s="1"/>
  <c r="AF166" i="48"/>
  <c r="AS166" i="48" s="1"/>
  <c r="AE166" i="48"/>
  <c r="V166" i="48"/>
  <c r="S166" i="48"/>
  <c r="P166" i="48"/>
  <c r="M166" i="48"/>
  <c r="J166" i="48"/>
  <c r="AT166" i="48" s="1"/>
  <c r="F166" i="48"/>
  <c r="AQ165" i="48"/>
  <c r="AR165" i="48" s="1"/>
  <c r="AE165" i="48"/>
  <c r="AF165" i="48" s="1"/>
  <c r="AS165" i="48" s="1"/>
  <c r="V165" i="48"/>
  <c r="S165" i="48"/>
  <c r="P165" i="48"/>
  <c r="M165" i="48"/>
  <c r="J165" i="48"/>
  <c r="AT165" i="48" s="1"/>
  <c r="F165" i="48"/>
  <c r="AT164" i="48"/>
  <c r="AQ164" i="48"/>
  <c r="AR164" i="48" s="1"/>
  <c r="AE164" i="48"/>
  <c r="AF164" i="48" s="1"/>
  <c r="AS164" i="48" s="1"/>
  <c r="V164" i="48"/>
  <c r="S164" i="48"/>
  <c r="P164" i="48"/>
  <c r="M164" i="48"/>
  <c r="J164" i="48"/>
  <c r="F164" i="48"/>
  <c r="AS163" i="48"/>
  <c r="AQ163" i="48"/>
  <c r="AR163" i="48" s="1"/>
  <c r="AF163" i="48"/>
  <c r="AE163" i="48"/>
  <c r="V163" i="48"/>
  <c r="S163" i="48"/>
  <c r="P163" i="48"/>
  <c r="M163" i="48"/>
  <c r="J163" i="48"/>
  <c r="AT163" i="48" s="1"/>
  <c r="F163" i="48"/>
  <c r="AT162" i="48"/>
  <c r="AQ162" i="48"/>
  <c r="AR162" i="48" s="1"/>
  <c r="AF162" i="48"/>
  <c r="AS162" i="48" s="1"/>
  <c r="AE162" i="48"/>
  <c r="V162" i="48"/>
  <c r="S162" i="48"/>
  <c r="P162" i="48"/>
  <c r="M162" i="48"/>
  <c r="J162" i="48"/>
  <c r="F162" i="48"/>
  <c r="AT161" i="48"/>
  <c r="AQ161" i="48"/>
  <c r="AR161" i="48" s="1"/>
  <c r="AF161" i="48"/>
  <c r="AS161" i="48" s="1"/>
  <c r="AE161" i="48"/>
  <c r="V161" i="48"/>
  <c r="S161" i="48"/>
  <c r="P161" i="48"/>
  <c r="M161" i="48"/>
  <c r="J161" i="48"/>
  <c r="F161" i="48"/>
  <c r="AT160" i="48"/>
  <c r="AQ160" i="48"/>
  <c r="AR160" i="48" s="1"/>
  <c r="AE160" i="48"/>
  <c r="AF160" i="48" s="1"/>
  <c r="AS160" i="48" s="1"/>
  <c r="V160" i="48"/>
  <c r="S160" i="48"/>
  <c r="P160" i="48"/>
  <c r="M160" i="48"/>
  <c r="J160" i="48"/>
  <c r="F160" i="48"/>
  <c r="AQ159" i="48"/>
  <c r="AR159" i="48" s="1"/>
  <c r="AF159" i="48"/>
  <c r="AS159" i="48" s="1"/>
  <c r="AE159" i="48"/>
  <c r="V159" i="48"/>
  <c r="S159" i="48"/>
  <c r="AT159" i="48" s="1"/>
  <c r="P159" i="48"/>
  <c r="M159" i="48"/>
  <c r="J159" i="48"/>
  <c r="F159" i="48"/>
  <c r="AQ158" i="48"/>
  <c r="AR158" i="48" s="1"/>
  <c r="AE158" i="48"/>
  <c r="AF158" i="48" s="1"/>
  <c r="AS158" i="48" s="1"/>
  <c r="V158" i="48"/>
  <c r="S158" i="48"/>
  <c r="AT158" i="48" s="1"/>
  <c r="P158" i="48"/>
  <c r="M158" i="48"/>
  <c r="J158" i="48"/>
  <c r="F158" i="48"/>
  <c r="AT157" i="48"/>
  <c r="AQ157" i="48"/>
  <c r="AR157" i="48" s="1"/>
  <c r="AE157" i="48"/>
  <c r="AF157" i="48" s="1"/>
  <c r="AS157" i="48" s="1"/>
  <c r="V157" i="48"/>
  <c r="S157" i="48"/>
  <c r="P157" i="48"/>
  <c r="M157" i="48"/>
  <c r="J157" i="48"/>
  <c r="F157" i="48"/>
  <c r="AQ156" i="48"/>
  <c r="AR156" i="48" s="1"/>
  <c r="AE156" i="48"/>
  <c r="AF156" i="48" s="1"/>
  <c r="AS156" i="48" s="1"/>
  <c r="V156" i="48"/>
  <c r="S156" i="48"/>
  <c r="P156" i="48"/>
  <c r="M156" i="48"/>
  <c r="J156" i="48"/>
  <c r="AT156" i="48" s="1"/>
  <c r="F156" i="48"/>
  <c r="AQ155" i="48"/>
  <c r="AR155" i="48" s="1"/>
  <c r="AE155" i="48"/>
  <c r="AF155" i="48" s="1"/>
  <c r="AS155" i="48" s="1"/>
  <c r="V155" i="48"/>
  <c r="S155" i="48"/>
  <c r="P155" i="48"/>
  <c r="M155" i="48"/>
  <c r="J155" i="48"/>
  <c r="AT155" i="48" s="1"/>
  <c r="F155" i="48"/>
  <c r="AQ154" i="48"/>
  <c r="AR154" i="48" s="1"/>
  <c r="AF154" i="48"/>
  <c r="AS154" i="48" s="1"/>
  <c r="AE154" i="48"/>
  <c r="V154" i="48"/>
  <c r="S154" i="48"/>
  <c r="P154" i="48"/>
  <c r="M154" i="48"/>
  <c r="J154" i="48"/>
  <c r="AT154" i="48" s="1"/>
  <c r="F154" i="48"/>
  <c r="AT153" i="48"/>
  <c r="AQ153" i="48"/>
  <c r="AR153" i="48" s="1"/>
  <c r="AE153" i="48"/>
  <c r="AF153" i="48" s="1"/>
  <c r="AS153" i="48" s="1"/>
  <c r="V153" i="48"/>
  <c r="S153" i="48"/>
  <c r="P153" i="48"/>
  <c r="M153" i="48"/>
  <c r="J153" i="48"/>
  <c r="F153" i="48"/>
  <c r="AT152" i="48"/>
  <c r="AS152" i="48"/>
  <c r="AQ152" i="48"/>
  <c r="AR152" i="48" s="1"/>
  <c r="AE152" i="48"/>
  <c r="AF152" i="48" s="1"/>
  <c r="V152" i="48"/>
  <c r="S152" i="48"/>
  <c r="P152" i="48"/>
  <c r="M152" i="48"/>
  <c r="J152" i="48"/>
  <c r="F152" i="48"/>
  <c r="AQ151" i="48"/>
  <c r="AR151" i="48" s="1"/>
  <c r="AS151" i="48" s="1"/>
  <c r="AF151" i="48"/>
  <c r="AE151" i="48"/>
  <c r="V151" i="48"/>
  <c r="S151" i="48"/>
  <c r="P151" i="48"/>
  <c r="M151" i="48"/>
  <c r="J151" i="48"/>
  <c r="AT151" i="48" s="1"/>
  <c r="F151" i="48"/>
  <c r="AT150" i="48"/>
  <c r="AQ150" i="48"/>
  <c r="AR150" i="48" s="1"/>
  <c r="AF150" i="48"/>
  <c r="AS150" i="48" s="1"/>
  <c r="AE150" i="48"/>
  <c r="V150" i="48"/>
  <c r="S150" i="48"/>
  <c r="P150" i="48"/>
  <c r="M150" i="48"/>
  <c r="J150" i="48"/>
  <c r="F150" i="48"/>
  <c r="AT149" i="48"/>
  <c r="AQ149" i="48"/>
  <c r="AR149" i="48" s="1"/>
  <c r="AE149" i="48"/>
  <c r="AF149" i="48" s="1"/>
  <c r="AS149" i="48" s="1"/>
  <c r="V149" i="48"/>
  <c r="S149" i="48"/>
  <c r="P149" i="48"/>
  <c r="M149" i="48"/>
  <c r="J149" i="48"/>
  <c r="F149" i="48"/>
  <c r="AT148" i="48"/>
  <c r="AQ148" i="48"/>
  <c r="AR148" i="48" s="1"/>
  <c r="AE148" i="48"/>
  <c r="AF148" i="48" s="1"/>
  <c r="AS148" i="48" s="1"/>
  <c r="V148" i="48"/>
  <c r="S148" i="48"/>
  <c r="P148" i="48"/>
  <c r="M148" i="48"/>
  <c r="J148" i="48"/>
  <c r="F148" i="48"/>
  <c r="AQ147" i="48"/>
  <c r="AR147" i="48" s="1"/>
  <c r="AF147" i="48"/>
  <c r="AS147" i="48" s="1"/>
  <c r="AE147" i="48"/>
  <c r="V147" i="48"/>
  <c r="S147" i="48"/>
  <c r="AT147" i="48" s="1"/>
  <c r="P147" i="48"/>
  <c r="M147" i="48"/>
  <c r="J147" i="48"/>
  <c r="F147" i="48"/>
  <c r="AQ146" i="48"/>
  <c r="AR146" i="48" s="1"/>
  <c r="AE146" i="48"/>
  <c r="AF146" i="48" s="1"/>
  <c r="AS146" i="48" s="1"/>
  <c r="V146" i="48"/>
  <c r="S146" i="48"/>
  <c r="AT146" i="48" s="1"/>
  <c r="P146" i="48"/>
  <c r="M146" i="48"/>
  <c r="J146" i="48"/>
  <c r="F146" i="48"/>
  <c r="AQ145" i="48"/>
  <c r="AR145" i="48" s="1"/>
  <c r="AE145" i="48"/>
  <c r="AF145" i="48" s="1"/>
  <c r="AS145" i="48" s="1"/>
  <c r="V145" i="48"/>
  <c r="S145" i="48"/>
  <c r="P145" i="48"/>
  <c r="M145" i="48"/>
  <c r="AT145" i="48" s="1"/>
  <c r="J145" i="48"/>
  <c r="F145" i="48"/>
  <c r="AQ144" i="48"/>
  <c r="AR144" i="48" s="1"/>
  <c r="AE144" i="48"/>
  <c r="AF144" i="48" s="1"/>
  <c r="AS144" i="48" s="1"/>
  <c r="V144" i="48"/>
  <c r="S144" i="48"/>
  <c r="P144" i="48"/>
  <c r="M144" i="48"/>
  <c r="J144" i="48"/>
  <c r="F144" i="48"/>
  <c r="AQ143" i="48"/>
  <c r="AR143" i="48" s="1"/>
  <c r="AE143" i="48"/>
  <c r="AF143" i="48" s="1"/>
  <c r="AS143" i="48" s="1"/>
  <c r="V143" i="48"/>
  <c r="S143" i="48"/>
  <c r="P143" i="48"/>
  <c r="M143" i="48"/>
  <c r="J143" i="48"/>
  <c r="AT143" i="48" s="1"/>
  <c r="F143" i="48"/>
  <c r="AQ142" i="48"/>
  <c r="AR142" i="48" s="1"/>
  <c r="AF142" i="48"/>
  <c r="AS142" i="48" s="1"/>
  <c r="AE142" i="48"/>
  <c r="V142" i="48"/>
  <c r="S142" i="48"/>
  <c r="P142" i="48"/>
  <c r="M142" i="48"/>
  <c r="J142" i="48"/>
  <c r="F142" i="48"/>
  <c r="AT141" i="48"/>
  <c r="AQ141" i="48"/>
  <c r="AR141" i="48" s="1"/>
  <c r="AE141" i="48"/>
  <c r="AF141" i="48" s="1"/>
  <c r="AS141" i="48" s="1"/>
  <c r="V141" i="48"/>
  <c r="S141" i="48"/>
  <c r="P141" i="48"/>
  <c r="M141" i="48"/>
  <c r="J141" i="48"/>
  <c r="F141" i="48"/>
  <c r="AT140" i="48"/>
  <c r="AQ140" i="48"/>
  <c r="AR140" i="48" s="1"/>
  <c r="AE140" i="48"/>
  <c r="AF140" i="48" s="1"/>
  <c r="AS140" i="48" s="1"/>
  <c r="V140" i="48"/>
  <c r="S140" i="48"/>
  <c r="P140" i="48"/>
  <c r="M140" i="48"/>
  <c r="J140" i="48"/>
  <c r="F140" i="48"/>
  <c r="AQ139" i="48"/>
  <c r="AR139" i="48" s="1"/>
  <c r="AS139" i="48" s="1"/>
  <c r="AF139" i="48"/>
  <c r="AE139" i="48"/>
  <c r="V139" i="48"/>
  <c r="S139" i="48"/>
  <c r="P139" i="48"/>
  <c r="M139" i="48"/>
  <c r="J139" i="48"/>
  <c r="AT139" i="48" s="1"/>
  <c r="F139" i="48"/>
  <c r="AT138" i="48"/>
  <c r="AQ138" i="48"/>
  <c r="AR138" i="48" s="1"/>
  <c r="AF138" i="48"/>
  <c r="AS138" i="48" s="1"/>
  <c r="AE138" i="48"/>
  <c r="V138" i="48"/>
  <c r="S138" i="48"/>
  <c r="P138" i="48"/>
  <c r="M138" i="48"/>
  <c r="J138" i="48"/>
  <c r="F138" i="48"/>
  <c r="AT137" i="48"/>
  <c r="AQ137" i="48"/>
  <c r="AR137" i="48" s="1"/>
  <c r="AE137" i="48"/>
  <c r="AF137" i="48" s="1"/>
  <c r="AS137" i="48" s="1"/>
  <c r="V137" i="48"/>
  <c r="S137" i="48"/>
  <c r="P137" i="48"/>
  <c r="M137" i="48"/>
  <c r="J137" i="48"/>
  <c r="F137" i="48"/>
  <c r="AT136" i="48"/>
  <c r="AQ136" i="48"/>
  <c r="AR136" i="48" s="1"/>
  <c r="AE136" i="48"/>
  <c r="AF136" i="48" s="1"/>
  <c r="V136" i="48"/>
  <c r="S136" i="48"/>
  <c r="P136" i="48"/>
  <c r="M136" i="48"/>
  <c r="J136" i="48"/>
  <c r="F136" i="48"/>
  <c r="AQ135" i="48"/>
  <c r="AR135" i="48" s="1"/>
  <c r="AF135" i="48"/>
  <c r="AS135" i="48" s="1"/>
  <c r="AE135" i="48"/>
  <c r="V135" i="48"/>
  <c r="S135" i="48"/>
  <c r="AT135" i="48" s="1"/>
  <c r="P135" i="48"/>
  <c r="M135" i="48"/>
  <c r="J135" i="48"/>
  <c r="F135" i="48"/>
  <c r="AQ134" i="48"/>
  <c r="AR134" i="48" s="1"/>
  <c r="AE134" i="48"/>
  <c r="AF134" i="48" s="1"/>
  <c r="AS134" i="48" s="1"/>
  <c r="V134" i="48"/>
  <c r="S134" i="48"/>
  <c r="P134" i="48"/>
  <c r="M134" i="48"/>
  <c r="J134" i="48"/>
  <c r="F134" i="48"/>
  <c r="AQ133" i="48"/>
  <c r="AR133" i="48" s="1"/>
  <c r="AE133" i="48"/>
  <c r="AF133" i="48" s="1"/>
  <c r="AS133" i="48" s="1"/>
  <c r="V133" i="48"/>
  <c r="S133" i="48"/>
  <c r="P133" i="48"/>
  <c r="M133" i="48"/>
  <c r="AT133" i="48" s="1"/>
  <c r="J133" i="48"/>
  <c r="F133" i="48"/>
  <c r="AQ132" i="48"/>
  <c r="AR132" i="48" s="1"/>
  <c r="AE132" i="48"/>
  <c r="AF132" i="48" s="1"/>
  <c r="AS132" i="48" s="1"/>
  <c r="V132" i="48"/>
  <c r="S132" i="48"/>
  <c r="P132" i="48"/>
  <c r="M132" i="48"/>
  <c r="J132" i="48"/>
  <c r="F132" i="48"/>
  <c r="AQ131" i="48"/>
  <c r="AR131" i="48" s="1"/>
  <c r="AE131" i="48"/>
  <c r="AF131" i="48" s="1"/>
  <c r="AS131" i="48" s="1"/>
  <c r="V131" i="48"/>
  <c r="S131" i="48"/>
  <c r="P131" i="48"/>
  <c r="M131" i="48"/>
  <c r="J131" i="48"/>
  <c r="F131" i="48"/>
  <c r="AQ130" i="48"/>
  <c r="AR130" i="48" s="1"/>
  <c r="AF130" i="48"/>
  <c r="AS130" i="48" s="1"/>
  <c r="AE130" i="48"/>
  <c r="V130" i="48"/>
  <c r="S130" i="48"/>
  <c r="P130" i="48"/>
  <c r="M130" i="48"/>
  <c r="J130" i="48"/>
  <c r="AT130" i="48" s="1"/>
  <c r="F130" i="48"/>
  <c r="AT129" i="48"/>
  <c r="AQ129" i="48"/>
  <c r="AR129" i="48" s="1"/>
  <c r="AE129" i="48"/>
  <c r="AF129" i="48" s="1"/>
  <c r="AS129" i="48" s="1"/>
  <c r="V129" i="48"/>
  <c r="S129" i="48"/>
  <c r="P129" i="48"/>
  <c r="M129" i="48"/>
  <c r="J129" i="48"/>
  <c r="F129" i="48"/>
  <c r="AT128" i="48"/>
  <c r="AQ128" i="48"/>
  <c r="AR128" i="48" s="1"/>
  <c r="AE128" i="48"/>
  <c r="AF128" i="48" s="1"/>
  <c r="AS128" i="48" s="1"/>
  <c r="V128" i="48"/>
  <c r="S128" i="48"/>
  <c r="P128" i="48"/>
  <c r="M128" i="48"/>
  <c r="J128" i="48"/>
  <c r="F128" i="48"/>
  <c r="AQ127" i="48"/>
  <c r="AR127" i="48" s="1"/>
  <c r="AS127" i="48" s="1"/>
  <c r="AF127" i="48"/>
  <c r="AE127" i="48"/>
  <c r="V127" i="48"/>
  <c r="S127" i="48"/>
  <c r="P127" i="48"/>
  <c r="M127" i="48"/>
  <c r="J127" i="48"/>
  <c r="AT127" i="48" s="1"/>
  <c r="F127" i="48"/>
  <c r="AT126" i="48"/>
  <c r="AQ126" i="48"/>
  <c r="AR126" i="48" s="1"/>
  <c r="AF126" i="48"/>
  <c r="AE126" i="48"/>
  <c r="V126" i="48"/>
  <c r="S126" i="48"/>
  <c r="P126" i="48"/>
  <c r="M126" i="48"/>
  <c r="J126" i="48"/>
  <c r="F126" i="48"/>
  <c r="AT125" i="48"/>
  <c r="AQ125" i="48"/>
  <c r="AR125" i="48" s="1"/>
  <c r="AE125" i="48"/>
  <c r="AF125" i="48" s="1"/>
  <c r="AS125" i="48" s="1"/>
  <c r="V125" i="48"/>
  <c r="S125" i="48"/>
  <c r="P125" i="48"/>
  <c r="M125" i="48"/>
  <c r="J125" i="48"/>
  <c r="F125" i="48"/>
  <c r="AQ124" i="48"/>
  <c r="AR124" i="48" s="1"/>
  <c r="AE124" i="48"/>
  <c r="AF124" i="48" s="1"/>
  <c r="V124" i="48"/>
  <c r="AT124" i="48" s="1"/>
  <c r="S124" i="48"/>
  <c r="P124" i="48"/>
  <c r="M124" i="48"/>
  <c r="J124" i="48"/>
  <c r="F124" i="48"/>
  <c r="AQ123" i="48"/>
  <c r="AR123" i="48" s="1"/>
  <c r="AF123" i="48"/>
  <c r="AS123" i="48" s="1"/>
  <c r="AE123" i="48"/>
  <c r="V123" i="48"/>
  <c r="S123" i="48"/>
  <c r="AT123" i="48" s="1"/>
  <c r="P123" i="48"/>
  <c r="M123" i="48"/>
  <c r="J123" i="48"/>
  <c r="F123" i="48"/>
  <c r="AQ122" i="48"/>
  <c r="AR122" i="48" s="1"/>
  <c r="AE122" i="48"/>
  <c r="AF122" i="48" s="1"/>
  <c r="AS122" i="48" s="1"/>
  <c r="V122" i="48"/>
  <c r="S122" i="48"/>
  <c r="P122" i="48"/>
  <c r="M122" i="48"/>
  <c r="J122" i="48"/>
  <c r="F122" i="48"/>
  <c r="AQ121" i="48"/>
  <c r="AR121" i="48" s="1"/>
  <c r="AE121" i="48"/>
  <c r="AF121" i="48" s="1"/>
  <c r="AS121" i="48" s="1"/>
  <c r="V121" i="48"/>
  <c r="S121" i="48"/>
  <c r="P121" i="48"/>
  <c r="M121" i="48"/>
  <c r="AT121" i="48" s="1"/>
  <c r="J121" i="48"/>
  <c r="F121" i="48"/>
  <c r="AQ120" i="48"/>
  <c r="AR120" i="48" s="1"/>
  <c r="AE120" i="48"/>
  <c r="AF120" i="48" s="1"/>
  <c r="AS120" i="48" s="1"/>
  <c r="V120" i="48"/>
  <c r="S120" i="48"/>
  <c r="P120" i="48"/>
  <c r="M120" i="48"/>
  <c r="J120" i="48"/>
  <c r="F120" i="48"/>
  <c r="AQ119" i="48"/>
  <c r="AR119" i="48" s="1"/>
  <c r="AE119" i="48"/>
  <c r="AF119" i="48" s="1"/>
  <c r="AS119" i="48" s="1"/>
  <c r="V119" i="48"/>
  <c r="S119" i="48"/>
  <c r="P119" i="48"/>
  <c r="M119" i="48"/>
  <c r="J119" i="48"/>
  <c r="F119" i="48"/>
  <c r="AQ118" i="48"/>
  <c r="AR118" i="48" s="1"/>
  <c r="AF118" i="48"/>
  <c r="AS118" i="48" s="1"/>
  <c r="AE118" i="48"/>
  <c r="V118" i="48"/>
  <c r="S118" i="48"/>
  <c r="P118" i="48"/>
  <c r="M118" i="48"/>
  <c r="J118" i="48"/>
  <c r="F118" i="48"/>
  <c r="AT117" i="48"/>
  <c r="AQ117" i="48"/>
  <c r="AR117" i="48" s="1"/>
  <c r="AE117" i="48"/>
  <c r="AF117" i="48" s="1"/>
  <c r="AS117" i="48" s="1"/>
  <c r="V117" i="48"/>
  <c r="S117" i="48"/>
  <c r="P117" i="48"/>
  <c r="M117" i="48"/>
  <c r="J117" i="48"/>
  <c r="F117" i="48"/>
  <c r="AT116" i="48"/>
  <c r="AQ116" i="48"/>
  <c r="AR116" i="48" s="1"/>
  <c r="AE116" i="48"/>
  <c r="AF116" i="48" s="1"/>
  <c r="AS116" i="48" s="1"/>
  <c r="V116" i="48"/>
  <c r="S116" i="48"/>
  <c r="P116" i="48"/>
  <c r="M116" i="48"/>
  <c r="J116" i="48"/>
  <c r="F116" i="48"/>
  <c r="AQ115" i="48"/>
  <c r="AR115" i="48" s="1"/>
  <c r="AS115" i="48" s="1"/>
  <c r="AF115" i="48"/>
  <c r="AE115" i="48"/>
  <c r="V115" i="48"/>
  <c r="S115" i="48"/>
  <c r="P115" i="48"/>
  <c r="M115" i="48"/>
  <c r="J115" i="48"/>
  <c r="AT115" i="48" s="1"/>
  <c r="F115" i="48"/>
  <c r="AT114" i="48"/>
  <c r="AQ114" i="48"/>
  <c r="AR114" i="48" s="1"/>
  <c r="AF114" i="48"/>
  <c r="AS114" i="48" s="1"/>
  <c r="AE114" i="48"/>
  <c r="V114" i="48"/>
  <c r="S114" i="48"/>
  <c r="P114" i="48"/>
  <c r="M114" i="48"/>
  <c r="J114" i="48"/>
  <c r="F114" i="48"/>
  <c r="AT113" i="48"/>
  <c r="AQ113" i="48"/>
  <c r="AR113" i="48" s="1"/>
  <c r="AE113" i="48"/>
  <c r="AF113" i="48" s="1"/>
  <c r="AS113" i="48" s="1"/>
  <c r="V113" i="48"/>
  <c r="S113" i="48"/>
  <c r="P113" i="48"/>
  <c r="M113" i="48"/>
  <c r="J113" i="48"/>
  <c r="F113" i="48"/>
  <c r="AT112" i="48"/>
  <c r="AS112" i="48"/>
  <c r="AQ112" i="48"/>
  <c r="AR112" i="48" s="1"/>
  <c r="AE112" i="48"/>
  <c r="AF112" i="48" s="1"/>
  <c r="V112" i="48"/>
  <c r="S112" i="48"/>
  <c r="P112" i="48"/>
  <c r="M112" i="48"/>
  <c r="J112" i="48"/>
  <c r="F112" i="48"/>
  <c r="AT111" i="48"/>
  <c r="AQ111" i="48"/>
  <c r="AR111" i="48" s="1"/>
  <c r="AF111" i="48"/>
  <c r="AS111" i="48" s="1"/>
  <c r="AE111" i="48"/>
  <c r="V111" i="48"/>
  <c r="S111" i="48"/>
  <c r="P111" i="48"/>
  <c r="M111" i="48"/>
  <c r="J111" i="48"/>
  <c r="F111" i="48"/>
  <c r="AT110" i="48"/>
  <c r="AQ110" i="48"/>
  <c r="AR110" i="48" s="1"/>
  <c r="AE110" i="48"/>
  <c r="AF110" i="48" s="1"/>
  <c r="AS110" i="48" s="1"/>
  <c r="V110" i="48"/>
  <c r="S110" i="48"/>
  <c r="P110" i="48"/>
  <c r="M110" i="48"/>
  <c r="J110" i="48"/>
  <c r="F110" i="48"/>
  <c r="AT109" i="48"/>
  <c r="AQ109" i="48"/>
  <c r="AR109" i="48" s="1"/>
  <c r="AE109" i="48"/>
  <c r="AF109" i="48" s="1"/>
  <c r="AS109" i="48" s="1"/>
  <c r="V109" i="48"/>
  <c r="S109" i="48"/>
  <c r="P109" i="48"/>
  <c r="M109" i="48"/>
  <c r="J109" i="48"/>
  <c r="F109" i="48"/>
  <c r="AT108" i="48"/>
  <c r="AQ108" i="48"/>
  <c r="AR108" i="48" s="1"/>
  <c r="AE108" i="48"/>
  <c r="AF108" i="48" s="1"/>
  <c r="AS108" i="48" s="1"/>
  <c r="V108" i="48"/>
  <c r="S108" i="48"/>
  <c r="P108" i="48"/>
  <c r="M108" i="48"/>
  <c r="J108" i="48"/>
  <c r="F108" i="48"/>
  <c r="AT107" i="48"/>
  <c r="AR107" i="48"/>
  <c r="AQ107" i="48"/>
  <c r="AE107" i="48"/>
  <c r="AF107" i="48" s="1"/>
  <c r="AS107" i="48" s="1"/>
  <c r="V107" i="48"/>
  <c r="S107" i="48"/>
  <c r="P107" i="48"/>
  <c r="M107" i="48"/>
  <c r="J107" i="48"/>
  <c r="F107" i="48"/>
  <c r="AT106" i="48"/>
  <c r="AR106" i="48"/>
  <c r="AQ106" i="48"/>
  <c r="AE106" i="48"/>
  <c r="AF106" i="48" s="1"/>
  <c r="AS106" i="48" s="1"/>
  <c r="V106" i="48"/>
  <c r="S106" i="48"/>
  <c r="P106" i="48"/>
  <c r="M106" i="48"/>
  <c r="J106" i="48"/>
  <c r="F106" i="48"/>
  <c r="AT105" i="48"/>
  <c r="AR105" i="48"/>
  <c r="AQ105" i="48"/>
  <c r="AE105" i="48"/>
  <c r="AF105" i="48" s="1"/>
  <c r="AS105" i="48" s="1"/>
  <c r="V105" i="48"/>
  <c r="S105" i="48"/>
  <c r="P105" i="48"/>
  <c r="M105" i="48"/>
  <c r="J105" i="48"/>
  <c r="F105" i="48"/>
  <c r="AT104" i="48"/>
  <c r="AR104" i="48"/>
  <c r="AQ104" i="48"/>
  <c r="AE104" i="48"/>
  <c r="AF104" i="48" s="1"/>
  <c r="AS104" i="48" s="1"/>
  <c r="V104" i="48"/>
  <c r="S104" i="48"/>
  <c r="P104" i="48"/>
  <c r="M104" i="48"/>
  <c r="J104" i="48"/>
  <c r="F104" i="48"/>
  <c r="AT103" i="48"/>
  <c r="AR103" i="48"/>
  <c r="AQ103" i="48"/>
  <c r="AE103" i="48"/>
  <c r="AF103" i="48" s="1"/>
  <c r="AS103" i="48" s="1"/>
  <c r="V103" i="48"/>
  <c r="S103" i="48"/>
  <c r="P103" i="48"/>
  <c r="M103" i="48"/>
  <c r="J103" i="48"/>
  <c r="F103" i="48"/>
  <c r="AT102" i="48"/>
  <c r="AR102" i="48"/>
  <c r="AQ102" i="48"/>
  <c r="AE102" i="48"/>
  <c r="AF102" i="48" s="1"/>
  <c r="AS102" i="48" s="1"/>
  <c r="V102" i="48"/>
  <c r="S102" i="48"/>
  <c r="P102" i="48"/>
  <c r="M102" i="48"/>
  <c r="J102" i="48"/>
  <c r="F102" i="48"/>
  <c r="AT101" i="48"/>
  <c r="AR101" i="48"/>
  <c r="AQ101" i="48"/>
  <c r="AE101" i="48"/>
  <c r="AF101" i="48" s="1"/>
  <c r="AS101" i="48" s="1"/>
  <c r="V101" i="48"/>
  <c r="S101" i="48"/>
  <c r="P101" i="48"/>
  <c r="M101" i="48"/>
  <c r="J101" i="48"/>
  <c r="F101" i="48"/>
  <c r="AR100" i="48"/>
  <c r="AQ100" i="48"/>
  <c r="AE100" i="48"/>
  <c r="AF100" i="48" s="1"/>
  <c r="V100" i="48"/>
  <c r="S100" i="48"/>
  <c r="P100" i="48"/>
  <c r="M100" i="48"/>
  <c r="J100" i="48"/>
  <c r="F100" i="48"/>
  <c r="AR99" i="48"/>
  <c r="AQ99" i="48"/>
  <c r="AE99" i="48"/>
  <c r="AF99" i="48" s="1"/>
  <c r="V99" i="48"/>
  <c r="S99" i="48"/>
  <c r="P99" i="48"/>
  <c r="M99" i="48"/>
  <c r="J99" i="48"/>
  <c r="F99" i="48"/>
  <c r="AR98" i="48"/>
  <c r="AQ98" i="48"/>
  <c r="AE98" i="48"/>
  <c r="AF98" i="48" s="1"/>
  <c r="V98" i="48"/>
  <c r="S98" i="48"/>
  <c r="P98" i="48"/>
  <c r="M98" i="48"/>
  <c r="J98" i="48"/>
  <c r="F98" i="48"/>
  <c r="AR97" i="48"/>
  <c r="AQ97" i="48"/>
  <c r="AE97" i="48"/>
  <c r="AF97" i="48" s="1"/>
  <c r="AS97" i="48" s="1"/>
  <c r="V97" i="48"/>
  <c r="S97" i="48"/>
  <c r="P97" i="48"/>
  <c r="M97" i="48"/>
  <c r="J97" i="48"/>
  <c r="F97" i="48"/>
  <c r="AR96" i="48"/>
  <c r="AQ96" i="48"/>
  <c r="AE96" i="48"/>
  <c r="AF96" i="48" s="1"/>
  <c r="V96" i="48"/>
  <c r="S96" i="48"/>
  <c r="P96" i="48"/>
  <c r="M96" i="48"/>
  <c r="J96" i="48"/>
  <c r="F96" i="48"/>
  <c r="AR95" i="48"/>
  <c r="AQ95" i="48"/>
  <c r="AE95" i="48"/>
  <c r="AF95" i="48" s="1"/>
  <c r="V95" i="48"/>
  <c r="S95" i="48"/>
  <c r="P95" i="48"/>
  <c r="M95" i="48"/>
  <c r="J95" i="48"/>
  <c r="F95" i="48"/>
  <c r="AR94" i="48"/>
  <c r="AQ94" i="48"/>
  <c r="AE94" i="48"/>
  <c r="AF94" i="48" s="1"/>
  <c r="V94" i="48"/>
  <c r="S94" i="48"/>
  <c r="P94" i="48"/>
  <c r="M94" i="48"/>
  <c r="J94" i="48"/>
  <c r="F94" i="48"/>
  <c r="AR93" i="48"/>
  <c r="AQ93" i="48"/>
  <c r="AE93" i="48"/>
  <c r="AF93" i="48" s="1"/>
  <c r="AS93" i="48" s="1"/>
  <c r="V93" i="48"/>
  <c r="S93" i="48"/>
  <c r="P93" i="48"/>
  <c r="M93" i="48"/>
  <c r="J93" i="48"/>
  <c r="F93" i="48"/>
  <c r="AR92" i="48"/>
  <c r="AQ92" i="48"/>
  <c r="AE92" i="48"/>
  <c r="AF92" i="48" s="1"/>
  <c r="V92" i="48"/>
  <c r="S92" i="48"/>
  <c r="P92" i="48"/>
  <c r="M92" i="48"/>
  <c r="J92" i="48"/>
  <c r="F92" i="48"/>
  <c r="AR91" i="48"/>
  <c r="AQ91" i="48"/>
  <c r="AE91" i="48"/>
  <c r="AF91" i="48" s="1"/>
  <c r="V91" i="48"/>
  <c r="S91" i="48"/>
  <c r="P91" i="48"/>
  <c r="M91" i="48"/>
  <c r="J91" i="48"/>
  <c r="F91" i="48"/>
  <c r="AR90" i="48"/>
  <c r="AQ90" i="48"/>
  <c r="AE90" i="48"/>
  <c r="AF90" i="48" s="1"/>
  <c r="V90" i="48"/>
  <c r="S90" i="48"/>
  <c r="P90" i="48"/>
  <c r="M90" i="48"/>
  <c r="J90" i="48"/>
  <c r="F90" i="48"/>
  <c r="AR89" i="48"/>
  <c r="AQ89" i="48"/>
  <c r="AE89" i="48"/>
  <c r="AF89" i="48" s="1"/>
  <c r="AS89" i="48" s="1"/>
  <c r="V89" i="48"/>
  <c r="S89" i="48"/>
  <c r="P89" i="48"/>
  <c r="M89" i="48"/>
  <c r="J89" i="48"/>
  <c r="F89" i="48"/>
  <c r="AR88" i="48"/>
  <c r="AQ88" i="48"/>
  <c r="AE88" i="48"/>
  <c r="AF88" i="48" s="1"/>
  <c r="V88" i="48"/>
  <c r="S88" i="48"/>
  <c r="P88" i="48"/>
  <c r="M88" i="48"/>
  <c r="J88" i="48"/>
  <c r="AT88" i="48" s="1"/>
  <c r="F88" i="48"/>
  <c r="AR87" i="48"/>
  <c r="AQ87" i="48"/>
  <c r="AF87" i="48"/>
  <c r="AS87" i="48" s="1"/>
  <c r="AE87" i="48"/>
  <c r="V87" i="48"/>
  <c r="S87" i="48"/>
  <c r="P87" i="48"/>
  <c r="M87" i="48"/>
  <c r="J87" i="48"/>
  <c r="AT87" i="48" s="1"/>
  <c r="F87" i="48"/>
  <c r="AR86" i="48"/>
  <c r="AQ86" i="48"/>
  <c r="AF86" i="48"/>
  <c r="AS86" i="48" s="1"/>
  <c r="AE86" i="48"/>
  <c r="V86" i="48"/>
  <c r="S86" i="48"/>
  <c r="P86" i="48"/>
  <c r="M86" i="48"/>
  <c r="J86" i="48"/>
  <c r="F86" i="48"/>
  <c r="AR85" i="48"/>
  <c r="AQ85" i="48"/>
  <c r="AF85" i="48"/>
  <c r="AE85" i="48"/>
  <c r="V85" i="48"/>
  <c r="S85" i="48"/>
  <c r="P85" i="48"/>
  <c r="M85" i="48"/>
  <c r="J85" i="48"/>
  <c r="F85" i="48"/>
  <c r="AR84" i="48"/>
  <c r="AQ84" i="48"/>
  <c r="AE84" i="48"/>
  <c r="AF84" i="48" s="1"/>
  <c r="AS84" i="48" s="1"/>
  <c r="V84" i="48"/>
  <c r="S84" i="48"/>
  <c r="P84" i="48"/>
  <c r="M84" i="48"/>
  <c r="J84" i="48"/>
  <c r="AT84" i="48" s="1"/>
  <c r="F84" i="48"/>
  <c r="AR83" i="48"/>
  <c r="AQ83" i="48"/>
  <c r="AF83" i="48"/>
  <c r="AS83" i="48" s="1"/>
  <c r="AE83" i="48"/>
  <c r="V83" i="48"/>
  <c r="S83" i="48"/>
  <c r="P83" i="48"/>
  <c r="M83" i="48"/>
  <c r="J83" i="48"/>
  <c r="AT83" i="48" s="1"/>
  <c r="F83" i="48"/>
  <c r="AR82" i="48"/>
  <c r="AQ82" i="48"/>
  <c r="AE82" i="48"/>
  <c r="AF82" i="48" s="1"/>
  <c r="AS82" i="48" s="1"/>
  <c r="V82" i="48"/>
  <c r="S82" i="48"/>
  <c r="P82" i="48"/>
  <c r="M82" i="48"/>
  <c r="J82" i="48"/>
  <c r="AT82" i="48" s="1"/>
  <c r="F82" i="48"/>
  <c r="AT81" i="48"/>
  <c r="AR81" i="48"/>
  <c r="AQ81" i="48"/>
  <c r="AF81" i="48"/>
  <c r="AS81" i="48" s="1"/>
  <c r="AE81" i="48"/>
  <c r="V81" i="48"/>
  <c r="S81" i="48"/>
  <c r="P81" i="48"/>
  <c r="M81" i="48"/>
  <c r="J81" i="48"/>
  <c r="F81" i="48"/>
  <c r="AT80" i="48"/>
  <c r="AR80" i="48"/>
  <c r="AQ80" i="48"/>
  <c r="AE80" i="48"/>
  <c r="AF80" i="48" s="1"/>
  <c r="AS80" i="48" s="1"/>
  <c r="V80" i="48"/>
  <c r="S80" i="48"/>
  <c r="P80" i="48"/>
  <c r="M80" i="48"/>
  <c r="J80" i="48"/>
  <c r="F80" i="48"/>
  <c r="AR79" i="48"/>
  <c r="AQ79" i="48"/>
  <c r="AE79" i="48"/>
  <c r="AF79" i="48" s="1"/>
  <c r="AS79" i="48" s="1"/>
  <c r="V79" i="48"/>
  <c r="S79" i="48"/>
  <c r="P79" i="48"/>
  <c r="M79" i="48"/>
  <c r="J79" i="48"/>
  <c r="AT79" i="48" s="1"/>
  <c r="F79" i="48"/>
  <c r="AQ78" i="48"/>
  <c r="AR78" i="48" s="1"/>
  <c r="AF78" i="48"/>
  <c r="AE78" i="48"/>
  <c r="V78" i="48"/>
  <c r="S78" i="48"/>
  <c r="P78" i="48"/>
  <c r="M78" i="48"/>
  <c r="AT78" i="48" s="1"/>
  <c r="J78" i="48"/>
  <c r="F78" i="48"/>
  <c r="AR77" i="48"/>
  <c r="AQ77" i="48"/>
  <c r="AF77" i="48"/>
  <c r="AS77" i="48" s="1"/>
  <c r="AE77" i="48"/>
  <c r="V77" i="48"/>
  <c r="S77" i="48"/>
  <c r="P77" i="48"/>
  <c r="M77" i="48"/>
  <c r="J77" i="48"/>
  <c r="AT77" i="48" s="1"/>
  <c r="F77" i="48"/>
  <c r="AQ76" i="48"/>
  <c r="AR76" i="48" s="1"/>
  <c r="AE76" i="48"/>
  <c r="AF76" i="48" s="1"/>
  <c r="AS76" i="48" s="1"/>
  <c r="V76" i="48"/>
  <c r="AT76" i="48" s="1"/>
  <c r="S76" i="48"/>
  <c r="P76" i="48"/>
  <c r="M76" i="48"/>
  <c r="J76" i="48"/>
  <c r="F76" i="48"/>
  <c r="AR75" i="48"/>
  <c r="AQ75" i="48"/>
  <c r="AF75" i="48"/>
  <c r="AS75" i="48" s="1"/>
  <c r="AE75" i="48"/>
  <c r="V75" i="48"/>
  <c r="S75" i="48"/>
  <c r="P75" i="48"/>
  <c r="M75" i="48"/>
  <c r="J75" i="48"/>
  <c r="F75" i="48"/>
  <c r="AQ74" i="48"/>
  <c r="AR74" i="48" s="1"/>
  <c r="AE74" i="48"/>
  <c r="AF74" i="48" s="1"/>
  <c r="AS74" i="48" s="1"/>
  <c r="V74" i="48"/>
  <c r="S74" i="48"/>
  <c r="P74" i="48"/>
  <c r="AT74" i="48" s="1"/>
  <c r="M74" i="48"/>
  <c r="J74" i="48"/>
  <c r="F74" i="48"/>
  <c r="AR73" i="48"/>
  <c r="AQ73" i="48"/>
  <c r="AF73" i="48"/>
  <c r="AE73" i="48"/>
  <c r="V73" i="48"/>
  <c r="S73" i="48"/>
  <c r="P73" i="48"/>
  <c r="M73" i="48"/>
  <c r="J73" i="48"/>
  <c r="F73" i="48"/>
  <c r="AQ72" i="48"/>
  <c r="AR72" i="48" s="1"/>
  <c r="AE72" i="48"/>
  <c r="AF72" i="48" s="1"/>
  <c r="AS72" i="48" s="1"/>
  <c r="V72" i="48"/>
  <c r="S72" i="48"/>
  <c r="P72" i="48"/>
  <c r="M72" i="48"/>
  <c r="J72" i="48"/>
  <c r="F72" i="48"/>
  <c r="AR71" i="48"/>
  <c r="AQ71" i="48"/>
  <c r="AF71" i="48"/>
  <c r="AS71" i="48" s="1"/>
  <c r="AE71" i="48"/>
  <c r="V71" i="48"/>
  <c r="S71" i="48"/>
  <c r="P71" i="48"/>
  <c r="M71" i="48"/>
  <c r="J71" i="48"/>
  <c r="AT71" i="48" s="1"/>
  <c r="F71" i="48"/>
  <c r="AQ70" i="48"/>
  <c r="AR70" i="48" s="1"/>
  <c r="AE70" i="48"/>
  <c r="AF70" i="48" s="1"/>
  <c r="AS70" i="48" s="1"/>
  <c r="V70" i="48"/>
  <c r="S70" i="48"/>
  <c r="P70" i="48"/>
  <c r="M70" i="48"/>
  <c r="J70" i="48"/>
  <c r="AT70" i="48" s="1"/>
  <c r="F70" i="48"/>
  <c r="AT69" i="48"/>
  <c r="AQ69" i="48"/>
  <c r="AR69" i="48" s="1"/>
  <c r="AF69" i="48"/>
  <c r="AE69" i="48"/>
  <c r="V69" i="48"/>
  <c r="S69" i="48"/>
  <c r="P69" i="48"/>
  <c r="M69" i="48"/>
  <c r="J69" i="48"/>
  <c r="F69" i="48"/>
  <c r="AT68" i="48"/>
  <c r="AR68" i="48"/>
  <c r="AQ68" i="48"/>
  <c r="AE68" i="48"/>
  <c r="AF68" i="48" s="1"/>
  <c r="AS68" i="48" s="1"/>
  <c r="V68" i="48"/>
  <c r="S68" i="48"/>
  <c r="P68" i="48"/>
  <c r="M68" i="48"/>
  <c r="J68" i="48"/>
  <c r="F68" i="48"/>
  <c r="AR67" i="48"/>
  <c r="AQ67" i="48"/>
  <c r="AE67" i="48"/>
  <c r="AF67" i="48" s="1"/>
  <c r="V67" i="48"/>
  <c r="S67" i="48"/>
  <c r="P67" i="48"/>
  <c r="M67" i="48"/>
  <c r="J67" i="48"/>
  <c r="AT67" i="48" s="1"/>
  <c r="F67" i="48"/>
  <c r="AQ66" i="48"/>
  <c r="AR66" i="48" s="1"/>
  <c r="AF66" i="48"/>
  <c r="AS66" i="48" s="1"/>
  <c r="AE66" i="48"/>
  <c r="V66" i="48"/>
  <c r="S66" i="48"/>
  <c r="P66" i="48"/>
  <c r="M66" i="48"/>
  <c r="AT66" i="48" s="1"/>
  <c r="J66" i="48"/>
  <c r="F66" i="48"/>
  <c r="AR65" i="48"/>
  <c r="AQ65" i="48"/>
  <c r="AE65" i="48"/>
  <c r="AF65" i="48" s="1"/>
  <c r="AS65" i="48" s="1"/>
  <c r="V65" i="48"/>
  <c r="S65" i="48"/>
  <c r="P65" i="48"/>
  <c r="M65" i="48"/>
  <c r="J65" i="48"/>
  <c r="AT65" i="48" s="1"/>
  <c r="F65" i="48"/>
  <c r="AT64" i="48"/>
  <c r="AQ64" i="48"/>
  <c r="AR64" i="48" s="1"/>
  <c r="AE64" i="48"/>
  <c r="AF64" i="48" s="1"/>
  <c r="V64" i="48"/>
  <c r="S64" i="48"/>
  <c r="P64" i="48"/>
  <c r="M64" i="48"/>
  <c r="J64" i="48"/>
  <c r="F64" i="48"/>
  <c r="AT63" i="48"/>
  <c r="AR63" i="48"/>
  <c r="AQ63" i="48"/>
  <c r="AF63" i="48"/>
  <c r="AE63" i="48"/>
  <c r="V63" i="48"/>
  <c r="S63" i="48"/>
  <c r="P63" i="48"/>
  <c r="M63" i="48"/>
  <c r="J63" i="48"/>
  <c r="F63" i="48"/>
  <c r="AT62" i="48"/>
  <c r="AQ62" i="48"/>
  <c r="AR62" i="48" s="1"/>
  <c r="AE62" i="48"/>
  <c r="AF62" i="48" s="1"/>
  <c r="V62" i="48"/>
  <c r="S62" i="48"/>
  <c r="P62" i="48"/>
  <c r="M62" i="48"/>
  <c r="J62" i="48"/>
  <c r="F62" i="48"/>
  <c r="AT61" i="48"/>
  <c r="AR61" i="48"/>
  <c r="AQ61" i="48"/>
  <c r="AF61" i="48"/>
  <c r="AE61" i="48"/>
  <c r="V61" i="48"/>
  <c r="S61" i="48"/>
  <c r="P61" i="48"/>
  <c r="M61" i="48"/>
  <c r="J61" i="48"/>
  <c r="F61" i="48"/>
  <c r="AT60" i="48"/>
  <c r="AQ60" i="48"/>
  <c r="AR60" i="48" s="1"/>
  <c r="AE60" i="48"/>
  <c r="AF60" i="48" s="1"/>
  <c r="AS60" i="48" s="1"/>
  <c r="V60" i="48"/>
  <c r="S60" i="48"/>
  <c r="P60" i="48"/>
  <c r="M60" i="48"/>
  <c r="J60" i="48"/>
  <c r="F60" i="48"/>
  <c r="AT59" i="48"/>
  <c r="AR59" i="48"/>
  <c r="AQ59" i="48"/>
  <c r="AF59" i="48"/>
  <c r="AS59" i="48" s="1"/>
  <c r="AE59" i="48"/>
  <c r="V59" i="48"/>
  <c r="S59" i="48"/>
  <c r="P59" i="48"/>
  <c r="M59" i="48"/>
  <c r="J59" i="48"/>
  <c r="F59" i="48"/>
  <c r="AT58" i="48"/>
  <c r="AR58" i="48"/>
  <c r="AQ58" i="48"/>
  <c r="AF58" i="48"/>
  <c r="AS58" i="48" s="1"/>
  <c r="AE58" i="48"/>
  <c r="V58" i="48"/>
  <c r="S58" i="48"/>
  <c r="P58" i="48"/>
  <c r="M58" i="48"/>
  <c r="J58" i="48"/>
  <c r="F58" i="48"/>
  <c r="AT57" i="48"/>
  <c r="AR57" i="48"/>
  <c r="AQ57" i="48"/>
  <c r="AF57" i="48"/>
  <c r="AS57" i="48" s="1"/>
  <c r="AE57" i="48"/>
  <c r="V57" i="48"/>
  <c r="S57" i="48"/>
  <c r="P57" i="48"/>
  <c r="M57" i="48"/>
  <c r="J57" i="48"/>
  <c r="F57" i="48"/>
  <c r="AT56" i="48"/>
  <c r="AR56" i="48"/>
  <c r="AQ56" i="48"/>
  <c r="AF56" i="48"/>
  <c r="AS56" i="48" s="1"/>
  <c r="AE56" i="48"/>
  <c r="V56" i="48"/>
  <c r="S56" i="48"/>
  <c r="P56" i="48"/>
  <c r="M56" i="48"/>
  <c r="J56" i="48"/>
  <c r="F56" i="48"/>
  <c r="AT55" i="48"/>
  <c r="AR55" i="48"/>
  <c r="AQ55" i="48"/>
  <c r="AF55" i="48"/>
  <c r="AS55" i="48" s="1"/>
  <c r="AE55" i="48"/>
  <c r="V55" i="48"/>
  <c r="S55" i="48"/>
  <c r="P55" i="48"/>
  <c r="M55" i="48"/>
  <c r="J55" i="48"/>
  <c r="F55" i="48"/>
  <c r="AT54" i="48"/>
  <c r="AR54" i="48"/>
  <c r="AQ54" i="48"/>
  <c r="AF54" i="48"/>
  <c r="AS54" i="48" s="1"/>
  <c r="AE54" i="48"/>
  <c r="V54" i="48"/>
  <c r="S54" i="48"/>
  <c r="P54" i="48"/>
  <c r="M54" i="48"/>
  <c r="J54" i="48"/>
  <c r="F54" i="48"/>
  <c r="AT53" i="48"/>
  <c r="AR53" i="48"/>
  <c r="AQ53" i="48"/>
  <c r="AF53" i="48"/>
  <c r="AS53" i="48" s="1"/>
  <c r="AE53" i="48"/>
  <c r="V53" i="48"/>
  <c r="S53" i="48"/>
  <c r="P53" i="48"/>
  <c r="M53" i="48"/>
  <c r="J53" i="48"/>
  <c r="F53" i="48"/>
  <c r="AR52" i="48"/>
  <c r="AQ52" i="48"/>
  <c r="AF52" i="48"/>
  <c r="AS52" i="48" s="1"/>
  <c r="AE52" i="48"/>
  <c r="V52" i="48"/>
  <c r="S52" i="48"/>
  <c r="P52" i="48"/>
  <c r="M52" i="48"/>
  <c r="J52" i="48"/>
  <c r="AT52" i="48" s="1"/>
  <c r="F52" i="48"/>
  <c r="AR51" i="48"/>
  <c r="AQ51" i="48"/>
  <c r="AF51" i="48"/>
  <c r="AS51" i="48" s="1"/>
  <c r="AE51" i="48"/>
  <c r="V51" i="48"/>
  <c r="S51" i="48"/>
  <c r="P51" i="48"/>
  <c r="M51" i="48"/>
  <c r="J51" i="48"/>
  <c r="AT51" i="48" s="1"/>
  <c r="F51" i="48"/>
  <c r="AR50" i="48"/>
  <c r="AQ50" i="48"/>
  <c r="AF50" i="48"/>
  <c r="AS50" i="48" s="1"/>
  <c r="AE50" i="48"/>
  <c r="V50" i="48"/>
  <c r="S50" i="48"/>
  <c r="P50" i="48"/>
  <c r="M50" i="48"/>
  <c r="J50" i="48"/>
  <c r="AT50" i="48" s="1"/>
  <c r="F50" i="48"/>
  <c r="AR49" i="48"/>
  <c r="AQ49" i="48"/>
  <c r="AF49" i="48"/>
  <c r="AS49" i="48" s="1"/>
  <c r="AE49" i="48"/>
  <c r="V49" i="48"/>
  <c r="S49" i="48"/>
  <c r="P49" i="48"/>
  <c r="M49" i="48"/>
  <c r="J49" i="48"/>
  <c r="AT49" i="48" s="1"/>
  <c r="F49" i="48"/>
  <c r="AR48" i="48"/>
  <c r="AQ48" i="48"/>
  <c r="AF48" i="48"/>
  <c r="AS48" i="48" s="1"/>
  <c r="AE48" i="48"/>
  <c r="V48" i="48"/>
  <c r="S48" i="48"/>
  <c r="P48" i="48"/>
  <c r="M48" i="48"/>
  <c r="J48" i="48"/>
  <c r="AT48" i="48" s="1"/>
  <c r="F48" i="48"/>
  <c r="AR47" i="48"/>
  <c r="AQ47" i="48"/>
  <c r="AF47" i="48"/>
  <c r="AS47" i="48" s="1"/>
  <c r="AE47" i="48"/>
  <c r="V47" i="48"/>
  <c r="S47" i="48"/>
  <c r="P47" i="48"/>
  <c r="M47" i="48"/>
  <c r="J47" i="48"/>
  <c r="AT47" i="48" s="1"/>
  <c r="F47" i="48"/>
  <c r="AR46" i="48"/>
  <c r="AQ46" i="48"/>
  <c r="AF46" i="48"/>
  <c r="AS46" i="48" s="1"/>
  <c r="AE46" i="48"/>
  <c r="V46" i="48"/>
  <c r="S46" i="48"/>
  <c r="P46" i="48"/>
  <c r="M46" i="48"/>
  <c r="J46" i="48"/>
  <c r="AT46" i="48" s="1"/>
  <c r="F46" i="48"/>
  <c r="AR45" i="48"/>
  <c r="AQ45" i="48"/>
  <c r="AF45" i="48"/>
  <c r="AS45" i="48" s="1"/>
  <c r="AE45" i="48"/>
  <c r="V45" i="48"/>
  <c r="S45" i="48"/>
  <c r="P45" i="48"/>
  <c r="M45" i="48"/>
  <c r="J45" i="48"/>
  <c r="AT45" i="48" s="1"/>
  <c r="F45" i="48"/>
  <c r="AR44" i="48"/>
  <c r="AQ44" i="48"/>
  <c r="AF44" i="48"/>
  <c r="AS44" i="48" s="1"/>
  <c r="AE44" i="48"/>
  <c r="V44" i="48"/>
  <c r="S44" i="48"/>
  <c r="P44" i="48"/>
  <c r="M44" i="48"/>
  <c r="J44" i="48"/>
  <c r="AT44" i="48" s="1"/>
  <c r="F44" i="48"/>
  <c r="AR43" i="48"/>
  <c r="AQ43" i="48"/>
  <c r="AF43" i="48"/>
  <c r="AS43" i="48" s="1"/>
  <c r="AE43" i="48"/>
  <c r="V43" i="48"/>
  <c r="S43" i="48"/>
  <c r="P43" i="48"/>
  <c r="M43" i="48"/>
  <c r="J43" i="48"/>
  <c r="AT43" i="48" s="1"/>
  <c r="F43" i="48"/>
  <c r="AR42" i="48"/>
  <c r="AQ42" i="48"/>
  <c r="AF42" i="48"/>
  <c r="AS42" i="48" s="1"/>
  <c r="AE42" i="48"/>
  <c r="V42" i="48"/>
  <c r="S42" i="48"/>
  <c r="P42" i="48"/>
  <c r="M42" i="48"/>
  <c r="J42" i="48"/>
  <c r="AT42" i="48" s="1"/>
  <c r="F42" i="48"/>
  <c r="AR41" i="48"/>
  <c r="AQ41" i="48"/>
  <c r="AF41" i="48"/>
  <c r="AS41" i="48" s="1"/>
  <c r="AE41" i="48"/>
  <c r="V41" i="48"/>
  <c r="S41" i="48"/>
  <c r="P41" i="48"/>
  <c r="M41" i="48"/>
  <c r="J41" i="48"/>
  <c r="AT41" i="48" s="1"/>
  <c r="F41" i="48"/>
  <c r="AR40" i="48"/>
  <c r="AQ40" i="48"/>
  <c r="AF40" i="48"/>
  <c r="AS40" i="48" s="1"/>
  <c r="AE40" i="48"/>
  <c r="V40" i="48"/>
  <c r="S40" i="48"/>
  <c r="P40" i="48"/>
  <c r="M40" i="48"/>
  <c r="J40" i="48"/>
  <c r="AT40" i="48" s="1"/>
  <c r="F40" i="48"/>
  <c r="AR39" i="48"/>
  <c r="AQ39" i="48"/>
  <c r="AF39" i="48"/>
  <c r="AS39" i="48" s="1"/>
  <c r="AE39" i="48"/>
  <c r="V39" i="48"/>
  <c r="S39" i="48"/>
  <c r="P39" i="48"/>
  <c r="M39" i="48"/>
  <c r="J39" i="48"/>
  <c r="AT39" i="48" s="1"/>
  <c r="F39" i="48"/>
  <c r="AR38" i="48"/>
  <c r="AQ38" i="48"/>
  <c r="AF38" i="48"/>
  <c r="AS38" i="48" s="1"/>
  <c r="AE38" i="48"/>
  <c r="V38" i="48"/>
  <c r="S38" i="48"/>
  <c r="P38" i="48"/>
  <c r="M38" i="48"/>
  <c r="J38" i="48"/>
  <c r="AT38" i="48" s="1"/>
  <c r="F38" i="48"/>
  <c r="AR37" i="48"/>
  <c r="AQ37" i="48"/>
  <c r="AF37" i="48"/>
  <c r="AS37" i="48" s="1"/>
  <c r="AE37" i="48"/>
  <c r="V37" i="48"/>
  <c r="S37" i="48"/>
  <c r="P37" i="48"/>
  <c r="M37" i="48"/>
  <c r="J37" i="48"/>
  <c r="AT37" i="48" s="1"/>
  <c r="F37" i="48"/>
  <c r="AR36" i="48"/>
  <c r="AQ36" i="48"/>
  <c r="AF36" i="48"/>
  <c r="AS36" i="48" s="1"/>
  <c r="AE36" i="48"/>
  <c r="V36" i="48"/>
  <c r="S36" i="48"/>
  <c r="P36" i="48"/>
  <c r="M36" i="48"/>
  <c r="J36" i="48"/>
  <c r="AT36" i="48" s="1"/>
  <c r="F36" i="48"/>
  <c r="AR35" i="48"/>
  <c r="AQ35" i="48"/>
  <c r="AF35" i="48"/>
  <c r="AS35" i="48" s="1"/>
  <c r="AE35" i="48"/>
  <c r="V35" i="48"/>
  <c r="S35" i="48"/>
  <c r="P35" i="48"/>
  <c r="M35" i="48"/>
  <c r="J35" i="48"/>
  <c r="AT35" i="48" s="1"/>
  <c r="F35" i="48"/>
  <c r="AR34" i="48"/>
  <c r="AQ34" i="48"/>
  <c r="AF34" i="48"/>
  <c r="AS34" i="48" s="1"/>
  <c r="AE34" i="48"/>
  <c r="V34" i="48"/>
  <c r="S34" i="48"/>
  <c r="P34" i="48"/>
  <c r="M34" i="48"/>
  <c r="J34" i="48"/>
  <c r="AT34" i="48" s="1"/>
  <c r="F34" i="48"/>
  <c r="AR33" i="48"/>
  <c r="AQ33" i="48"/>
  <c r="AF33" i="48"/>
  <c r="AS33" i="48" s="1"/>
  <c r="AE33" i="48"/>
  <c r="V33" i="48"/>
  <c r="S33" i="48"/>
  <c r="P33" i="48"/>
  <c r="M33" i="48"/>
  <c r="J33" i="48"/>
  <c r="AT33" i="48" s="1"/>
  <c r="F33" i="48"/>
  <c r="AR32" i="48"/>
  <c r="AQ32" i="48"/>
  <c r="AF32" i="48"/>
  <c r="AS32" i="48" s="1"/>
  <c r="AE32" i="48"/>
  <c r="V32" i="48"/>
  <c r="S32" i="48"/>
  <c r="P32" i="48"/>
  <c r="M32" i="48"/>
  <c r="J32" i="48"/>
  <c r="AT32" i="48" s="1"/>
  <c r="F32" i="48"/>
  <c r="AR31" i="48"/>
  <c r="AQ31" i="48"/>
  <c r="AF31" i="48"/>
  <c r="AS31" i="48" s="1"/>
  <c r="AE31" i="48"/>
  <c r="V31" i="48"/>
  <c r="S31" i="48"/>
  <c r="P31" i="48"/>
  <c r="M31" i="48"/>
  <c r="J31" i="48"/>
  <c r="AT31" i="48" s="1"/>
  <c r="F31" i="48"/>
  <c r="AR30" i="48"/>
  <c r="AQ30" i="48"/>
  <c r="AF30" i="48"/>
  <c r="AS30" i="48" s="1"/>
  <c r="AE30" i="48"/>
  <c r="V30" i="48"/>
  <c r="S30" i="48"/>
  <c r="P30" i="48"/>
  <c r="M30" i="48"/>
  <c r="J30" i="48"/>
  <c r="AT30" i="48" s="1"/>
  <c r="F30" i="48"/>
  <c r="AR29" i="48"/>
  <c r="AQ29" i="48"/>
  <c r="AF29" i="48"/>
  <c r="AS29" i="48" s="1"/>
  <c r="AE29" i="48"/>
  <c r="V29" i="48"/>
  <c r="S29" i="48"/>
  <c r="P29" i="48"/>
  <c r="M29" i="48"/>
  <c r="J29" i="48"/>
  <c r="AT29" i="48" s="1"/>
  <c r="F29" i="48"/>
  <c r="AT28" i="48"/>
  <c r="AR28" i="48"/>
  <c r="AQ28" i="48"/>
  <c r="AF28" i="48"/>
  <c r="AS28" i="48" s="1"/>
  <c r="AE28" i="48"/>
  <c r="V28" i="48"/>
  <c r="S28" i="48"/>
  <c r="P28" i="48"/>
  <c r="M28" i="48"/>
  <c r="J28" i="48"/>
  <c r="F28" i="48"/>
  <c r="AT27" i="48"/>
  <c r="AR27" i="48"/>
  <c r="AQ27" i="48"/>
  <c r="AF27" i="48"/>
  <c r="AS27" i="48" s="1"/>
  <c r="AE27" i="48"/>
  <c r="V27" i="48"/>
  <c r="S27" i="48"/>
  <c r="P27" i="48"/>
  <c r="M27" i="48"/>
  <c r="J27" i="48"/>
  <c r="F27" i="48"/>
  <c r="AT26" i="48"/>
  <c r="AR26" i="48"/>
  <c r="AQ26" i="48"/>
  <c r="AF26" i="48"/>
  <c r="AS26" i="48" s="1"/>
  <c r="AE26" i="48"/>
  <c r="V26" i="48"/>
  <c r="S26" i="48"/>
  <c r="P26" i="48"/>
  <c r="M26" i="48"/>
  <c r="J26" i="48"/>
  <c r="F26" i="48"/>
  <c r="AT25" i="48"/>
  <c r="AR25" i="48"/>
  <c r="AQ25" i="48"/>
  <c r="AF25" i="48"/>
  <c r="AS25" i="48" s="1"/>
  <c r="AE25" i="48"/>
  <c r="V25" i="48"/>
  <c r="S25" i="48"/>
  <c r="P25" i="48"/>
  <c r="M25" i="48"/>
  <c r="J25" i="48"/>
  <c r="F25" i="48"/>
  <c r="AT24" i="48"/>
  <c r="AR24" i="48"/>
  <c r="AQ24" i="48"/>
  <c r="AF24" i="48"/>
  <c r="AS24" i="48" s="1"/>
  <c r="AE24" i="48"/>
  <c r="V24" i="48"/>
  <c r="S24" i="48"/>
  <c r="P24" i="48"/>
  <c r="M24" i="48"/>
  <c r="J24" i="48"/>
  <c r="F24" i="48"/>
  <c r="AT23" i="48"/>
  <c r="AR23" i="48"/>
  <c r="AQ23" i="48"/>
  <c r="AF23" i="48"/>
  <c r="AS23" i="48" s="1"/>
  <c r="AE23" i="48"/>
  <c r="V23" i="48"/>
  <c r="S23" i="48"/>
  <c r="P23" i="48"/>
  <c r="M23" i="48"/>
  <c r="J23" i="48"/>
  <c r="F23" i="48"/>
  <c r="AT22" i="48"/>
  <c r="AR22" i="48"/>
  <c r="AQ22" i="48"/>
  <c r="AF22" i="48"/>
  <c r="AS22" i="48" s="1"/>
  <c r="AE22" i="48"/>
  <c r="V22" i="48"/>
  <c r="S22" i="48"/>
  <c r="P22" i="48"/>
  <c r="M22" i="48"/>
  <c r="J22" i="48"/>
  <c r="F22" i="48"/>
  <c r="AT21" i="48"/>
  <c r="AR21" i="48"/>
  <c r="AQ21" i="48"/>
  <c r="AF21" i="48"/>
  <c r="AS21" i="48" s="1"/>
  <c r="AE21" i="48"/>
  <c r="V21" i="48"/>
  <c r="S21" i="48"/>
  <c r="P21" i="48"/>
  <c r="M21" i="48"/>
  <c r="J21" i="48"/>
  <c r="F21" i="48"/>
  <c r="AT20" i="48"/>
  <c r="AR20" i="48"/>
  <c r="AQ20" i="48"/>
  <c r="AF20" i="48"/>
  <c r="AS20" i="48" s="1"/>
  <c r="AE20" i="48"/>
  <c r="V20" i="48"/>
  <c r="S20" i="48"/>
  <c r="P20" i="48"/>
  <c r="M20" i="48"/>
  <c r="J20" i="48"/>
  <c r="F20" i="48"/>
  <c r="AT19" i="48"/>
  <c r="AR19" i="48"/>
  <c r="AQ19" i="48"/>
  <c r="AF19" i="48"/>
  <c r="AS19" i="48" s="1"/>
  <c r="AE19" i="48"/>
  <c r="V19" i="48"/>
  <c r="S19" i="48"/>
  <c r="P19" i="48"/>
  <c r="M19" i="48"/>
  <c r="J19" i="48"/>
  <c r="F19" i="48"/>
  <c r="AT18" i="48"/>
  <c r="AR18" i="48"/>
  <c r="AQ18" i="48"/>
  <c r="AF18" i="48"/>
  <c r="AS18" i="48" s="1"/>
  <c r="AE18" i="48"/>
  <c r="V18" i="48"/>
  <c r="S18" i="48"/>
  <c r="P18" i="48"/>
  <c r="M18" i="48"/>
  <c r="J18" i="48"/>
  <c r="F18" i="48"/>
  <c r="AT17" i="48"/>
  <c r="AR17" i="48"/>
  <c r="AQ17" i="48"/>
  <c r="AF17" i="48"/>
  <c r="AS17" i="48" s="1"/>
  <c r="AE17" i="48"/>
  <c r="V17" i="48"/>
  <c r="S17" i="48"/>
  <c r="P17" i="48"/>
  <c r="M17" i="48"/>
  <c r="J17" i="48"/>
  <c r="F17" i="48"/>
  <c r="AR16" i="48"/>
  <c r="AQ16" i="48"/>
  <c r="AF16" i="48"/>
  <c r="AS16" i="48" s="1"/>
  <c r="AE16" i="48"/>
  <c r="V16" i="48"/>
  <c r="S16" i="48"/>
  <c r="P16" i="48"/>
  <c r="M16" i="48"/>
  <c r="J16" i="48"/>
  <c r="AT16" i="48" s="1"/>
  <c r="F16" i="48"/>
  <c r="AR15" i="48"/>
  <c r="AQ15" i="48"/>
  <c r="AF15" i="48"/>
  <c r="AS15" i="48" s="1"/>
  <c r="AE15" i="48"/>
  <c r="V15" i="48"/>
  <c r="S15" i="48"/>
  <c r="P15" i="48"/>
  <c r="M15" i="48"/>
  <c r="J15" i="48"/>
  <c r="AT15" i="48" s="1"/>
  <c r="F15" i="48"/>
  <c r="AR14" i="48"/>
  <c r="AQ14" i="48"/>
  <c r="AF14" i="48"/>
  <c r="AS14" i="48" s="1"/>
  <c r="AE14" i="48"/>
  <c r="V14" i="48"/>
  <c r="S14" i="48"/>
  <c r="P14" i="48"/>
  <c r="M14" i="48"/>
  <c r="J14" i="48"/>
  <c r="AT14" i="48" s="1"/>
  <c r="F14" i="48"/>
  <c r="AR13" i="48"/>
  <c r="AQ13" i="48"/>
  <c r="AF13" i="48"/>
  <c r="AS13" i="48" s="1"/>
  <c r="AE13" i="48"/>
  <c r="V13" i="48"/>
  <c r="S13" i="48"/>
  <c r="P13" i="48"/>
  <c r="M13" i="48"/>
  <c r="J13" i="48"/>
  <c r="AT13" i="48" s="1"/>
  <c r="F13" i="48"/>
  <c r="AR12" i="48"/>
  <c r="AQ12" i="48"/>
  <c r="AF12" i="48"/>
  <c r="AS12" i="48" s="1"/>
  <c r="AE12" i="48"/>
  <c r="V12" i="48"/>
  <c r="S12" i="48"/>
  <c r="P12" i="48"/>
  <c r="M12" i="48"/>
  <c r="J12" i="48"/>
  <c r="AT12" i="48" s="1"/>
  <c r="F12" i="48"/>
  <c r="AR11" i="48"/>
  <c r="AQ11" i="48"/>
  <c r="AF11" i="48"/>
  <c r="AS11" i="48" s="1"/>
  <c r="AE11" i="48"/>
  <c r="V11" i="48"/>
  <c r="S11" i="48"/>
  <c r="P11" i="48"/>
  <c r="M11" i="48"/>
  <c r="J11" i="48"/>
  <c r="AT11" i="48" s="1"/>
  <c r="F11" i="48"/>
  <c r="AR10" i="48"/>
  <c r="AQ10" i="48"/>
  <c r="AF10" i="48"/>
  <c r="AS10" i="48" s="1"/>
  <c r="AE10" i="48"/>
  <c r="V10" i="48"/>
  <c r="S10" i="48"/>
  <c r="P10" i="48"/>
  <c r="M10" i="48"/>
  <c r="J10" i="48"/>
  <c r="AT10" i="48" s="1"/>
  <c r="F10" i="48"/>
  <c r="AR9" i="48"/>
  <c r="AQ9" i="48"/>
  <c r="AF9" i="48"/>
  <c r="AS9" i="48" s="1"/>
  <c r="AE9" i="48"/>
  <c r="V9" i="48"/>
  <c r="S9" i="48"/>
  <c r="P9" i="48"/>
  <c r="M9" i="48"/>
  <c r="J9" i="48"/>
  <c r="AT9" i="48" s="1"/>
  <c r="F9" i="48"/>
  <c r="AR8" i="48"/>
  <c r="AQ8" i="48"/>
  <c r="AF8" i="48"/>
  <c r="AS8" i="48" s="1"/>
  <c r="AE8" i="48"/>
  <c r="V8" i="48"/>
  <c r="S8" i="48"/>
  <c r="P8" i="48"/>
  <c r="M8" i="48"/>
  <c r="J8" i="48"/>
  <c r="AT8" i="48" s="1"/>
  <c r="F8" i="48"/>
  <c r="AR7" i="48"/>
  <c r="AQ7" i="48"/>
  <c r="AF7" i="48"/>
  <c r="AS7" i="48" s="1"/>
  <c r="AE7" i="48"/>
  <c r="V7" i="48"/>
  <c r="S7" i="48"/>
  <c r="P7" i="48"/>
  <c r="M7" i="48"/>
  <c r="J7" i="48"/>
  <c r="AT7" i="48" s="1"/>
  <c r="F7" i="48"/>
  <c r="AR6" i="48"/>
  <c r="AQ6" i="48"/>
  <c r="AF6" i="48"/>
  <c r="AS6" i="48" s="1"/>
  <c r="AE6" i="48"/>
  <c r="V6" i="48"/>
  <c r="S6" i="48"/>
  <c r="P6" i="48"/>
  <c r="M6" i="48"/>
  <c r="J6" i="48"/>
  <c r="AT6" i="48" s="1"/>
  <c r="F6" i="48"/>
  <c r="AR5" i="48"/>
  <c r="AQ5" i="48"/>
  <c r="AF5" i="48"/>
  <c r="AS5" i="48" s="1"/>
  <c r="AE5" i="48"/>
  <c r="V5" i="48"/>
  <c r="S5" i="48"/>
  <c r="P5" i="48"/>
  <c r="M5" i="48"/>
  <c r="J5" i="48"/>
  <c r="AT5" i="48" s="1"/>
  <c r="F5" i="48"/>
  <c r="CL339" i="21"/>
  <c r="CH339" i="21"/>
  <c r="CF339" i="21"/>
  <c r="CE339" i="21"/>
  <c r="BS339" i="21"/>
  <c r="BQ339" i="21"/>
  <c r="BN339" i="21"/>
  <c r="BL339" i="21"/>
  <c r="BI339" i="21"/>
  <c r="BG339" i="21"/>
  <c r="BD339" i="21"/>
  <c r="BB339" i="21"/>
  <c r="AY339" i="21"/>
  <c r="AW339" i="21"/>
  <c r="AT339" i="21"/>
  <c r="BU339" i="21" s="1"/>
  <c r="BY339" i="21" s="1"/>
  <c r="CB339" i="21" s="1"/>
  <c r="AR339" i="21"/>
  <c r="BT339" i="21" s="1"/>
  <c r="BV339" i="21" s="1"/>
  <c r="AB339" i="21"/>
  <c r="W339" i="21"/>
  <c r="N339" i="21"/>
  <c r="L339" i="21"/>
  <c r="J339" i="21"/>
  <c r="CL338" i="21"/>
  <c r="CH338" i="21"/>
  <c r="CE338" i="21"/>
  <c r="BS338" i="21"/>
  <c r="BQ338" i="21"/>
  <c r="BN338" i="21"/>
  <c r="BL338" i="21"/>
  <c r="BI338" i="21"/>
  <c r="BG338" i="21"/>
  <c r="BD338" i="21"/>
  <c r="BB338" i="21"/>
  <c r="AY338" i="21"/>
  <c r="AW338" i="21"/>
  <c r="AT338" i="21"/>
  <c r="BU338" i="21" s="1"/>
  <c r="BY338" i="21" s="1"/>
  <c r="CB338" i="21" s="1"/>
  <c r="AR338" i="21"/>
  <c r="BT338" i="21" s="1"/>
  <c r="BV338" i="21" s="1"/>
  <c r="BW338" i="21" s="1"/>
  <c r="AB338" i="21"/>
  <c r="W338" i="21"/>
  <c r="CF338" i="21" s="1"/>
  <c r="N338" i="21"/>
  <c r="L338" i="21"/>
  <c r="J338" i="21"/>
  <c r="CL337" i="21"/>
  <c r="CH337" i="21"/>
  <c r="CE337" i="21"/>
  <c r="BS337" i="21"/>
  <c r="BQ337" i="21"/>
  <c r="BN337" i="21"/>
  <c r="BL337" i="21"/>
  <c r="BI337" i="21"/>
  <c r="BG337" i="21"/>
  <c r="BD337" i="21"/>
  <c r="BB337" i="21"/>
  <c r="AY337" i="21"/>
  <c r="AW337" i="21"/>
  <c r="AT337" i="21"/>
  <c r="BU337" i="21" s="1"/>
  <c r="BY337" i="21" s="1"/>
  <c r="AR337" i="21"/>
  <c r="BT337" i="21" s="1"/>
  <c r="BV337" i="21" s="1"/>
  <c r="BW337" i="21" s="1"/>
  <c r="AB337" i="21"/>
  <c r="W337" i="21"/>
  <c r="N337" i="21"/>
  <c r="L337" i="21"/>
  <c r="J337" i="21"/>
  <c r="CL336" i="21"/>
  <c r="CH336" i="21"/>
  <c r="CE336" i="21"/>
  <c r="BS336" i="21"/>
  <c r="BQ336" i="21"/>
  <c r="BN336" i="21"/>
  <c r="BL336" i="21"/>
  <c r="BI336" i="21"/>
  <c r="BG336" i="21"/>
  <c r="BD336" i="21"/>
  <c r="BB336" i="21"/>
  <c r="AY336" i="21"/>
  <c r="AW336" i="21"/>
  <c r="AT336" i="21"/>
  <c r="AR336" i="21"/>
  <c r="AB336" i="21"/>
  <c r="W336" i="21"/>
  <c r="CF336" i="21" s="1"/>
  <c r="N336" i="21"/>
  <c r="L336" i="21"/>
  <c r="J336" i="21"/>
  <c r="CL335" i="21"/>
  <c r="CH335" i="21"/>
  <c r="CF335" i="21"/>
  <c r="CE335" i="21"/>
  <c r="BS335" i="21"/>
  <c r="BQ335" i="21"/>
  <c r="BN335" i="21"/>
  <c r="BL335" i="21"/>
  <c r="BI335" i="21"/>
  <c r="BG335" i="21"/>
  <c r="BD335" i="21"/>
  <c r="BB335" i="21"/>
  <c r="AY335" i="21"/>
  <c r="AW335" i="21"/>
  <c r="AT335" i="21"/>
  <c r="BU335" i="21" s="1"/>
  <c r="BY335" i="21" s="1"/>
  <c r="AR335" i="21"/>
  <c r="BT335" i="21" s="1"/>
  <c r="BV335" i="21" s="1"/>
  <c r="AB335" i="21"/>
  <c r="W335" i="21"/>
  <c r="N335" i="21"/>
  <c r="L335" i="21"/>
  <c r="J335" i="21"/>
  <c r="CL334" i="21"/>
  <c r="CH334" i="21"/>
  <c r="CF334" i="21"/>
  <c r="CE334" i="21"/>
  <c r="BU334" i="21"/>
  <c r="BY334" i="21" s="1"/>
  <c r="CB334" i="21" s="1"/>
  <c r="BS334" i="21"/>
  <c r="BQ334" i="21"/>
  <c r="BN334" i="21"/>
  <c r="BL334" i="21"/>
  <c r="BI334" i="21"/>
  <c r="BG334" i="21"/>
  <c r="BD334" i="21"/>
  <c r="BB334" i="21"/>
  <c r="AY334" i="21"/>
  <c r="AW334" i="21"/>
  <c r="AT334" i="21"/>
  <c r="AR334" i="21"/>
  <c r="BT334" i="21" s="1"/>
  <c r="BV334" i="21" s="1"/>
  <c r="AB334" i="21"/>
  <c r="W334" i="21"/>
  <c r="N334" i="21"/>
  <c r="L334" i="21"/>
  <c r="J334" i="21"/>
  <c r="CL333" i="21"/>
  <c r="CH333" i="21"/>
  <c r="CE333" i="21"/>
  <c r="BS333" i="21"/>
  <c r="BQ333" i="21"/>
  <c r="BN333" i="21"/>
  <c r="BL333" i="21"/>
  <c r="BI333" i="21"/>
  <c r="BG333" i="21"/>
  <c r="BD333" i="21"/>
  <c r="BB333" i="21"/>
  <c r="AY333" i="21"/>
  <c r="AW333" i="21"/>
  <c r="AT333" i="21"/>
  <c r="BU333" i="21" s="1"/>
  <c r="BY333" i="21" s="1"/>
  <c r="CB333" i="21" s="1"/>
  <c r="AR333" i="21"/>
  <c r="BT333" i="21" s="1"/>
  <c r="BV333" i="21" s="1"/>
  <c r="BW333" i="21" s="1"/>
  <c r="AB333" i="21"/>
  <c r="W333" i="21"/>
  <c r="CA333" i="21" s="1"/>
  <c r="N333" i="21"/>
  <c r="L333" i="21"/>
  <c r="J333" i="21"/>
  <c r="CL332" i="21"/>
  <c r="CH332" i="21"/>
  <c r="CF332" i="21"/>
  <c r="CE332" i="21"/>
  <c r="BS332" i="21"/>
  <c r="BQ332" i="21"/>
  <c r="BN332" i="21"/>
  <c r="BL332" i="21"/>
  <c r="BI332" i="21"/>
  <c r="BG332" i="21"/>
  <c r="BD332" i="21"/>
  <c r="BB332" i="21"/>
  <c r="AY332" i="21"/>
  <c r="AW332" i="21"/>
  <c r="AT332" i="21"/>
  <c r="BU332" i="21" s="1"/>
  <c r="BY332" i="21" s="1"/>
  <c r="CB332" i="21" s="1"/>
  <c r="AR332" i="21"/>
  <c r="BT332" i="21" s="1"/>
  <c r="BV332" i="21" s="1"/>
  <c r="AB332" i="21"/>
  <c r="W332" i="21"/>
  <c r="N332" i="21"/>
  <c r="L332" i="21"/>
  <c r="J332" i="21"/>
  <c r="CL331" i="21"/>
  <c r="CH331" i="21"/>
  <c r="CE331" i="21"/>
  <c r="BS331" i="21"/>
  <c r="BQ331" i="21"/>
  <c r="BN331" i="21"/>
  <c r="BL331" i="21"/>
  <c r="BI331" i="21"/>
  <c r="BG331" i="21"/>
  <c r="BD331" i="21"/>
  <c r="BB331" i="21"/>
  <c r="AY331" i="21"/>
  <c r="AW331" i="21"/>
  <c r="AT331" i="21"/>
  <c r="AR331" i="21"/>
  <c r="AB331" i="21"/>
  <c r="W331" i="21"/>
  <c r="CF331" i="21" s="1"/>
  <c r="N331" i="21"/>
  <c r="L331" i="21"/>
  <c r="J331" i="21"/>
  <c r="CL330" i="21"/>
  <c r="CH330" i="21"/>
  <c r="CE330" i="21"/>
  <c r="BS330" i="21"/>
  <c r="BQ330" i="21"/>
  <c r="BN330" i="21"/>
  <c r="BL330" i="21"/>
  <c r="BI330" i="21"/>
  <c r="BG330" i="21"/>
  <c r="BD330" i="21"/>
  <c r="BB330" i="21"/>
  <c r="AY330" i="21"/>
  <c r="AW330" i="21"/>
  <c r="AT330" i="21"/>
  <c r="BU330" i="21" s="1"/>
  <c r="BY330" i="21" s="1"/>
  <c r="AR330" i="21"/>
  <c r="BT330" i="21" s="1"/>
  <c r="BV330" i="21" s="1"/>
  <c r="BW330" i="21" s="1"/>
  <c r="AB330" i="21"/>
  <c r="W330" i="21"/>
  <c r="N330" i="21"/>
  <c r="L330" i="21"/>
  <c r="J330" i="21"/>
  <c r="CL329" i="21"/>
  <c r="CH329" i="21"/>
  <c r="CF329" i="21"/>
  <c r="CE329" i="21"/>
  <c r="BS329" i="21"/>
  <c r="BQ329" i="21"/>
  <c r="BN329" i="21"/>
  <c r="BL329" i="21"/>
  <c r="BI329" i="21"/>
  <c r="BG329" i="21"/>
  <c r="BD329" i="21"/>
  <c r="BB329" i="21"/>
  <c r="AY329" i="21"/>
  <c r="AW329" i="21"/>
  <c r="AT329" i="21"/>
  <c r="BU329" i="21" s="1"/>
  <c r="BY329" i="21" s="1"/>
  <c r="CB329" i="21" s="1"/>
  <c r="AR329" i="21"/>
  <c r="AB329" i="21"/>
  <c r="W329" i="21"/>
  <c r="N329" i="21"/>
  <c r="L329" i="21"/>
  <c r="J329" i="21"/>
  <c r="CL328" i="21"/>
  <c r="CH328" i="21"/>
  <c r="CF328" i="21"/>
  <c r="CE328" i="21"/>
  <c r="BS328" i="21"/>
  <c r="BQ328" i="21"/>
  <c r="BN328" i="21"/>
  <c r="BL328" i="21"/>
  <c r="BI328" i="21"/>
  <c r="BG328" i="21"/>
  <c r="BD328" i="21"/>
  <c r="BB328" i="21"/>
  <c r="AY328" i="21"/>
  <c r="AW328" i="21"/>
  <c r="AT328" i="21"/>
  <c r="BU328" i="21" s="1"/>
  <c r="BY328" i="21" s="1"/>
  <c r="AR328" i="21"/>
  <c r="BT328" i="21" s="1"/>
  <c r="BV328" i="21" s="1"/>
  <c r="BW328" i="21" s="1"/>
  <c r="AB328" i="21"/>
  <c r="W328" i="21"/>
  <c r="CB328" i="21" s="1"/>
  <c r="N328" i="21"/>
  <c r="L328" i="21"/>
  <c r="J328" i="21"/>
  <c r="CL327" i="21"/>
  <c r="CH327" i="21"/>
  <c r="CE327" i="21"/>
  <c r="BS327" i="21"/>
  <c r="BQ327" i="21"/>
  <c r="BN327" i="21"/>
  <c r="BL327" i="21"/>
  <c r="BI327" i="21"/>
  <c r="BG327" i="21"/>
  <c r="BD327" i="21"/>
  <c r="BB327" i="21"/>
  <c r="AY327" i="21"/>
  <c r="AW327" i="21"/>
  <c r="AT327" i="21"/>
  <c r="BU327" i="21" s="1"/>
  <c r="BY327" i="21" s="1"/>
  <c r="CB327" i="21" s="1"/>
  <c r="AR327" i="21"/>
  <c r="BT327" i="21" s="1"/>
  <c r="BV327" i="21" s="1"/>
  <c r="AB327" i="21"/>
  <c r="W327" i="21"/>
  <c r="CF327" i="21" s="1"/>
  <c r="N327" i="21"/>
  <c r="L327" i="21"/>
  <c r="J327" i="21"/>
  <c r="CL326" i="21"/>
  <c r="CH326" i="21"/>
  <c r="CE326" i="21"/>
  <c r="BS326" i="21"/>
  <c r="BQ326" i="21"/>
  <c r="BN326" i="21"/>
  <c r="BL326" i="21"/>
  <c r="BI326" i="21"/>
  <c r="BG326" i="21"/>
  <c r="BD326" i="21"/>
  <c r="BB326" i="21"/>
  <c r="AY326" i="21"/>
  <c r="AW326" i="21"/>
  <c r="AT326" i="21"/>
  <c r="AR326" i="21"/>
  <c r="BT326" i="21" s="1"/>
  <c r="BV326" i="21" s="1"/>
  <c r="BW326" i="21" s="1"/>
  <c r="AB326" i="21"/>
  <c r="W326" i="21"/>
  <c r="CF326" i="21" s="1"/>
  <c r="N326" i="21"/>
  <c r="L326" i="21"/>
  <c r="J326" i="21"/>
  <c r="CL325" i="21"/>
  <c r="CH325" i="21"/>
  <c r="CE325" i="21"/>
  <c r="BS325" i="21"/>
  <c r="BQ325" i="21"/>
  <c r="BN325" i="21"/>
  <c r="BL325" i="21"/>
  <c r="BI325" i="21"/>
  <c r="BG325" i="21"/>
  <c r="BD325" i="21"/>
  <c r="BB325" i="21"/>
  <c r="AY325" i="21"/>
  <c r="AW325" i="21"/>
  <c r="AT325" i="21"/>
  <c r="BU325" i="21" s="1"/>
  <c r="BY325" i="21" s="1"/>
  <c r="AR325" i="21"/>
  <c r="BT325" i="21" s="1"/>
  <c r="BV325" i="21" s="1"/>
  <c r="BW325" i="21" s="1"/>
  <c r="AB325" i="21"/>
  <c r="W325" i="21"/>
  <c r="N325" i="21"/>
  <c r="L325" i="21"/>
  <c r="J325" i="21"/>
  <c r="CL324" i="21"/>
  <c r="CH324" i="21"/>
  <c r="CE324" i="21"/>
  <c r="BS324" i="21"/>
  <c r="BQ324" i="21"/>
  <c r="BN324" i="21"/>
  <c r="BL324" i="21"/>
  <c r="BI324" i="21"/>
  <c r="BG324" i="21"/>
  <c r="BD324" i="21"/>
  <c r="BB324" i="21"/>
  <c r="AY324" i="21"/>
  <c r="AW324" i="21"/>
  <c r="AT324" i="21"/>
  <c r="BU324" i="21" s="1"/>
  <c r="BY324" i="21" s="1"/>
  <c r="AR324" i="21"/>
  <c r="BT324" i="21" s="1"/>
  <c r="BV324" i="21" s="1"/>
  <c r="BW324" i="21" s="1"/>
  <c r="AB324" i="21"/>
  <c r="W324" i="21"/>
  <c r="CF324" i="21" s="1"/>
  <c r="N324" i="21"/>
  <c r="L324" i="21"/>
  <c r="J324" i="21"/>
  <c r="CL323" i="21"/>
  <c r="CH323" i="21"/>
  <c r="CF323" i="21"/>
  <c r="CE323" i="21"/>
  <c r="BS323" i="21"/>
  <c r="BQ323" i="21"/>
  <c r="BN323" i="21"/>
  <c r="BL323" i="21"/>
  <c r="BI323" i="21"/>
  <c r="BG323" i="21"/>
  <c r="BD323" i="21"/>
  <c r="BB323" i="21"/>
  <c r="AY323" i="21"/>
  <c r="AW323" i="21"/>
  <c r="AT323" i="21"/>
  <c r="BU323" i="21" s="1"/>
  <c r="BY323" i="21" s="1"/>
  <c r="AR323" i="21"/>
  <c r="BT323" i="21" s="1"/>
  <c r="BV323" i="21" s="1"/>
  <c r="AB323" i="21"/>
  <c r="W323" i="21"/>
  <c r="CB323" i="21" s="1"/>
  <c r="N323" i="21"/>
  <c r="L323" i="21"/>
  <c r="J323" i="21"/>
  <c r="CL322" i="21"/>
  <c r="CH322" i="21"/>
  <c r="CF322" i="21"/>
  <c r="CE322" i="21"/>
  <c r="BS322" i="21"/>
  <c r="BQ322" i="21"/>
  <c r="BN322" i="21"/>
  <c r="BL322" i="21"/>
  <c r="BI322" i="21"/>
  <c r="BG322" i="21"/>
  <c r="BD322" i="21"/>
  <c r="BB322" i="21"/>
  <c r="AY322" i="21"/>
  <c r="AW322" i="21"/>
  <c r="AT322" i="21"/>
  <c r="BU322" i="21" s="1"/>
  <c r="BY322" i="21" s="1"/>
  <c r="AR322" i="21"/>
  <c r="AB322" i="21"/>
  <c r="W322" i="21"/>
  <c r="CB322" i="21" s="1"/>
  <c r="N322" i="21"/>
  <c r="L322" i="21"/>
  <c r="J322" i="21"/>
  <c r="CL321" i="21"/>
  <c r="CH321" i="21"/>
  <c r="CE321" i="21"/>
  <c r="CB321" i="21"/>
  <c r="BS321" i="21"/>
  <c r="BQ321" i="21"/>
  <c r="BN321" i="21"/>
  <c r="BL321" i="21"/>
  <c r="BI321" i="21"/>
  <c r="BG321" i="21"/>
  <c r="BD321" i="21"/>
  <c r="BB321" i="21"/>
  <c r="AY321" i="21"/>
  <c r="AW321" i="21"/>
  <c r="AT321" i="21"/>
  <c r="BU321" i="21" s="1"/>
  <c r="BY321" i="21" s="1"/>
  <c r="AR321" i="21"/>
  <c r="BT321" i="21" s="1"/>
  <c r="BV321" i="21" s="1"/>
  <c r="BW321" i="21" s="1"/>
  <c r="AB321" i="21"/>
  <c r="W321" i="21"/>
  <c r="CA321" i="21" s="1"/>
  <c r="CG321" i="21" s="1"/>
  <c r="N321" i="21"/>
  <c r="L321" i="21"/>
  <c r="J321" i="21"/>
  <c r="CL320" i="21"/>
  <c r="CH320" i="21"/>
  <c r="CF320" i="21"/>
  <c r="CE320" i="21"/>
  <c r="BS320" i="21"/>
  <c r="BQ320" i="21"/>
  <c r="BN320" i="21"/>
  <c r="BL320" i="21"/>
  <c r="BI320" i="21"/>
  <c r="BG320" i="21"/>
  <c r="BD320" i="21"/>
  <c r="BB320" i="21"/>
  <c r="AY320" i="21"/>
  <c r="AW320" i="21"/>
  <c r="AT320" i="21"/>
  <c r="BU320" i="21" s="1"/>
  <c r="BY320" i="21" s="1"/>
  <c r="CB320" i="21" s="1"/>
  <c r="AR320" i="21"/>
  <c r="BT320" i="21" s="1"/>
  <c r="BV320" i="21" s="1"/>
  <c r="AB320" i="21"/>
  <c r="W320" i="21"/>
  <c r="N320" i="21"/>
  <c r="L320" i="21"/>
  <c r="J320" i="21"/>
  <c r="CL319" i="21"/>
  <c r="CH319" i="21"/>
  <c r="CE319" i="21"/>
  <c r="CA319" i="21"/>
  <c r="CG319" i="21" s="1"/>
  <c r="BS319" i="21"/>
  <c r="BQ319" i="21"/>
  <c r="BN319" i="21"/>
  <c r="BL319" i="21"/>
  <c r="BI319" i="21"/>
  <c r="BG319" i="21"/>
  <c r="BD319" i="21"/>
  <c r="BB319" i="21"/>
  <c r="AY319" i="21"/>
  <c r="AW319" i="21"/>
  <c r="AT319" i="21"/>
  <c r="BU319" i="21" s="1"/>
  <c r="BY319" i="21" s="1"/>
  <c r="AR319" i="21"/>
  <c r="BT319" i="21" s="1"/>
  <c r="BV319" i="21" s="1"/>
  <c r="BW319" i="21" s="1"/>
  <c r="AB319" i="21"/>
  <c r="W319" i="21"/>
  <c r="CF319" i="21" s="1"/>
  <c r="N319" i="21"/>
  <c r="L319" i="21"/>
  <c r="J319" i="21"/>
  <c r="CL318" i="21"/>
  <c r="CH318" i="21"/>
  <c r="CE318" i="21"/>
  <c r="BS318" i="21"/>
  <c r="BQ318" i="21"/>
  <c r="BN318" i="21"/>
  <c r="BL318" i="21"/>
  <c r="BI318" i="21"/>
  <c r="BG318" i="21"/>
  <c r="BD318" i="21"/>
  <c r="BB318" i="21"/>
  <c r="AY318" i="21"/>
  <c r="AW318" i="21"/>
  <c r="AT318" i="21"/>
  <c r="BU318" i="21" s="1"/>
  <c r="BY318" i="21" s="1"/>
  <c r="AR318" i="21"/>
  <c r="BT318" i="21" s="1"/>
  <c r="BV318" i="21" s="1"/>
  <c r="BW318" i="21" s="1"/>
  <c r="AB318" i="21"/>
  <c r="W318" i="21"/>
  <c r="N318" i="21"/>
  <c r="L318" i="21"/>
  <c r="J318" i="21"/>
  <c r="CL317" i="21"/>
  <c r="CH317" i="21"/>
  <c r="CF317" i="21"/>
  <c r="CE317" i="21"/>
  <c r="BS317" i="21"/>
  <c r="BQ317" i="21"/>
  <c r="BN317" i="21"/>
  <c r="BL317" i="21"/>
  <c r="BI317" i="21"/>
  <c r="BG317" i="21"/>
  <c r="BD317" i="21"/>
  <c r="BB317" i="21"/>
  <c r="AY317" i="21"/>
  <c r="AW317" i="21"/>
  <c r="AT317" i="21"/>
  <c r="AR317" i="21"/>
  <c r="AB317" i="21"/>
  <c r="W317" i="21"/>
  <c r="N317" i="21"/>
  <c r="L317" i="21"/>
  <c r="J317" i="21"/>
  <c r="CL316" i="21"/>
  <c r="CH316" i="21"/>
  <c r="CF316" i="21"/>
  <c r="CE316" i="21"/>
  <c r="BS316" i="21"/>
  <c r="BQ316" i="21"/>
  <c r="BN316" i="21"/>
  <c r="BL316" i="21"/>
  <c r="BI316" i="21"/>
  <c r="BG316" i="21"/>
  <c r="BD316" i="21"/>
  <c r="BB316" i="21"/>
  <c r="AY316" i="21"/>
  <c r="AW316" i="21"/>
  <c r="AT316" i="21"/>
  <c r="BU316" i="21" s="1"/>
  <c r="BY316" i="21" s="1"/>
  <c r="AR316" i="21"/>
  <c r="BT316" i="21" s="1"/>
  <c r="BV316" i="21" s="1"/>
  <c r="BW316" i="21" s="1"/>
  <c r="AB316" i="21"/>
  <c r="W316" i="21"/>
  <c r="N316" i="21"/>
  <c r="L316" i="21"/>
  <c r="J316" i="21"/>
  <c r="CL315" i="21"/>
  <c r="CH315" i="21"/>
  <c r="CE315" i="21"/>
  <c r="BS315" i="21"/>
  <c r="BQ315" i="21"/>
  <c r="BN315" i="21"/>
  <c r="BL315" i="21"/>
  <c r="BI315" i="21"/>
  <c r="BG315" i="21"/>
  <c r="BD315" i="21"/>
  <c r="BB315" i="21"/>
  <c r="AY315" i="21"/>
  <c r="AW315" i="21"/>
  <c r="AT315" i="21"/>
  <c r="BU315" i="21" s="1"/>
  <c r="BY315" i="21" s="1"/>
  <c r="CB315" i="21" s="1"/>
  <c r="AR315" i="21"/>
  <c r="BT315" i="21" s="1"/>
  <c r="BV315" i="21" s="1"/>
  <c r="AB315" i="21"/>
  <c r="W315" i="21"/>
  <c r="CF315" i="21" s="1"/>
  <c r="N315" i="21"/>
  <c r="L315" i="21"/>
  <c r="J315" i="21"/>
  <c r="CL314" i="21"/>
  <c r="CH314" i="21"/>
  <c r="CE314" i="21"/>
  <c r="BS314" i="21"/>
  <c r="BQ314" i="21"/>
  <c r="BN314" i="21"/>
  <c r="BL314" i="21"/>
  <c r="BI314" i="21"/>
  <c r="BG314" i="21"/>
  <c r="BD314" i="21"/>
  <c r="BB314" i="21"/>
  <c r="AY314" i="21"/>
  <c r="AW314" i="21"/>
  <c r="AT314" i="21"/>
  <c r="BU314" i="21" s="1"/>
  <c r="BY314" i="21" s="1"/>
  <c r="CB314" i="21" s="1"/>
  <c r="AR314" i="21"/>
  <c r="BT314" i="21" s="1"/>
  <c r="BV314" i="21" s="1"/>
  <c r="BW314" i="21" s="1"/>
  <c r="AB314" i="21"/>
  <c r="W314" i="21"/>
  <c r="CF314" i="21" s="1"/>
  <c r="N314" i="21"/>
  <c r="L314" i="21"/>
  <c r="J314" i="21"/>
  <c r="CL313" i="21"/>
  <c r="CH313" i="21"/>
  <c r="CE313" i="21"/>
  <c r="BS313" i="21"/>
  <c r="BQ313" i="21"/>
  <c r="BN313" i="21"/>
  <c r="BL313" i="21"/>
  <c r="BI313" i="21"/>
  <c r="BG313" i="21"/>
  <c r="BD313" i="21"/>
  <c r="BB313" i="21"/>
  <c r="AY313" i="21"/>
  <c r="AW313" i="21"/>
  <c r="AT313" i="21"/>
  <c r="BU313" i="21" s="1"/>
  <c r="BY313" i="21" s="1"/>
  <c r="AR313" i="21"/>
  <c r="BT313" i="21" s="1"/>
  <c r="BV313" i="21" s="1"/>
  <c r="BW313" i="21" s="1"/>
  <c r="AB313" i="21"/>
  <c r="W313" i="21"/>
  <c r="N313" i="21"/>
  <c r="L313" i="21"/>
  <c r="J313" i="21"/>
  <c r="CL312" i="21"/>
  <c r="CH312" i="21"/>
  <c r="CE312" i="21"/>
  <c r="BS312" i="21"/>
  <c r="BQ312" i="21"/>
  <c r="BN312" i="21"/>
  <c r="BL312" i="21"/>
  <c r="BI312" i="21"/>
  <c r="BG312" i="21"/>
  <c r="BD312" i="21"/>
  <c r="BB312" i="21"/>
  <c r="AY312" i="21"/>
  <c r="AW312" i="21"/>
  <c r="AT312" i="21"/>
  <c r="BU312" i="21" s="1"/>
  <c r="BY312" i="21" s="1"/>
  <c r="AR312" i="21"/>
  <c r="AB312" i="21"/>
  <c r="W312" i="21"/>
  <c r="CF312" i="21" s="1"/>
  <c r="N312" i="21"/>
  <c r="L312" i="21"/>
  <c r="J312" i="21"/>
  <c r="CL311" i="21"/>
  <c r="CH311" i="21"/>
  <c r="CF311" i="21"/>
  <c r="CE311" i="21"/>
  <c r="BS311" i="21"/>
  <c r="BQ311" i="21"/>
  <c r="BN311" i="21"/>
  <c r="BL311" i="21"/>
  <c r="BI311" i="21"/>
  <c r="BG311" i="21"/>
  <c r="BD311" i="21"/>
  <c r="BB311" i="21"/>
  <c r="AY311" i="21"/>
  <c r="AW311" i="21"/>
  <c r="AT311" i="21"/>
  <c r="BU311" i="21" s="1"/>
  <c r="BY311" i="21" s="1"/>
  <c r="AR311" i="21"/>
  <c r="BT311" i="21" s="1"/>
  <c r="BV311" i="21" s="1"/>
  <c r="AB311" i="21"/>
  <c r="W311" i="21"/>
  <c r="N311" i="21"/>
  <c r="L311" i="21"/>
  <c r="J311" i="21"/>
  <c r="CL310" i="21"/>
  <c r="CH310" i="21"/>
  <c r="CF310" i="21"/>
  <c r="CE310" i="21"/>
  <c r="BU310" i="21"/>
  <c r="BY310" i="21" s="1"/>
  <c r="BS310" i="21"/>
  <c r="BQ310" i="21"/>
  <c r="BN310" i="21"/>
  <c r="BL310" i="21"/>
  <c r="BI310" i="21"/>
  <c r="BG310" i="21"/>
  <c r="BD310" i="21"/>
  <c r="BB310" i="21"/>
  <c r="AY310" i="21"/>
  <c r="AW310" i="21"/>
  <c r="AT310" i="21"/>
  <c r="AR310" i="21"/>
  <c r="BT310" i="21" s="1"/>
  <c r="BV310" i="21" s="1"/>
  <c r="BW310" i="21" s="1"/>
  <c r="AB310" i="21"/>
  <c r="W310" i="21"/>
  <c r="CB310" i="21" s="1"/>
  <c r="N310" i="21"/>
  <c r="L310" i="21"/>
  <c r="J310" i="21"/>
  <c r="CL309" i="21"/>
  <c r="CH309" i="21"/>
  <c r="CE309" i="21"/>
  <c r="BS309" i="21"/>
  <c r="BQ309" i="21"/>
  <c r="BN309" i="21"/>
  <c r="BL309" i="21"/>
  <c r="BI309" i="21"/>
  <c r="BG309" i="21"/>
  <c r="BD309" i="21"/>
  <c r="BB309" i="21"/>
  <c r="AY309" i="21"/>
  <c r="AW309" i="21"/>
  <c r="AT309" i="21"/>
  <c r="BU309" i="21" s="1"/>
  <c r="BY309" i="21" s="1"/>
  <c r="CB309" i="21" s="1"/>
  <c r="AR309" i="21"/>
  <c r="BT309" i="21" s="1"/>
  <c r="BV309" i="21" s="1"/>
  <c r="BW309" i="21" s="1"/>
  <c r="AB309" i="21"/>
  <c r="W309" i="21"/>
  <c r="CA309" i="21" s="1"/>
  <c r="CG309" i="21" s="1"/>
  <c r="N309" i="21"/>
  <c r="L309" i="21"/>
  <c r="J309" i="21"/>
  <c r="CL308" i="21"/>
  <c r="CH308" i="21"/>
  <c r="CF308" i="21"/>
  <c r="CE308" i="21"/>
  <c r="BS308" i="21"/>
  <c r="BQ308" i="21"/>
  <c r="BN308" i="21"/>
  <c r="BL308" i="21"/>
  <c r="BI308" i="21"/>
  <c r="BG308" i="21"/>
  <c r="BD308" i="21"/>
  <c r="BB308" i="21"/>
  <c r="AY308" i="21"/>
  <c r="AW308" i="21"/>
  <c r="AT308" i="21"/>
  <c r="BU308" i="21" s="1"/>
  <c r="BY308" i="21" s="1"/>
  <c r="CB308" i="21" s="1"/>
  <c r="AR308" i="21"/>
  <c r="BT308" i="21" s="1"/>
  <c r="BV308" i="21" s="1"/>
  <c r="AB308" i="21"/>
  <c r="W308" i="21"/>
  <c r="N308" i="21"/>
  <c r="L308" i="21"/>
  <c r="J308" i="21"/>
  <c r="CL307" i="21"/>
  <c r="CH307" i="21"/>
  <c r="CE307" i="21"/>
  <c r="BS307" i="21"/>
  <c r="BQ307" i="21"/>
  <c r="BN307" i="21"/>
  <c r="BL307" i="21"/>
  <c r="BI307" i="21"/>
  <c r="BG307" i="21"/>
  <c r="BD307" i="21"/>
  <c r="BB307" i="21"/>
  <c r="AY307" i="21"/>
  <c r="AW307" i="21"/>
  <c r="AT307" i="21"/>
  <c r="AR307" i="21"/>
  <c r="BT307" i="21" s="1"/>
  <c r="BV307" i="21" s="1"/>
  <c r="AB307" i="21"/>
  <c r="W307" i="21"/>
  <c r="CF307" i="21" s="1"/>
  <c r="N307" i="21"/>
  <c r="L307" i="21"/>
  <c r="J307" i="21"/>
  <c r="CL306" i="21"/>
  <c r="CH306" i="21"/>
  <c r="CE306" i="21"/>
  <c r="BS306" i="21"/>
  <c r="BQ306" i="21"/>
  <c r="BN306" i="21"/>
  <c r="BL306" i="21"/>
  <c r="BI306" i="21"/>
  <c r="BG306" i="21"/>
  <c r="BD306" i="21"/>
  <c r="BB306" i="21"/>
  <c r="AY306" i="21"/>
  <c r="AW306" i="21"/>
  <c r="AT306" i="21"/>
  <c r="BU306" i="21" s="1"/>
  <c r="BY306" i="21" s="1"/>
  <c r="AR306" i="21"/>
  <c r="BT306" i="21" s="1"/>
  <c r="BV306" i="21" s="1"/>
  <c r="BW306" i="21" s="1"/>
  <c r="AB306" i="21"/>
  <c r="W306" i="21"/>
  <c r="N306" i="21"/>
  <c r="L306" i="21"/>
  <c r="J306" i="21"/>
  <c r="CL305" i="21"/>
  <c r="CH305" i="21"/>
  <c r="CF305" i="21"/>
  <c r="CE305" i="21"/>
  <c r="BS305" i="21"/>
  <c r="BQ305" i="21"/>
  <c r="BN305" i="21"/>
  <c r="BL305" i="21"/>
  <c r="BI305" i="21"/>
  <c r="BG305" i="21"/>
  <c r="BD305" i="21"/>
  <c r="BB305" i="21"/>
  <c r="AY305" i="21"/>
  <c r="AW305" i="21"/>
  <c r="AT305" i="21"/>
  <c r="BU305" i="21" s="1"/>
  <c r="BY305" i="21" s="1"/>
  <c r="CB305" i="21" s="1"/>
  <c r="AR305" i="21"/>
  <c r="AB305" i="21"/>
  <c r="W305" i="21"/>
  <c r="N305" i="21"/>
  <c r="L305" i="21"/>
  <c r="J305" i="21"/>
  <c r="CL304" i="21"/>
  <c r="CH304" i="21"/>
  <c r="CF304" i="21"/>
  <c r="CE304" i="21"/>
  <c r="BS304" i="21"/>
  <c r="BQ304" i="21"/>
  <c r="BN304" i="21"/>
  <c r="BL304" i="21"/>
  <c r="BI304" i="21"/>
  <c r="BG304" i="21"/>
  <c r="BD304" i="21"/>
  <c r="BB304" i="21"/>
  <c r="AY304" i="21"/>
  <c r="AW304" i="21"/>
  <c r="AT304" i="21"/>
  <c r="BU304" i="21" s="1"/>
  <c r="BY304" i="21" s="1"/>
  <c r="AR304" i="21"/>
  <c r="BT304" i="21" s="1"/>
  <c r="BV304" i="21" s="1"/>
  <c r="BW304" i="21" s="1"/>
  <c r="AB304" i="21"/>
  <c r="W304" i="21"/>
  <c r="CB304" i="21" s="1"/>
  <c r="N304" i="21"/>
  <c r="L304" i="21"/>
  <c r="J304" i="21"/>
  <c r="CL303" i="21"/>
  <c r="CH303" i="21"/>
  <c r="CE303" i="21"/>
  <c r="BS303" i="21"/>
  <c r="BQ303" i="21"/>
  <c r="BN303" i="21"/>
  <c r="BL303" i="21"/>
  <c r="BI303" i="21"/>
  <c r="BG303" i="21"/>
  <c r="BD303" i="21"/>
  <c r="BB303" i="21"/>
  <c r="AY303" i="21"/>
  <c r="AW303" i="21"/>
  <c r="AT303" i="21"/>
  <c r="BU303" i="21" s="1"/>
  <c r="BY303" i="21" s="1"/>
  <c r="CB303" i="21" s="1"/>
  <c r="AR303" i="21"/>
  <c r="BT303" i="21" s="1"/>
  <c r="BV303" i="21" s="1"/>
  <c r="AB303" i="21"/>
  <c r="W303" i="21"/>
  <c r="CF303" i="21" s="1"/>
  <c r="N303" i="21"/>
  <c r="L303" i="21"/>
  <c r="J303" i="21"/>
  <c r="CL302" i="21"/>
  <c r="CH302" i="21"/>
  <c r="CE302" i="21"/>
  <c r="BS302" i="21"/>
  <c r="BQ302" i="21"/>
  <c r="BN302" i="21"/>
  <c r="BL302" i="21"/>
  <c r="BI302" i="21"/>
  <c r="BG302" i="21"/>
  <c r="BD302" i="21"/>
  <c r="BB302" i="21"/>
  <c r="AY302" i="21"/>
  <c r="AW302" i="21"/>
  <c r="AT302" i="21"/>
  <c r="BU302" i="21" s="1"/>
  <c r="BY302" i="21" s="1"/>
  <c r="CB302" i="21" s="1"/>
  <c r="AR302" i="21"/>
  <c r="BT302" i="21" s="1"/>
  <c r="BV302" i="21" s="1"/>
  <c r="BW302" i="21" s="1"/>
  <c r="AB302" i="21"/>
  <c r="W302" i="21"/>
  <c r="CF302" i="21" s="1"/>
  <c r="N302" i="21"/>
  <c r="L302" i="21"/>
  <c r="J302" i="21"/>
  <c r="CL301" i="21"/>
  <c r="CH301" i="21"/>
  <c r="CE301" i="21"/>
  <c r="BS301" i="21"/>
  <c r="BQ301" i="21"/>
  <c r="BN301" i="21"/>
  <c r="BL301" i="21"/>
  <c r="BI301" i="21"/>
  <c r="BG301" i="21"/>
  <c r="BD301" i="21"/>
  <c r="BB301" i="21"/>
  <c r="AY301" i="21"/>
  <c r="AW301" i="21"/>
  <c r="AT301" i="21"/>
  <c r="BU301" i="21" s="1"/>
  <c r="BY301" i="21" s="1"/>
  <c r="AR301" i="21"/>
  <c r="BT301" i="21" s="1"/>
  <c r="BV301" i="21" s="1"/>
  <c r="BW301" i="21" s="1"/>
  <c r="AB301" i="21"/>
  <c r="W301" i="21"/>
  <c r="N301" i="21"/>
  <c r="L301" i="21"/>
  <c r="J301" i="21"/>
  <c r="CL300" i="21"/>
  <c r="CH300" i="21"/>
  <c r="CE300" i="21"/>
  <c r="BS300" i="21"/>
  <c r="BQ300" i="21"/>
  <c r="BN300" i="21"/>
  <c r="BL300" i="21"/>
  <c r="BI300" i="21"/>
  <c r="BG300" i="21"/>
  <c r="BD300" i="21"/>
  <c r="BB300" i="21"/>
  <c r="AY300" i="21"/>
  <c r="AW300" i="21"/>
  <c r="AT300" i="21"/>
  <c r="BU300" i="21" s="1"/>
  <c r="BY300" i="21" s="1"/>
  <c r="AR300" i="21"/>
  <c r="BT300" i="21" s="1"/>
  <c r="BV300" i="21" s="1"/>
  <c r="BW300" i="21" s="1"/>
  <c r="AB300" i="21"/>
  <c r="W300" i="21"/>
  <c r="CF300" i="21" s="1"/>
  <c r="N300" i="21"/>
  <c r="L300" i="21"/>
  <c r="J300" i="21"/>
  <c r="CL299" i="21"/>
  <c r="CH299" i="21"/>
  <c r="CF299" i="21"/>
  <c r="CE299" i="21"/>
  <c r="BS299" i="21"/>
  <c r="BQ299" i="21"/>
  <c r="BN299" i="21"/>
  <c r="BL299" i="21"/>
  <c r="BI299" i="21"/>
  <c r="BG299" i="21"/>
  <c r="BD299" i="21"/>
  <c r="BB299" i="21"/>
  <c r="AY299" i="21"/>
  <c r="AW299" i="21"/>
  <c r="AT299" i="21"/>
  <c r="BU299" i="21" s="1"/>
  <c r="BY299" i="21" s="1"/>
  <c r="AR299" i="21"/>
  <c r="BT299" i="21" s="1"/>
  <c r="BV299" i="21" s="1"/>
  <c r="AB299" i="21"/>
  <c r="W299" i="21"/>
  <c r="CB299" i="21" s="1"/>
  <c r="N299" i="21"/>
  <c r="L299" i="21"/>
  <c r="J299" i="21"/>
  <c r="CL298" i="21"/>
  <c r="CH298" i="21"/>
  <c r="CF298" i="21"/>
  <c r="CE298" i="21"/>
  <c r="BS298" i="21"/>
  <c r="BQ298" i="21"/>
  <c r="BN298" i="21"/>
  <c r="BL298" i="21"/>
  <c r="BI298" i="21"/>
  <c r="BG298" i="21"/>
  <c r="BD298" i="21"/>
  <c r="BB298" i="21"/>
  <c r="AY298" i="21"/>
  <c r="AW298" i="21"/>
  <c r="AT298" i="21"/>
  <c r="BU298" i="21" s="1"/>
  <c r="BY298" i="21" s="1"/>
  <c r="AR298" i="21"/>
  <c r="AB298" i="21"/>
  <c r="W298" i="21"/>
  <c r="N298" i="21"/>
  <c r="L298" i="21"/>
  <c r="J298" i="21"/>
  <c r="CL297" i="21"/>
  <c r="CH297" i="21"/>
  <c r="CE297" i="21"/>
  <c r="BS297" i="21"/>
  <c r="BQ297" i="21"/>
  <c r="BN297" i="21"/>
  <c r="BL297" i="21"/>
  <c r="BI297" i="21"/>
  <c r="BG297" i="21"/>
  <c r="BD297" i="21"/>
  <c r="BB297" i="21"/>
  <c r="AY297" i="21"/>
  <c r="AW297" i="21"/>
  <c r="AT297" i="21"/>
  <c r="BU297" i="21" s="1"/>
  <c r="BY297" i="21" s="1"/>
  <c r="CB297" i="21" s="1"/>
  <c r="AR297" i="21"/>
  <c r="BT297" i="21" s="1"/>
  <c r="BV297" i="21" s="1"/>
  <c r="BW297" i="21" s="1"/>
  <c r="AB297" i="21"/>
  <c r="W297" i="21"/>
  <c r="N297" i="21"/>
  <c r="L297" i="21"/>
  <c r="J297" i="21"/>
  <c r="CL296" i="21"/>
  <c r="CH296" i="21"/>
  <c r="CF296" i="21"/>
  <c r="CE296" i="21"/>
  <c r="BS296" i="21"/>
  <c r="BQ296" i="21"/>
  <c r="BN296" i="21"/>
  <c r="BL296" i="21"/>
  <c r="BI296" i="21"/>
  <c r="BG296" i="21"/>
  <c r="BD296" i="21"/>
  <c r="BB296" i="21"/>
  <c r="AY296" i="21"/>
  <c r="AW296" i="21"/>
  <c r="AT296" i="21"/>
  <c r="BU296" i="21" s="1"/>
  <c r="BY296" i="21" s="1"/>
  <c r="CB296" i="21" s="1"/>
  <c r="AR296" i="21"/>
  <c r="BT296" i="21" s="1"/>
  <c r="BV296" i="21" s="1"/>
  <c r="AB296" i="21"/>
  <c r="W296" i="21"/>
  <c r="N296" i="21"/>
  <c r="L296" i="21"/>
  <c r="J296" i="21"/>
  <c r="CL295" i="21"/>
  <c r="CH295" i="21"/>
  <c r="CE295" i="21"/>
  <c r="BY295" i="21"/>
  <c r="BS295" i="21"/>
  <c r="BQ295" i="21"/>
  <c r="BN295" i="21"/>
  <c r="BL295" i="21"/>
  <c r="BI295" i="21"/>
  <c r="BG295" i="21"/>
  <c r="BD295" i="21"/>
  <c r="BB295" i="21"/>
  <c r="AY295" i="21"/>
  <c r="AW295" i="21"/>
  <c r="AT295" i="21"/>
  <c r="BU295" i="21" s="1"/>
  <c r="AR295" i="21"/>
  <c r="BT295" i="21" s="1"/>
  <c r="BV295" i="21" s="1"/>
  <c r="AB295" i="21"/>
  <c r="W295" i="21"/>
  <c r="CF295" i="21" s="1"/>
  <c r="N295" i="21"/>
  <c r="L295" i="21"/>
  <c r="J295" i="21"/>
  <c r="CL294" i="21"/>
  <c r="CH294" i="21"/>
  <c r="CE294" i="21"/>
  <c r="BS294" i="21"/>
  <c r="BQ294" i="21"/>
  <c r="BN294" i="21"/>
  <c r="BL294" i="21"/>
  <c r="BI294" i="21"/>
  <c r="BG294" i="21"/>
  <c r="BD294" i="21"/>
  <c r="BB294" i="21"/>
  <c r="AY294" i="21"/>
  <c r="AW294" i="21"/>
  <c r="AT294" i="21"/>
  <c r="BU294" i="21" s="1"/>
  <c r="BY294" i="21" s="1"/>
  <c r="AR294" i="21"/>
  <c r="BT294" i="21" s="1"/>
  <c r="BV294" i="21" s="1"/>
  <c r="BW294" i="21" s="1"/>
  <c r="AB294" i="21"/>
  <c r="W294" i="21"/>
  <c r="N294" i="21"/>
  <c r="L294" i="21"/>
  <c r="J294" i="21"/>
  <c r="CL293" i="21"/>
  <c r="CH293" i="21"/>
  <c r="CF293" i="21"/>
  <c r="CE293" i="21"/>
  <c r="BS293" i="21"/>
  <c r="BQ293" i="21"/>
  <c r="BN293" i="21"/>
  <c r="BL293" i="21"/>
  <c r="BI293" i="21"/>
  <c r="BG293" i="21"/>
  <c r="BD293" i="21"/>
  <c r="BB293" i="21"/>
  <c r="AY293" i="21"/>
  <c r="AW293" i="21"/>
  <c r="AT293" i="21"/>
  <c r="AR293" i="21"/>
  <c r="AB293" i="21"/>
  <c r="W293" i="21"/>
  <c r="N293" i="21"/>
  <c r="L293" i="21"/>
  <c r="J293" i="21"/>
  <c r="CL292" i="21"/>
  <c r="CH292" i="21"/>
  <c r="CF292" i="21"/>
  <c r="CE292" i="21"/>
  <c r="BS292" i="21"/>
  <c r="BQ292" i="21"/>
  <c r="BN292" i="21"/>
  <c r="BL292" i="21"/>
  <c r="BI292" i="21"/>
  <c r="BG292" i="21"/>
  <c r="BD292" i="21"/>
  <c r="BB292" i="21"/>
  <c r="AY292" i="21"/>
  <c r="AW292" i="21"/>
  <c r="AT292" i="21"/>
  <c r="BU292" i="21" s="1"/>
  <c r="BY292" i="21" s="1"/>
  <c r="AR292" i="21"/>
  <c r="BT292" i="21" s="1"/>
  <c r="BV292" i="21" s="1"/>
  <c r="BW292" i="21" s="1"/>
  <c r="AB292" i="21"/>
  <c r="W292" i="21"/>
  <c r="N292" i="21"/>
  <c r="L292" i="21"/>
  <c r="J292" i="21"/>
  <c r="CL291" i="21"/>
  <c r="CH291" i="21"/>
  <c r="CE291" i="21"/>
  <c r="BS291" i="21"/>
  <c r="BQ291" i="21"/>
  <c r="BN291" i="21"/>
  <c r="BL291" i="21"/>
  <c r="BI291" i="21"/>
  <c r="BG291" i="21"/>
  <c r="BD291" i="21"/>
  <c r="BB291" i="21"/>
  <c r="AY291" i="21"/>
  <c r="AW291" i="21"/>
  <c r="AT291" i="21"/>
  <c r="BU291" i="21" s="1"/>
  <c r="BY291" i="21" s="1"/>
  <c r="CB291" i="21" s="1"/>
  <c r="AR291" i="21"/>
  <c r="BT291" i="21" s="1"/>
  <c r="BV291" i="21" s="1"/>
  <c r="AB291" i="21"/>
  <c r="W291" i="21"/>
  <c r="CF291" i="21" s="1"/>
  <c r="N291" i="21"/>
  <c r="L291" i="21"/>
  <c r="J291" i="21"/>
  <c r="CL290" i="21"/>
  <c r="CH290" i="21"/>
  <c r="CE290" i="21"/>
  <c r="CB290" i="21"/>
  <c r="BS290" i="21"/>
  <c r="BQ290" i="21"/>
  <c r="BN290" i="21"/>
  <c r="BL290" i="21"/>
  <c r="BI290" i="21"/>
  <c r="BG290" i="21"/>
  <c r="BD290" i="21"/>
  <c r="BB290" i="21"/>
  <c r="AY290" i="21"/>
  <c r="AW290" i="21"/>
  <c r="AT290" i="21"/>
  <c r="BU290" i="21" s="1"/>
  <c r="BY290" i="21" s="1"/>
  <c r="AR290" i="21"/>
  <c r="BT290" i="21" s="1"/>
  <c r="BV290" i="21" s="1"/>
  <c r="BW290" i="21" s="1"/>
  <c r="AB290" i="21"/>
  <c r="W290" i="21"/>
  <c r="CF290" i="21" s="1"/>
  <c r="N290" i="21"/>
  <c r="L290" i="21"/>
  <c r="J290" i="21"/>
  <c r="CL289" i="21"/>
  <c r="CH289" i="21"/>
  <c r="CE289" i="21"/>
  <c r="BS289" i="21"/>
  <c r="BQ289" i="21"/>
  <c r="BN289" i="21"/>
  <c r="BL289" i="21"/>
  <c r="BI289" i="21"/>
  <c r="BG289" i="21"/>
  <c r="BD289" i="21"/>
  <c r="BB289" i="21"/>
  <c r="AY289" i="21"/>
  <c r="AW289" i="21"/>
  <c r="AT289" i="21"/>
  <c r="BU289" i="21" s="1"/>
  <c r="BY289" i="21" s="1"/>
  <c r="AR289" i="21"/>
  <c r="BT289" i="21" s="1"/>
  <c r="BV289" i="21" s="1"/>
  <c r="BW289" i="21" s="1"/>
  <c r="AB289" i="21"/>
  <c r="W289" i="21"/>
  <c r="N289" i="21"/>
  <c r="L289" i="21"/>
  <c r="J289" i="21"/>
  <c r="CL288" i="21"/>
  <c r="CH288" i="21"/>
  <c r="CE288" i="21"/>
  <c r="BS288" i="21"/>
  <c r="BQ288" i="21"/>
  <c r="BN288" i="21"/>
  <c r="BL288" i="21"/>
  <c r="BI288" i="21"/>
  <c r="BG288" i="21"/>
  <c r="BD288" i="21"/>
  <c r="BB288" i="21"/>
  <c r="AY288" i="21"/>
  <c r="AW288" i="21"/>
  <c r="AT288" i="21"/>
  <c r="AR288" i="21"/>
  <c r="AB288" i="21"/>
  <c r="W288" i="21"/>
  <c r="CF288" i="21" s="1"/>
  <c r="N288" i="21"/>
  <c r="L288" i="21"/>
  <c r="J288" i="21"/>
  <c r="CL287" i="21"/>
  <c r="CH287" i="21"/>
  <c r="CF287" i="21"/>
  <c r="CE287" i="21"/>
  <c r="BS287" i="21"/>
  <c r="BQ287" i="21"/>
  <c r="BN287" i="21"/>
  <c r="BL287" i="21"/>
  <c r="BI287" i="21"/>
  <c r="BG287" i="21"/>
  <c r="BD287" i="21"/>
  <c r="BB287" i="21"/>
  <c r="AY287" i="21"/>
  <c r="AW287" i="21"/>
  <c r="AT287" i="21"/>
  <c r="BU287" i="21" s="1"/>
  <c r="BY287" i="21" s="1"/>
  <c r="AR287" i="21"/>
  <c r="BT287" i="21" s="1"/>
  <c r="BV287" i="21" s="1"/>
  <c r="AB287" i="21"/>
  <c r="W287" i="21"/>
  <c r="N287" i="21"/>
  <c r="L287" i="21"/>
  <c r="J287" i="21"/>
  <c r="CL286" i="21"/>
  <c r="CH286" i="21"/>
  <c r="CF286" i="21"/>
  <c r="CE286" i="21"/>
  <c r="BV286" i="21"/>
  <c r="BW286" i="21" s="1"/>
  <c r="BS286" i="21"/>
  <c r="BQ286" i="21"/>
  <c r="BN286" i="21"/>
  <c r="BL286" i="21"/>
  <c r="BI286" i="21"/>
  <c r="BG286" i="21"/>
  <c r="BD286" i="21"/>
  <c r="BB286" i="21"/>
  <c r="AY286" i="21"/>
  <c r="AW286" i="21"/>
  <c r="AT286" i="21"/>
  <c r="BU286" i="21" s="1"/>
  <c r="BY286" i="21" s="1"/>
  <c r="AR286" i="21"/>
  <c r="BT286" i="21" s="1"/>
  <c r="AB286" i="21"/>
  <c r="W286" i="21"/>
  <c r="N286" i="21"/>
  <c r="L286" i="21"/>
  <c r="J286" i="21"/>
  <c r="CL285" i="21"/>
  <c r="CH285" i="21"/>
  <c r="CE285" i="21"/>
  <c r="BS285" i="21"/>
  <c r="BQ285" i="21"/>
  <c r="BN285" i="21"/>
  <c r="BL285" i="21"/>
  <c r="BI285" i="21"/>
  <c r="BG285" i="21"/>
  <c r="BD285" i="21"/>
  <c r="BB285" i="21"/>
  <c r="AY285" i="21"/>
  <c r="AW285" i="21"/>
  <c r="AT285" i="21"/>
  <c r="BU285" i="21" s="1"/>
  <c r="BY285" i="21" s="1"/>
  <c r="CB285" i="21" s="1"/>
  <c r="AR285" i="21"/>
  <c r="BT285" i="21" s="1"/>
  <c r="BV285" i="21" s="1"/>
  <c r="BW285" i="21" s="1"/>
  <c r="AB285" i="21"/>
  <c r="W285" i="21"/>
  <c r="CA285" i="21" s="1"/>
  <c r="N285" i="21"/>
  <c r="L285" i="21"/>
  <c r="J285" i="21"/>
  <c r="CL284" i="21"/>
  <c r="CH284" i="21"/>
  <c r="CF284" i="21"/>
  <c r="CE284" i="21"/>
  <c r="BS284" i="21"/>
  <c r="BQ284" i="21"/>
  <c r="BN284" i="21"/>
  <c r="BL284" i="21"/>
  <c r="BI284" i="21"/>
  <c r="BG284" i="21"/>
  <c r="BD284" i="21"/>
  <c r="BB284" i="21"/>
  <c r="AY284" i="21"/>
  <c r="AW284" i="21"/>
  <c r="AT284" i="21"/>
  <c r="BU284" i="21" s="1"/>
  <c r="BY284" i="21" s="1"/>
  <c r="CB284" i="21" s="1"/>
  <c r="AR284" i="21"/>
  <c r="BT284" i="21" s="1"/>
  <c r="BV284" i="21" s="1"/>
  <c r="AB284" i="21"/>
  <c r="W284" i="21"/>
  <c r="N284" i="21"/>
  <c r="L284" i="21"/>
  <c r="J284" i="21"/>
  <c r="CL283" i="21"/>
  <c r="CH283" i="21"/>
  <c r="CE283" i="21"/>
  <c r="BS283" i="21"/>
  <c r="BQ283" i="21"/>
  <c r="BN283" i="21"/>
  <c r="BL283" i="21"/>
  <c r="BI283" i="21"/>
  <c r="BG283" i="21"/>
  <c r="BD283" i="21"/>
  <c r="BB283" i="21"/>
  <c r="AY283" i="21"/>
  <c r="AW283" i="21"/>
  <c r="AT283" i="21"/>
  <c r="AR283" i="21"/>
  <c r="AB283" i="21"/>
  <c r="W283" i="21"/>
  <c r="CF283" i="21" s="1"/>
  <c r="N283" i="21"/>
  <c r="L283" i="21"/>
  <c r="J283" i="21"/>
  <c r="CL282" i="21"/>
  <c r="CH282" i="21"/>
  <c r="CE282" i="21"/>
  <c r="BS282" i="21"/>
  <c r="BQ282" i="21"/>
  <c r="BN282" i="21"/>
  <c r="BL282" i="21"/>
  <c r="BI282" i="21"/>
  <c r="BG282" i="21"/>
  <c r="BD282" i="21"/>
  <c r="BB282" i="21"/>
  <c r="AY282" i="21"/>
  <c r="AW282" i="21"/>
  <c r="AT282" i="21"/>
  <c r="BU282" i="21" s="1"/>
  <c r="BY282" i="21" s="1"/>
  <c r="AR282" i="21"/>
  <c r="BT282" i="21" s="1"/>
  <c r="BV282" i="21" s="1"/>
  <c r="BW282" i="21" s="1"/>
  <c r="AB282" i="21"/>
  <c r="W282" i="21"/>
  <c r="N282" i="21"/>
  <c r="L282" i="21"/>
  <c r="J282" i="21"/>
  <c r="CL281" i="21"/>
  <c r="CH281" i="21"/>
  <c r="CF281" i="21"/>
  <c r="CE281" i="21"/>
  <c r="BS281" i="21"/>
  <c r="BQ281" i="21"/>
  <c r="BN281" i="21"/>
  <c r="BL281" i="21"/>
  <c r="BI281" i="21"/>
  <c r="BG281" i="21"/>
  <c r="BD281" i="21"/>
  <c r="BB281" i="21"/>
  <c r="AY281" i="21"/>
  <c r="AW281" i="21"/>
  <c r="AT281" i="21"/>
  <c r="BU281" i="21" s="1"/>
  <c r="BY281" i="21" s="1"/>
  <c r="CB281" i="21" s="1"/>
  <c r="AR281" i="21"/>
  <c r="BT281" i="21" s="1"/>
  <c r="BV281" i="21" s="1"/>
  <c r="BW281" i="21" s="1"/>
  <c r="AB281" i="21"/>
  <c r="W281" i="21"/>
  <c r="N281" i="21"/>
  <c r="L281" i="21"/>
  <c r="J281" i="21"/>
  <c r="CL280" i="21"/>
  <c r="CH280" i="21"/>
  <c r="CF280" i="21"/>
  <c r="CE280" i="21"/>
  <c r="BS280" i="21"/>
  <c r="BQ280" i="21"/>
  <c r="BN280" i="21"/>
  <c r="BL280" i="21"/>
  <c r="BI280" i="21"/>
  <c r="BG280" i="21"/>
  <c r="BD280" i="21"/>
  <c r="BB280" i="21"/>
  <c r="AY280" i="21"/>
  <c r="AW280" i="21"/>
  <c r="AT280" i="21"/>
  <c r="BU280" i="21" s="1"/>
  <c r="BY280" i="21" s="1"/>
  <c r="AR280" i="21"/>
  <c r="BT280" i="21" s="1"/>
  <c r="BV280" i="21" s="1"/>
  <c r="BW280" i="21" s="1"/>
  <c r="AB280" i="21"/>
  <c r="W280" i="21"/>
  <c r="CB280" i="21" s="1"/>
  <c r="N280" i="21"/>
  <c r="L280" i="21"/>
  <c r="J280" i="21"/>
  <c r="CL279" i="21"/>
  <c r="CH279" i="21"/>
  <c r="CE279" i="21"/>
  <c r="BS279" i="21"/>
  <c r="BQ279" i="21"/>
  <c r="BN279" i="21"/>
  <c r="BL279" i="21"/>
  <c r="BI279" i="21"/>
  <c r="BG279" i="21"/>
  <c r="BD279" i="21"/>
  <c r="BB279" i="21"/>
  <c r="AY279" i="21"/>
  <c r="AW279" i="21"/>
  <c r="AT279" i="21"/>
  <c r="BU279" i="21" s="1"/>
  <c r="BY279" i="21" s="1"/>
  <c r="CB279" i="21" s="1"/>
  <c r="AR279" i="21"/>
  <c r="BT279" i="21" s="1"/>
  <c r="BV279" i="21" s="1"/>
  <c r="AB279" i="21"/>
  <c r="W279" i="21"/>
  <c r="CF279" i="21" s="1"/>
  <c r="N279" i="21"/>
  <c r="L279" i="21"/>
  <c r="J279" i="21"/>
  <c r="CL278" i="21"/>
  <c r="CH278" i="21"/>
  <c r="CE278" i="21"/>
  <c r="BS278" i="21"/>
  <c r="BQ278" i="21"/>
  <c r="BN278" i="21"/>
  <c r="BL278" i="21"/>
  <c r="BI278" i="21"/>
  <c r="BG278" i="21"/>
  <c r="BD278" i="21"/>
  <c r="BB278" i="21"/>
  <c r="AY278" i="21"/>
  <c r="AW278" i="21"/>
  <c r="AT278" i="21"/>
  <c r="AR278" i="21"/>
  <c r="BT278" i="21" s="1"/>
  <c r="BV278" i="21" s="1"/>
  <c r="BW278" i="21" s="1"/>
  <c r="AB278" i="21"/>
  <c r="W278" i="21"/>
  <c r="CF278" i="21" s="1"/>
  <c r="N278" i="21"/>
  <c r="L278" i="21"/>
  <c r="J278" i="21"/>
  <c r="CL277" i="21"/>
  <c r="CH277" i="21"/>
  <c r="CE277" i="21"/>
  <c r="BS277" i="21"/>
  <c r="BQ277" i="21"/>
  <c r="BN277" i="21"/>
  <c r="BL277" i="21"/>
  <c r="BI277" i="21"/>
  <c r="BG277" i="21"/>
  <c r="BD277" i="21"/>
  <c r="BB277" i="21"/>
  <c r="AY277" i="21"/>
  <c r="AW277" i="21"/>
  <c r="AT277" i="21"/>
  <c r="BU277" i="21" s="1"/>
  <c r="BY277" i="21" s="1"/>
  <c r="AR277" i="21"/>
  <c r="BT277" i="21" s="1"/>
  <c r="BV277" i="21" s="1"/>
  <c r="BW277" i="21" s="1"/>
  <c r="AB277" i="21"/>
  <c r="W277" i="21"/>
  <c r="N277" i="21"/>
  <c r="L277" i="21"/>
  <c r="J277" i="21"/>
  <c r="CL276" i="21"/>
  <c r="CH276" i="21"/>
  <c r="CE276" i="21"/>
  <c r="BS276" i="21"/>
  <c r="BQ276" i="21"/>
  <c r="BN276" i="21"/>
  <c r="BL276" i="21"/>
  <c r="BI276" i="21"/>
  <c r="BG276" i="21"/>
  <c r="BD276" i="21"/>
  <c r="BB276" i="21"/>
  <c r="AY276" i="21"/>
  <c r="AW276" i="21"/>
  <c r="AT276" i="21"/>
  <c r="BU276" i="21" s="1"/>
  <c r="BY276" i="21" s="1"/>
  <c r="AR276" i="21"/>
  <c r="BT276" i="21" s="1"/>
  <c r="BV276" i="21" s="1"/>
  <c r="BW276" i="21" s="1"/>
  <c r="AB276" i="21"/>
  <c r="W276" i="21"/>
  <c r="CF276" i="21" s="1"/>
  <c r="N276" i="21"/>
  <c r="L276" i="21"/>
  <c r="J276" i="21"/>
  <c r="CL275" i="21"/>
  <c r="CH275" i="21"/>
  <c r="CF275" i="21"/>
  <c r="CE275" i="21"/>
  <c r="BS275" i="21"/>
  <c r="BQ275" i="21"/>
  <c r="BN275" i="21"/>
  <c r="BL275" i="21"/>
  <c r="BI275" i="21"/>
  <c r="BG275" i="21"/>
  <c r="BD275" i="21"/>
  <c r="BB275" i="21"/>
  <c r="AY275" i="21"/>
  <c r="AW275" i="21"/>
  <c r="AT275" i="21"/>
  <c r="BU275" i="21" s="1"/>
  <c r="BY275" i="21" s="1"/>
  <c r="AR275" i="21"/>
  <c r="BT275" i="21" s="1"/>
  <c r="BV275" i="21" s="1"/>
  <c r="AB275" i="21"/>
  <c r="W275" i="21"/>
  <c r="CB275" i="21" s="1"/>
  <c r="N275" i="21"/>
  <c r="L275" i="21"/>
  <c r="J275" i="21"/>
  <c r="CL274" i="21"/>
  <c r="CH274" i="21"/>
  <c r="CF274" i="21"/>
  <c r="CE274" i="21"/>
  <c r="BS274" i="21"/>
  <c r="BQ274" i="21"/>
  <c r="BN274" i="21"/>
  <c r="BL274" i="21"/>
  <c r="BI274" i="21"/>
  <c r="BG274" i="21"/>
  <c r="BD274" i="21"/>
  <c r="BB274" i="21"/>
  <c r="AY274" i="21"/>
  <c r="AW274" i="21"/>
  <c r="AT274" i="21"/>
  <c r="BU274" i="21" s="1"/>
  <c r="BY274" i="21" s="1"/>
  <c r="AR274" i="21"/>
  <c r="AB274" i="21"/>
  <c r="W274" i="21"/>
  <c r="CB274" i="21" s="1"/>
  <c r="N274" i="21"/>
  <c r="L274" i="21"/>
  <c r="J274" i="21"/>
  <c r="CL273" i="21"/>
  <c r="CH273" i="21"/>
  <c r="CE273" i="21"/>
  <c r="CB273" i="21"/>
  <c r="BS273" i="21"/>
  <c r="BQ273" i="21"/>
  <c r="BN273" i="21"/>
  <c r="BL273" i="21"/>
  <c r="BI273" i="21"/>
  <c r="BG273" i="21"/>
  <c r="BD273" i="21"/>
  <c r="BB273" i="21"/>
  <c r="AY273" i="21"/>
  <c r="AW273" i="21"/>
  <c r="AT273" i="21"/>
  <c r="BU273" i="21" s="1"/>
  <c r="BY273" i="21" s="1"/>
  <c r="AR273" i="21"/>
  <c r="BT273" i="21" s="1"/>
  <c r="BV273" i="21" s="1"/>
  <c r="BW273" i="21" s="1"/>
  <c r="AB273" i="21"/>
  <c r="W273" i="21"/>
  <c r="CA273" i="21" s="1"/>
  <c r="CG273" i="21" s="1"/>
  <c r="N273" i="21"/>
  <c r="L273" i="21"/>
  <c r="J273" i="21"/>
  <c r="CL272" i="21"/>
  <c r="CH272" i="21"/>
  <c r="CF272" i="21"/>
  <c r="CE272" i="21"/>
  <c r="BS272" i="21"/>
  <c r="BQ272" i="21"/>
  <c r="BN272" i="21"/>
  <c r="BL272" i="21"/>
  <c r="BI272" i="21"/>
  <c r="BG272" i="21"/>
  <c r="BD272" i="21"/>
  <c r="BB272" i="21"/>
  <c r="AY272" i="21"/>
  <c r="AW272" i="21"/>
  <c r="AT272" i="21"/>
  <c r="BU272" i="21" s="1"/>
  <c r="BY272" i="21" s="1"/>
  <c r="CB272" i="21" s="1"/>
  <c r="AR272" i="21"/>
  <c r="BT272" i="21" s="1"/>
  <c r="BV272" i="21" s="1"/>
  <c r="AB272" i="21"/>
  <c r="W272" i="21"/>
  <c r="N272" i="21"/>
  <c r="L272" i="21"/>
  <c r="J272" i="21"/>
  <c r="CL271" i="21"/>
  <c r="CH271" i="21"/>
  <c r="CE271" i="21"/>
  <c r="BS271" i="21"/>
  <c r="BQ271" i="21"/>
  <c r="BN271" i="21"/>
  <c r="BL271" i="21"/>
  <c r="BI271" i="21"/>
  <c r="BG271" i="21"/>
  <c r="BD271" i="21"/>
  <c r="BB271" i="21"/>
  <c r="AY271" i="21"/>
  <c r="AW271" i="21"/>
  <c r="AT271" i="21"/>
  <c r="BU271" i="21" s="1"/>
  <c r="BY271" i="21" s="1"/>
  <c r="AR271" i="21"/>
  <c r="AB271" i="21"/>
  <c r="W271" i="21"/>
  <c r="CF271" i="21" s="1"/>
  <c r="N271" i="21"/>
  <c r="L271" i="21"/>
  <c r="J271" i="21"/>
  <c r="CL270" i="21"/>
  <c r="CH270" i="21"/>
  <c r="CE270" i="21"/>
  <c r="BS270" i="21"/>
  <c r="BQ270" i="21"/>
  <c r="BN270" i="21"/>
  <c r="BL270" i="21"/>
  <c r="BI270" i="21"/>
  <c r="BG270" i="21"/>
  <c r="BD270" i="21"/>
  <c r="BB270" i="21"/>
  <c r="AY270" i="21"/>
  <c r="AW270" i="21"/>
  <c r="AT270" i="21"/>
  <c r="BU270" i="21" s="1"/>
  <c r="BY270" i="21" s="1"/>
  <c r="AR270" i="21"/>
  <c r="BT270" i="21" s="1"/>
  <c r="BV270" i="21" s="1"/>
  <c r="BW270" i="21" s="1"/>
  <c r="AB270" i="21"/>
  <c r="W270" i="21"/>
  <c r="N270" i="21"/>
  <c r="L270" i="21"/>
  <c r="J270" i="21"/>
  <c r="CL269" i="21"/>
  <c r="CH269" i="21"/>
  <c r="CF269" i="21"/>
  <c r="CE269" i="21"/>
  <c r="BS269" i="21"/>
  <c r="BQ269" i="21"/>
  <c r="BN269" i="21"/>
  <c r="BL269" i="21"/>
  <c r="BI269" i="21"/>
  <c r="BG269" i="21"/>
  <c r="BD269" i="21"/>
  <c r="BB269" i="21"/>
  <c r="AY269" i="21"/>
  <c r="AW269" i="21"/>
  <c r="AT269" i="21"/>
  <c r="AR269" i="21"/>
  <c r="AB269" i="21"/>
  <c r="W269" i="21"/>
  <c r="N269" i="21"/>
  <c r="L269" i="21"/>
  <c r="J269" i="21"/>
  <c r="CL268" i="21"/>
  <c r="CH268" i="21"/>
  <c r="CF268" i="21"/>
  <c r="CE268" i="21"/>
  <c r="BS268" i="21"/>
  <c r="BQ268" i="21"/>
  <c r="BN268" i="21"/>
  <c r="BL268" i="21"/>
  <c r="BI268" i="21"/>
  <c r="BG268" i="21"/>
  <c r="BD268" i="21"/>
  <c r="BB268" i="21"/>
  <c r="AY268" i="21"/>
  <c r="AW268" i="21"/>
  <c r="AT268" i="21"/>
  <c r="BU268" i="21" s="1"/>
  <c r="BY268" i="21" s="1"/>
  <c r="AR268" i="21"/>
  <c r="BT268" i="21" s="1"/>
  <c r="BV268" i="21" s="1"/>
  <c r="BW268" i="21" s="1"/>
  <c r="AB268" i="21"/>
  <c r="W268" i="21"/>
  <c r="N268" i="21"/>
  <c r="L268" i="21"/>
  <c r="J268" i="21"/>
  <c r="CL267" i="21"/>
  <c r="CH267" i="21"/>
  <c r="CE267" i="21"/>
  <c r="BS267" i="21"/>
  <c r="BQ267" i="21"/>
  <c r="BN267" i="21"/>
  <c r="BL267" i="21"/>
  <c r="BI267" i="21"/>
  <c r="BG267" i="21"/>
  <c r="BD267" i="21"/>
  <c r="BB267" i="21"/>
  <c r="AY267" i="21"/>
  <c r="AW267" i="21"/>
  <c r="AT267" i="21"/>
  <c r="BU267" i="21" s="1"/>
  <c r="BY267" i="21" s="1"/>
  <c r="CB267" i="21" s="1"/>
  <c r="AR267" i="21"/>
  <c r="BT267" i="21" s="1"/>
  <c r="BV267" i="21" s="1"/>
  <c r="AB267" i="21"/>
  <c r="W267" i="21"/>
  <c r="CF267" i="21" s="1"/>
  <c r="N267" i="21"/>
  <c r="L267" i="21"/>
  <c r="J267" i="21"/>
  <c r="CL266" i="21"/>
  <c r="CH266" i="21"/>
  <c r="CE266" i="21"/>
  <c r="BS266" i="21"/>
  <c r="BQ266" i="21"/>
  <c r="BN266" i="21"/>
  <c r="BL266" i="21"/>
  <c r="BI266" i="21"/>
  <c r="BG266" i="21"/>
  <c r="BD266" i="21"/>
  <c r="BB266" i="21"/>
  <c r="AY266" i="21"/>
  <c r="AW266" i="21"/>
  <c r="AT266" i="21"/>
  <c r="AR266" i="21"/>
  <c r="BT266" i="21" s="1"/>
  <c r="BV266" i="21" s="1"/>
  <c r="BW266" i="21" s="1"/>
  <c r="AB266" i="21"/>
  <c r="W266" i="21"/>
  <c r="CF266" i="21" s="1"/>
  <c r="N266" i="21"/>
  <c r="L266" i="21"/>
  <c r="J266" i="21"/>
  <c r="CL265" i="21"/>
  <c r="CH265" i="21"/>
  <c r="CE265" i="21"/>
  <c r="BS265" i="21"/>
  <c r="BQ265" i="21"/>
  <c r="BN265" i="21"/>
  <c r="BL265" i="21"/>
  <c r="BI265" i="21"/>
  <c r="BG265" i="21"/>
  <c r="BD265" i="21"/>
  <c r="BB265" i="21"/>
  <c r="AY265" i="21"/>
  <c r="AW265" i="21"/>
  <c r="AT265" i="21"/>
  <c r="BU265" i="21" s="1"/>
  <c r="BY265" i="21" s="1"/>
  <c r="AR265" i="21"/>
  <c r="BT265" i="21" s="1"/>
  <c r="BV265" i="21" s="1"/>
  <c r="BW265" i="21" s="1"/>
  <c r="AB265" i="21"/>
  <c r="W265" i="21"/>
  <c r="N265" i="21"/>
  <c r="L265" i="21"/>
  <c r="J265" i="21"/>
  <c r="CL264" i="21"/>
  <c r="CH264" i="21"/>
  <c r="CE264" i="21"/>
  <c r="BS264" i="21"/>
  <c r="BQ264" i="21"/>
  <c r="BN264" i="21"/>
  <c r="BL264" i="21"/>
  <c r="BI264" i="21"/>
  <c r="BG264" i="21"/>
  <c r="BD264" i="21"/>
  <c r="BB264" i="21"/>
  <c r="AY264" i="21"/>
  <c r="AW264" i="21"/>
  <c r="AT264" i="21"/>
  <c r="AR264" i="21"/>
  <c r="AB264" i="21"/>
  <c r="W264" i="21"/>
  <c r="CF264" i="21" s="1"/>
  <c r="N264" i="21"/>
  <c r="L264" i="21"/>
  <c r="J264" i="21"/>
  <c r="CL263" i="21"/>
  <c r="CH263" i="21"/>
  <c r="CF263" i="21"/>
  <c r="CE263" i="21"/>
  <c r="BS263" i="21"/>
  <c r="BQ263" i="21"/>
  <c r="BN263" i="21"/>
  <c r="BL263" i="21"/>
  <c r="BI263" i="21"/>
  <c r="BG263" i="21"/>
  <c r="BD263" i="21"/>
  <c r="BB263" i="21"/>
  <c r="AY263" i="21"/>
  <c r="AW263" i="21"/>
  <c r="AT263" i="21"/>
  <c r="BU263" i="21" s="1"/>
  <c r="BY263" i="21" s="1"/>
  <c r="AR263" i="21"/>
  <c r="BT263" i="21" s="1"/>
  <c r="BV263" i="21" s="1"/>
  <c r="AB263" i="21"/>
  <c r="W263" i="21"/>
  <c r="N263" i="21"/>
  <c r="L263" i="21"/>
  <c r="J263" i="21"/>
  <c r="CL262" i="21"/>
  <c r="CH262" i="21"/>
  <c r="CE262" i="21"/>
  <c r="BU262" i="21"/>
  <c r="BY262" i="21" s="1"/>
  <c r="BS262" i="21"/>
  <c r="BQ262" i="21"/>
  <c r="BN262" i="21"/>
  <c r="BL262" i="21"/>
  <c r="BI262" i="21"/>
  <c r="BG262" i="21"/>
  <c r="BD262" i="21"/>
  <c r="BB262" i="21"/>
  <c r="AY262" i="21"/>
  <c r="AW262" i="21"/>
  <c r="AT262" i="21"/>
  <c r="AR262" i="21"/>
  <c r="BT262" i="21" s="1"/>
  <c r="BV262" i="21" s="1"/>
  <c r="BW262" i="21" s="1"/>
  <c r="AB262" i="21"/>
  <c r="W262" i="21"/>
  <c r="CF262" i="21" s="1"/>
  <c r="N262" i="21"/>
  <c r="L262" i="21"/>
  <c r="J262" i="21"/>
  <c r="CL261" i="21"/>
  <c r="CH261" i="21"/>
  <c r="CE261" i="21"/>
  <c r="BS261" i="21"/>
  <c r="BQ261" i="21"/>
  <c r="BN261" i="21"/>
  <c r="BL261" i="21"/>
  <c r="BI261" i="21"/>
  <c r="BG261" i="21"/>
  <c r="BD261" i="21"/>
  <c r="BB261" i="21"/>
  <c r="AY261" i="21"/>
  <c r="AW261" i="21"/>
  <c r="AT261" i="21"/>
  <c r="BU261" i="21" s="1"/>
  <c r="BY261" i="21" s="1"/>
  <c r="CB261" i="21" s="1"/>
  <c r="AR261" i="21"/>
  <c r="BT261" i="21" s="1"/>
  <c r="BV261" i="21" s="1"/>
  <c r="BW261" i="21" s="1"/>
  <c r="AB261" i="21"/>
  <c r="W261" i="21"/>
  <c r="N261" i="21"/>
  <c r="L261" i="21"/>
  <c r="J261" i="21"/>
  <c r="CL260" i="21"/>
  <c r="CH260" i="21"/>
  <c r="CF260" i="21"/>
  <c r="CE260" i="21"/>
  <c r="BS260" i="21"/>
  <c r="BQ260" i="21"/>
  <c r="BN260" i="21"/>
  <c r="BL260" i="21"/>
  <c r="BI260" i="21"/>
  <c r="BG260" i="21"/>
  <c r="BD260" i="21"/>
  <c r="BB260" i="21"/>
  <c r="AY260" i="21"/>
  <c r="AW260" i="21"/>
  <c r="AT260" i="21"/>
  <c r="BU260" i="21" s="1"/>
  <c r="BY260" i="21" s="1"/>
  <c r="CB260" i="21" s="1"/>
  <c r="AR260" i="21"/>
  <c r="BT260" i="21" s="1"/>
  <c r="BV260" i="21" s="1"/>
  <c r="AB260" i="21"/>
  <c r="W260" i="21"/>
  <c r="N260" i="21"/>
  <c r="L260" i="21"/>
  <c r="J260" i="21"/>
  <c r="CL259" i="21"/>
  <c r="CH259" i="21"/>
  <c r="CE259" i="21"/>
  <c r="BS259" i="21"/>
  <c r="BQ259" i="21"/>
  <c r="BN259" i="21"/>
  <c r="BL259" i="21"/>
  <c r="BI259" i="21"/>
  <c r="BG259" i="21"/>
  <c r="BD259" i="21"/>
  <c r="BB259" i="21"/>
  <c r="AY259" i="21"/>
  <c r="AW259" i="21"/>
  <c r="AT259" i="21"/>
  <c r="AR259" i="21"/>
  <c r="AB259" i="21"/>
  <c r="W259" i="21"/>
  <c r="CF259" i="21" s="1"/>
  <c r="N259" i="21"/>
  <c r="L259" i="21"/>
  <c r="J259" i="21"/>
  <c r="CL258" i="21"/>
  <c r="CH258" i="21"/>
  <c r="CE258" i="21"/>
  <c r="BY258" i="21"/>
  <c r="BS258" i="21"/>
  <c r="BQ258" i="21"/>
  <c r="BN258" i="21"/>
  <c r="BL258" i="21"/>
  <c r="BI258" i="21"/>
  <c r="BG258" i="21"/>
  <c r="BD258" i="21"/>
  <c r="BB258" i="21"/>
  <c r="AY258" i="21"/>
  <c r="AW258" i="21"/>
  <c r="AT258" i="21"/>
  <c r="BU258" i="21" s="1"/>
  <c r="AR258" i="21"/>
  <c r="BT258" i="21" s="1"/>
  <c r="BV258" i="21" s="1"/>
  <c r="BW258" i="21" s="1"/>
  <c r="AB258" i="21"/>
  <c r="W258" i="21"/>
  <c r="N258" i="21"/>
  <c r="L258" i="21"/>
  <c r="J258" i="21"/>
  <c r="CL257" i="21"/>
  <c r="CH257" i="21"/>
  <c r="CF257" i="21"/>
  <c r="CE257" i="21"/>
  <c r="BS257" i="21"/>
  <c r="BQ257" i="21"/>
  <c r="BN257" i="21"/>
  <c r="BL257" i="21"/>
  <c r="BI257" i="21"/>
  <c r="BG257" i="21"/>
  <c r="BD257" i="21"/>
  <c r="BB257" i="21"/>
  <c r="AY257" i="21"/>
  <c r="AW257" i="21"/>
  <c r="AT257" i="21"/>
  <c r="AR257" i="21"/>
  <c r="BT257" i="21" s="1"/>
  <c r="BV257" i="21" s="1"/>
  <c r="BW257" i="21" s="1"/>
  <c r="AB257" i="21"/>
  <c r="W257" i="21"/>
  <c r="N257" i="21"/>
  <c r="L257" i="21"/>
  <c r="J257" i="21"/>
  <c r="CL256" i="21"/>
  <c r="CH256" i="21"/>
  <c r="CF256" i="21"/>
  <c r="CE256" i="21"/>
  <c r="BS256" i="21"/>
  <c r="BQ256" i="21"/>
  <c r="BN256" i="21"/>
  <c r="BL256" i="21"/>
  <c r="BI256" i="21"/>
  <c r="BG256" i="21"/>
  <c r="BD256" i="21"/>
  <c r="BB256" i="21"/>
  <c r="AY256" i="21"/>
  <c r="AW256" i="21"/>
  <c r="AT256" i="21"/>
  <c r="BU256" i="21" s="1"/>
  <c r="BY256" i="21" s="1"/>
  <c r="AR256" i="21"/>
  <c r="AB256" i="21"/>
  <c r="W256" i="21"/>
  <c r="N256" i="21"/>
  <c r="L256" i="21"/>
  <c r="J256" i="21"/>
  <c r="CL255" i="21"/>
  <c r="CH255" i="21"/>
  <c r="CE255" i="21"/>
  <c r="BS255" i="21"/>
  <c r="BQ255" i="21"/>
  <c r="BN255" i="21"/>
  <c r="BL255" i="21"/>
  <c r="BI255" i="21"/>
  <c r="BG255" i="21"/>
  <c r="BD255" i="21"/>
  <c r="BB255" i="21"/>
  <c r="AY255" i="21"/>
  <c r="AW255" i="21"/>
  <c r="AT255" i="21"/>
  <c r="BU255" i="21" s="1"/>
  <c r="BY255" i="21" s="1"/>
  <c r="CB255" i="21" s="1"/>
  <c r="AR255" i="21"/>
  <c r="BT255" i="21" s="1"/>
  <c r="BV255" i="21" s="1"/>
  <c r="AB255" i="21"/>
  <c r="W255" i="21"/>
  <c r="CF255" i="21" s="1"/>
  <c r="N255" i="21"/>
  <c r="L255" i="21"/>
  <c r="J255" i="21"/>
  <c r="CL254" i="21"/>
  <c r="CH254" i="21"/>
  <c r="CE254" i="21"/>
  <c r="BS254" i="21"/>
  <c r="BQ254" i="21"/>
  <c r="BN254" i="21"/>
  <c r="BL254" i="21"/>
  <c r="BI254" i="21"/>
  <c r="BG254" i="21"/>
  <c r="BD254" i="21"/>
  <c r="BB254" i="21"/>
  <c r="AY254" i="21"/>
  <c r="AW254" i="21"/>
  <c r="AT254" i="21"/>
  <c r="AR254" i="21"/>
  <c r="BT254" i="21" s="1"/>
  <c r="BV254" i="21" s="1"/>
  <c r="AB254" i="21"/>
  <c r="W254" i="21"/>
  <c r="CF254" i="21" s="1"/>
  <c r="N254" i="21"/>
  <c r="L254" i="21"/>
  <c r="J254" i="21"/>
  <c r="CL253" i="21"/>
  <c r="CH253" i="21"/>
  <c r="CE253" i="21"/>
  <c r="BS253" i="21"/>
  <c r="BQ253" i="21"/>
  <c r="BN253" i="21"/>
  <c r="BL253" i="21"/>
  <c r="BI253" i="21"/>
  <c r="BG253" i="21"/>
  <c r="BD253" i="21"/>
  <c r="BB253" i="21"/>
  <c r="AY253" i="21"/>
  <c r="AW253" i="21"/>
  <c r="AT253" i="21"/>
  <c r="AR253" i="21"/>
  <c r="BT253" i="21" s="1"/>
  <c r="BV253" i="21" s="1"/>
  <c r="BW253" i="21" s="1"/>
  <c r="AB253" i="21"/>
  <c r="W253" i="21"/>
  <c r="N253" i="21"/>
  <c r="L253" i="21"/>
  <c r="J253" i="21"/>
  <c r="CL252" i="21"/>
  <c r="CH252" i="21"/>
  <c r="CE252" i="21"/>
  <c r="BS252" i="21"/>
  <c r="BQ252" i="21"/>
  <c r="BN252" i="21"/>
  <c r="BL252" i="21"/>
  <c r="BI252" i="21"/>
  <c r="BG252" i="21"/>
  <c r="BD252" i="21"/>
  <c r="BB252" i="21"/>
  <c r="AY252" i="21"/>
  <c r="AW252" i="21"/>
  <c r="AT252" i="21"/>
  <c r="BU252" i="21" s="1"/>
  <c r="BY252" i="21" s="1"/>
  <c r="AR252" i="21"/>
  <c r="BT252" i="21" s="1"/>
  <c r="BV252" i="21" s="1"/>
  <c r="BW252" i="21" s="1"/>
  <c r="AB252" i="21"/>
  <c r="W252" i="21"/>
  <c r="N252" i="21"/>
  <c r="L252" i="21"/>
  <c r="J252" i="21"/>
  <c r="CL251" i="21"/>
  <c r="CH251" i="21"/>
  <c r="CF251" i="21"/>
  <c r="CE251" i="21"/>
  <c r="CA251" i="21"/>
  <c r="CG251" i="21" s="1"/>
  <c r="BS251" i="21"/>
  <c r="BQ251" i="21"/>
  <c r="BN251" i="21"/>
  <c r="BL251" i="21"/>
  <c r="BI251" i="21"/>
  <c r="BG251" i="21"/>
  <c r="BD251" i="21"/>
  <c r="BB251" i="21"/>
  <c r="AY251" i="21"/>
  <c r="AW251" i="21"/>
  <c r="AT251" i="21"/>
  <c r="AR251" i="21"/>
  <c r="BT251" i="21" s="1"/>
  <c r="BV251" i="21" s="1"/>
  <c r="BW251" i="21" s="1"/>
  <c r="AB251" i="21"/>
  <c r="W251" i="21"/>
  <c r="N251" i="21"/>
  <c r="L251" i="21"/>
  <c r="J251" i="21"/>
  <c r="CL250" i="21"/>
  <c r="CH250" i="21"/>
  <c r="CF250" i="21"/>
  <c r="CE250" i="21"/>
  <c r="BS250" i="21"/>
  <c r="BQ250" i="21"/>
  <c r="BN250" i="21"/>
  <c r="BL250" i="21"/>
  <c r="BI250" i="21"/>
  <c r="BG250" i="21"/>
  <c r="BD250" i="21"/>
  <c r="BB250" i="21"/>
  <c r="AY250" i="21"/>
  <c r="AW250" i="21"/>
  <c r="AT250" i="21"/>
  <c r="BU250" i="21" s="1"/>
  <c r="BY250" i="21" s="1"/>
  <c r="AR250" i="21"/>
  <c r="AB250" i="21"/>
  <c r="W250" i="21"/>
  <c r="N250" i="21"/>
  <c r="L250" i="21"/>
  <c r="J250" i="21"/>
  <c r="CL249" i="21"/>
  <c r="CH249" i="21"/>
  <c r="CE249" i="21"/>
  <c r="BU249" i="21"/>
  <c r="BY249" i="21" s="1"/>
  <c r="CB249" i="21" s="1"/>
  <c r="BS249" i="21"/>
  <c r="BQ249" i="21"/>
  <c r="BN249" i="21"/>
  <c r="BL249" i="21"/>
  <c r="BI249" i="21"/>
  <c r="BG249" i="21"/>
  <c r="BD249" i="21"/>
  <c r="BB249" i="21"/>
  <c r="AY249" i="21"/>
  <c r="AW249" i="21"/>
  <c r="AT249" i="21"/>
  <c r="AR249" i="21"/>
  <c r="BT249" i="21" s="1"/>
  <c r="BV249" i="21" s="1"/>
  <c r="BW249" i="21" s="1"/>
  <c r="AB249" i="21"/>
  <c r="W249" i="21"/>
  <c r="N249" i="21"/>
  <c r="L249" i="21"/>
  <c r="J249" i="21"/>
  <c r="CL248" i="21"/>
  <c r="CH248" i="21"/>
  <c r="CF248" i="21"/>
  <c r="CE248" i="21"/>
  <c r="BS248" i="21"/>
  <c r="BQ248" i="21"/>
  <c r="BN248" i="21"/>
  <c r="BL248" i="21"/>
  <c r="BI248" i="21"/>
  <c r="BG248" i="21"/>
  <c r="BD248" i="21"/>
  <c r="BB248" i="21"/>
  <c r="AY248" i="21"/>
  <c r="AW248" i="21"/>
  <c r="AT248" i="21"/>
  <c r="BU248" i="21" s="1"/>
  <c r="BY248" i="21" s="1"/>
  <c r="CB248" i="21" s="1"/>
  <c r="AR248" i="21"/>
  <c r="BT248" i="21" s="1"/>
  <c r="BV248" i="21" s="1"/>
  <c r="AB248" i="21"/>
  <c r="W248" i="21"/>
  <c r="N248" i="21"/>
  <c r="L248" i="21"/>
  <c r="J248" i="21"/>
  <c r="CL247" i="21"/>
  <c r="CH247" i="21"/>
  <c r="CE247" i="21"/>
  <c r="BS247" i="21"/>
  <c r="BQ247" i="21"/>
  <c r="BN247" i="21"/>
  <c r="BL247" i="21"/>
  <c r="BI247" i="21"/>
  <c r="BG247" i="21"/>
  <c r="BD247" i="21"/>
  <c r="BU247" i="21" s="1"/>
  <c r="BY247" i="21" s="1"/>
  <c r="BB247" i="21"/>
  <c r="AY247" i="21"/>
  <c r="AW247" i="21"/>
  <c r="AT247" i="21"/>
  <c r="AR247" i="21"/>
  <c r="AB247" i="21"/>
  <c r="W247" i="21"/>
  <c r="N247" i="21"/>
  <c r="L247" i="21"/>
  <c r="J247" i="21"/>
  <c r="CL246" i="21"/>
  <c r="CH246" i="21"/>
  <c r="CE246" i="21"/>
  <c r="BU246" i="21"/>
  <c r="BY246" i="21" s="1"/>
  <c r="BS246" i="21"/>
  <c r="BQ246" i="21"/>
  <c r="BN246" i="21"/>
  <c r="BL246" i="21"/>
  <c r="BI246" i="21"/>
  <c r="BG246" i="21"/>
  <c r="BD246" i="21"/>
  <c r="BB246" i="21"/>
  <c r="AY246" i="21"/>
  <c r="AW246" i="21"/>
  <c r="AT246" i="21"/>
  <c r="AR246" i="21"/>
  <c r="BT246" i="21" s="1"/>
  <c r="BV246" i="21" s="1"/>
  <c r="BW246" i="21" s="1"/>
  <c r="AB246" i="21"/>
  <c r="W246" i="21"/>
  <c r="N246" i="21"/>
  <c r="L246" i="21"/>
  <c r="J246" i="21"/>
  <c r="CL245" i="21"/>
  <c r="CH245" i="21"/>
  <c r="CF245" i="21"/>
  <c r="CE245" i="21"/>
  <c r="BS245" i="21"/>
  <c r="BQ245" i="21"/>
  <c r="BN245" i="21"/>
  <c r="BL245" i="21"/>
  <c r="BI245" i="21"/>
  <c r="BG245" i="21"/>
  <c r="BD245" i="21"/>
  <c r="BB245" i="21"/>
  <c r="AY245" i="21"/>
  <c r="AW245" i="21"/>
  <c r="AT245" i="21"/>
  <c r="BU245" i="21" s="1"/>
  <c r="BY245" i="21" s="1"/>
  <c r="CB245" i="21" s="1"/>
  <c r="AR245" i="21"/>
  <c r="BT245" i="21" s="1"/>
  <c r="BV245" i="21" s="1"/>
  <c r="BW245" i="21" s="1"/>
  <c r="AB245" i="21"/>
  <c r="W245" i="21"/>
  <c r="N245" i="21"/>
  <c r="L245" i="21"/>
  <c r="J245" i="21"/>
  <c r="CL244" i="21"/>
  <c r="CH244" i="21"/>
  <c r="CF244" i="21"/>
  <c r="CE244" i="21"/>
  <c r="BY244" i="21"/>
  <c r="CB244" i="21" s="1"/>
  <c r="BS244" i="21"/>
  <c r="BQ244" i="21"/>
  <c r="BN244" i="21"/>
  <c r="BL244" i="21"/>
  <c r="BI244" i="21"/>
  <c r="BG244" i="21"/>
  <c r="BD244" i="21"/>
  <c r="BB244" i="21"/>
  <c r="AY244" i="21"/>
  <c r="AW244" i="21"/>
  <c r="AT244" i="21"/>
  <c r="BU244" i="21" s="1"/>
  <c r="AR244" i="21"/>
  <c r="BT244" i="21" s="1"/>
  <c r="BV244" i="21" s="1"/>
  <c r="BW244" i="21" s="1"/>
  <c r="AB244" i="21"/>
  <c r="W244" i="21"/>
  <c r="N244" i="21"/>
  <c r="L244" i="21"/>
  <c r="J244" i="21"/>
  <c r="CL243" i="21"/>
  <c r="CH243" i="21"/>
  <c r="CE243" i="21"/>
  <c r="BS243" i="21"/>
  <c r="BQ243" i="21"/>
  <c r="BN243" i="21"/>
  <c r="BL243" i="21"/>
  <c r="BI243" i="21"/>
  <c r="BG243" i="21"/>
  <c r="BD243" i="21"/>
  <c r="BB243" i="21"/>
  <c r="AY243" i="21"/>
  <c r="AW243" i="21"/>
  <c r="AT243" i="21"/>
  <c r="BU243" i="21" s="1"/>
  <c r="BY243" i="21" s="1"/>
  <c r="AR243" i="21"/>
  <c r="AB243" i="21"/>
  <c r="W243" i="21"/>
  <c r="N243" i="21"/>
  <c r="L243" i="21"/>
  <c r="J243" i="21"/>
  <c r="CL242" i="21"/>
  <c r="CH242" i="21"/>
  <c r="CE242" i="21"/>
  <c r="BY242" i="21"/>
  <c r="BS242" i="21"/>
  <c r="BQ242" i="21"/>
  <c r="BN242" i="21"/>
  <c r="BL242" i="21"/>
  <c r="BI242" i="21"/>
  <c r="BG242" i="21"/>
  <c r="BD242" i="21"/>
  <c r="BB242" i="21"/>
  <c r="AY242" i="21"/>
  <c r="AW242" i="21"/>
  <c r="AT242" i="21"/>
  <c r="BU242" i="21" s="1"/>
  <c r="AR242" i="21"/>
  <c r="AB242" i="21"/>
  <c r="W242" i="21"/>
  <c r="CF242" i="21" s="1"/>
  <c r="N242" i="21"/>
  <c r="L242" i="21"/>
  <c r="J242" i="21"/>
  <c r="CL241" i="21"/>
  <c r="CH241" i="21"/>
  <c r="CF241" i="21"/>
  <c r="CE241" i="21"/>
  <c r="BS241" i="21"/>
  <c r="BQ241" i="21"/>
  <c r="BN241" i="21"/>
  <c r="BL241" i="21"/>
  <c r="BI241" i="21"/>
  <c r="BG241" i="21"/>
  <c r="BD241" i="21"/>
  <c r="BB241" i="21"/>
  <c r="AY241" i="21"/>
  <c r="AW241" i="21"/>
  <c r="AT241" i="21"/>
  <c r="BU241" i="21" s="1"/>
  <c r="BY241" i="21" s="1"/>
  <c r="AR241" i="21"/>
  <c r="BT241" i="21" s="1"/>
  <c r="BV241" i="21" s="1"/>
  <c r="BW241" i="21" s="1"/>
  <c r="AB241" i="21"/>
  <c r="W241" i="21"/>
  <c r="CB241" i="21" s="1"/>
  <c r="N241" i="21"/>
  <c r="L241" i="21"/>
  <c r="J241" i="21"/>
  <c r="CL240" i="21"/>
  <c r="CH240" i="21"/>
  <c r="CF240" i="21"/>
  <c r="CE240" i="21"/>
  <c r="BS240" i="21"/>
  <c r="BQ240" i="21"/>
  <c r="BN240" i="21"/>
  <c r="BL240" i="21"/>
  <c r="BI240" i="21"/>
  <c r="BG240" i="21"/>
  <c r="BD240" i="21"/>
  <c r="BB240" i="21"/>
  <c r="AY240" i="21"/>
  <c r="AW240" i="21"/>
  <c r="AT240" i="21"/>
  <c r="BU240" i="21" s="1"/>
  <c r="BY240" i="21" s="1"/>
  <c r="CB240" i="21" s="1"/>
  <c r="AR240" i="21"/>
  <c r="BT240" i="21" s="1"/>
  <c r="BV240" i="21" s="1"/>
  <c r="AB240" i="21"/>
  <c r="W240" i="21"/>
  <c r="N240" i="21"/>
  <c r="L240" i="21"/>
  <c r="J240" i="21"/>
  <c r="CL239" i="21"/>
  <c r="CH239" i="21"/>
  <c r="CE239" i="21"/>
  <c r="BS239" i="21"/>
  <c r="BQ239" i="21"/>
  <c r="BN239" i="21"/>
  <c r="BL239" i="21"/>
  <c r="BI239" i="21"/>
  <c r="BG239" i="21"/>
  <c r="BD239" i="21"/>
  <c r="BB239" i="21"/>
  <c r="AY239" i="21"/>
  <c r="AW239" i="21"/>
  <c r="AT239" i="21"/>
  <c r="BU239" i="21" s="1"/>
  <c r="BY239" i="21" s="1"/>
  <c r="AR239" i="21"/>
  <c r="BT239" i="21" s="1"/>
  <c r="BV239" i="21" s="1"/>
  <c r="BW239" i="21" s="1"/>
  <c r="AB239" i="21"/>
  <c r="W239" i="21"/>
  <c r="N239" i="21"/>
  <c r="L239" i="21"/>
  <c r="J239" i="21"/>
  <c r="CL238" i="21"/>
  <c r="CH238" i="21"/>
  <c r="CE238" i="21"/>
  <c r="BS238" i="21"/>
  <c r="BQ238" i="21"/>
  <c r="BN238" i="21"/>
  <c r="BL238" i="21"/>
  <c r="BI238" i="21"/>
  <c r="BG238" i="21"/>
  <c r="BD238" i="21"/>
  <c r="BB238" i="21"/>
  <c r="AY238" i="21"/>
  <c r="AW238" i="21"/>
  <c r="AT238" i="21"/>
  <c r="BU238" i="21" s="1"/>
  <c r="BY238" i="21" s="1"/>
  <c r="AR238" i="21"/>
  <c r="BT238" i="21" s="1"/>
  <c r="BV238" i="21" s="1"/>
  <c r="BW238" i="21" s="1"/>
  <c r="AB238" i="21"/>
  <c r="W238" i="21"/>
  <c r="N238" i="21"/>
  <c r="L238" i="21"/>
  <c r="J238" i="21"/>
  <c r="CL237" i="21"/>
  <c r="CH237" i="21"/>
  <c r="CE237" i="21"/>
  <c r="BS237" i="21"/>
  <c r="BQ237" i="21"/>
  <c r="BN237" i="21"/>
  <c r="BL237" i="21"/>
  <c r="BI237" i="21"/>
  <c r="BG237" i="21"/>
  <c r="BD237" i="21"/>
  <c r="BB237" i="21"/>
  <c r="AY237" i="21"/>
  <c r="AW237" i="21"/>
  <c r="AT237" i="21"/>
  <c r="BU237" i="21" s="1"/>
  <c r="BY237" i="21" s="1"/>
  <c r="AR237" i="21"/>
  <c r="BT237" i="21" s="1"/>
  <c r="BV237" i="21" s="1"/>
  <c r="BW237" i="21" s="1"/>
  <c r="AB237" i="21"/>
  <c r="W237" i="21"/>
  <c r="N237" i="21"/>
  <c r="L237" i="21"/>
  <c r="J237" i="21"/>
  <c r="CL236" i="21"/>
  <c r="CH236" i="21"/>
  <c r="CE236" i="21"/>
  <c r="BW236" i="21"/>
  <c r="BS236" i="21"/>
  <c r="BQ236" i="21"/>
  <c r="BN236" i="21"/>
  <c r="BL236" i="21"/>
  <c r="BI236" i="21"/>
  <c r="BG236" i="21"/>
  <c r="BD236" i="21"/>
  <c r="BB236" i="21"/>
  <c r="AY236" i="21"/>
  <c r="AW236" i="21"/>
  <c r="AT236" i="21"/>
  <c r="BU236" i="21" s="1"/>
  <c r="BY236" i="21" s="1"/>
  <c r="AR236" i="21"/>
  <c r="BT236" i="21" s="1"/>
  <c r="BV236" i="21" s="1"/>
  <c r="AB236" i="21"/>
  <c r="W236" i="21"/>
  <c r="N236" i="21"/>
  <c r="L236" i="21"/>
  <c r="J236" i="21"/>
  <c r="CL235" i="21"/>
  <c r="CH235" i="21"/>
  <c r="CF235" i="21"/>
  <c r="CE235" i="21"/>
  <c r="BS235" i="21"/>
  <c r="BQ235" i="21"/>
  <c r="BN235" i="21"/>
  <c r="BL235" i="21"/>
  <c r="BI235" i="21"/>
  <c r="BG235" i="21"/>
  <c r="BD235" i="21"/>
  <c r="BB235" i="21"/>
  <c r="AY235" i="21"/>
  <c r="AW235" i="21"/>
  <c r="AT235" i="21"/>
  <c r="BU235" i="21" s="1"/>
  <c r="BY235" i="21" s="1"/>
  <c r="CB235" i="21" s="1"/>
  <c r="AR235" i="21"/>
  <c r="AB235" i="21"/>
  <c r="W235" i="21"/>
  <c r="N235" i="21"/>
  <c r="L235" i="21"/>
  <c r="J235" i="21"/>
  <c r="CL234" i="21"/>
  <c r="CH234" i="21"/>
  <c r="CF234" i="21"/>
  <c r="CE234" i="21"/>
  <c r="BS234" i="21"/>
  <c r="BQ234" i="21"/>
  <c r="BN234" i="21"/>
  <c r="BL234" i="21"/>
  <c r="BI234" i="21"/>
  <c r="BG234" i="21"/>
  <c r="BD234" i="21"/>
  <c r="BB234" i="21"/>
  <c r="AY234" i="21"/>
  <c r="AW234" i="21"/>
  <c r="AT234" i="21"/>
  <c r="BU234" i="21" s="1"/>
  <c r="BY234" i="21" s="1"/>
  <c r="CB234" i="21" s="1"/>
  <c r="AR234" i="21"/>
  <c r="BT234" i="21" s="1"/>
  <c r="BV234" i="21" s="1"/>
  <c r="BW234" i="21" s="1"/>
  <c r="AB234" i="21"/>
  <c r="W234" i="21"/>
  <c r="CA234" i="21" s="1"/>
  <c r="CG234" i="21" s="1"/>
  <c r="N234" i="21"/>
  <c r="L234" i="21"/>
  <c r="J234" i="21"/>
  <c r="CL233" i="21"/>
  <c r="CH233" i="21"/>
  <c r="CE233" i="21"/>
  <c r="BS233" i="21"/>
  <c r="BQ233" i="21"/>
  <c r="BN233" i="21"/>
  <c r="BL233" i="21"/>
  <c r="BI233" i="21"/>
  <c r="BG233" i="21"/>
  <c r="BD233" i="21"/>
  <c r="BB233" i="21"/>
  <c r="AY233" i="21"/>
  <c r="AW233" i="21"/>
  <c r="AT233" i="21"/>
  <c r="BU233" i="21" s="1"/>
  <c r="BY233" i="21" s="1"/>
  <c r="CB233" i="21" s="1"/>
  <c r="AR233" i="21"/>
  <c r="BT233" i="21" s="1"/>
  <c r="BV233" i="21" s="1"/>
  <c r="BW233" i="21" s="1"/>
  <c r="AB233" i="21"/>
  <c r="W233" i="21"/>
  <c r="CF233" i="21" s="1"/>
  <c r="N233" i="21"/>
  <c r="L233" i="21"/>
  <c r="J233" i="21"/>
  <c r="CL232" i="21"/>
  <c r="CH232" i="21"/>
  <c r="CF232" i="21"/>
  <c r="CE232" i="21"/>
  <c r="CA232" i="21"/>
  <c r="CG232" i="21" s="1"/>
  <c r="BS232" i="21"/>
  <c r="BQ232" i="21"/>
  <c r="BN232" i="21"/>
  <c r="BL232" i="21"/>
  <c r="BI232" i="21"/>
  <c r="BG232" i="21"/>
  <c r="BD232" i="21"/>
  <c r="BB232" i="21"/>
  <c r="AY232" i="21"/>
  <c r="AW232" i="21"/>
  <c r="AT232" i="21"/>
  <c r="BU232" i="21" s="1"/>
  <c r="BY232" i="21" s="1"/>
  <c r="CB232" i="21" s="1"/>
  <c r="AR232" i="21"/>
  <c r="BT232" i="21" s="1"/>
  <c r="BV232" i="21" s="1"/>
  <c r="BW232" i="21" s="1"/>
  <c r="AB232" i="21"/>
  <c r="W232" i="21"/>
  <c r="N232" i="21"/>
  <c r="L232" i="21"/>
  <c r="J232" i="21"/>
  <c r="CL231" i="21"/>
  <c r="CH231" i="21"/>
  <c r="CE231" i="21"/>
  <c r="BS231" i="21"/>
  <c r="BQ231" i="21"/>
  <c r="BN231" i="21"/>
  <c r="BL231" i="21"/>
  <c r="BI231" i="21"/>
  <c r="BG231" i="21"/>
  <c r="BD231" i="21"/>
  <c r="BB231" i="21"/>
  <c r="AY231" i="21"/>
  <c r="AW231" i="21"/>
  <c r="AT231" i="21"/>
  <c r="BU231" i="21" s="1"/>
  <c r="BY231" i="21" s="1"/>
  <c r="AR231" i="21"/>
  <c r="BT231" i="21" s="1"/>
  <c r="BV231" i="21" s="1"/>
  <c r="BW231" i="21" s="1"/>
  <c r="AB231" i="21"/>
  <c r="W231" i="21"/>
  <c r="N231" i="21"/>
  <c r="L231" i="21"/>
  <c r="J231" i="21"/>
  <c r="CL230" i="21"/>
  <c r="CH230" i="21"/>
  <c r="CE230" i="21"/>
  <c r="BS230" i="21"/>
  <c r="BQ230" i="21"/>
  <c r="BN230" i="21"/>
  <c r="BL230" i="21"/>
  <c r="BI230" i="21"/>
  <c r="BG230" i="21"/>
  <c r="BD230" i="21"/>
  <c r="BB230" i="21"/>
  <c r="AY230" i="21"/>
  <c r="AW230" i="21"/>
  <c r="AT230" i="21"/>
  <c r="BU230" i="21" s="1"/>
  <c r="BY230" i="21" s="1"/>
  <c r="AR230" i="21"/>
  <c r="BT230" i="21" s="1"/>
  <c r="BV230" i="21" s="1"/>
  <c r="BW230" i="21" s="1"/>
  <c r="AB230" i="21"/>
  <c r="W230" i="21"/>
  <c r="CF230" i="21" s="1"/>
  <c r="N230" i="21"/>
  <c r="L230" i="21"/>
  <c r="J230" i="21"/>
  <c r="CL229" i="21"/>
  <c r="CH229" i="21"/>
  <c r="CF229" i="21"/>
  <c r="CE229" i="21"/>
  <c r="BS229" i="21"/>
  <c r="BQ229" i="21"/>
  <c r="BN229" i="21"/>
  <c r="BL229" i="21"/>
  <c r="BI229" i="21"/>
  <c r="BG229" i="21"/>
  <c r="BD229" i="21"/>
  <c r="BB229" i="21"/>
  <c r="AY229" i="21"/>
  <c r="AW229" i="21"/>
  <c r="AT229" i="21"/>
  <c r="BU229" i="21" s="1"/>
  <c r="BY229" i="21" s="1"/>
  <c r="AR229" i="21"/>
  <c r="BT229" i="21" s="1"/>
  <c r="BV229" i="21" s="1"/>
  <c r="BW229" i="21" s="1"/>
  <c r="AB229" i="21"/>
  <c r="W229" i="21"/>
  <c r="CB229" i="21" s="1"/>
  <c r="N229" i="21"/>
  <c r="L229" i="21"/>
  <c r="J229" i="21"/>
  <c r="CL228" i="21"/>
  <c r="CH228" i="21"/>
  <c r="CF228" i="21"/>
  <c r="CE228" i="21"/>
  <c r="BS228" i="21"/>
  <c r="BQ228" i="21"/>
  <c r="BN228" i="21"/>
  <c r="BL228" i="21"/>
  <c r="BI228" i="21"/>
  <c r="BG228" i="21"/>
  <c r="BD228" i="21"/>
  <c r="BB228" i="21"/>
  <c r="AY228" i="21"/>
  <c r="AW228" i="21"/>
  <c r="AT228" i="21"/>
  <c r="BU228" i="21" s="1"/>
  <c r="BY228" i="21" s="1"/>
  <c r="AR228" i="21"/>
  <c r="BT228" i="21" s="1"/>
  <c r="BV228" i="21" s="1"/>
  <c r="AB228" i="21"/>
  <c r="W228" i="21"/>
  <c r="CB228" i="21" s="1"/>
  <c r="N228" i="21"/>
  <c r="L228" i="21"/>
  <c r="J228" i="21"/>
  <c r="CL227" i="21"/>
  <c r="CH227" i="21"/>
  <c r="CE227" i="21"/>
  <c r="BS227" i="21"/>
  <c r="BQ227" i="21"/>
  <c r="BN227" i="21"/>
  <c r="BL227" i="21"/>
  <c r="BI227" i="21"/>
  <c r="BG227" i="21"/>
  <c r="BD227" i="21"/>
  <c r="BB227" i="21"/>
  <c r="AY227" i="21"/>
  <c r="AW227" i="21"/>
  <c r="AT227" i="21"/>
  <c r="BU227" i="21" s="1"/>
  <c r="BY227" i="21" s="1"/>
  <c r="AR227" i="21"/>
  <c r="BT227" i="21" s="1"/>
  <c r="BV227" i="21" s="1"/>
  <c r="BW227" i="21" s="1"/>
  <c r="AB227" i="21"/>
  <c r="W227" i="21"/>
  <c r="N227" i="21"/>
  <c r="L227" i="21"/>
  <c r="J227" i="21"/>
  <c r="CL226" i="21"/>
  <c r="CH226" i="21"/>
  <c r="CE226" i="21"/>
  <c r="BS226" i="21"/>
  <c r="BQ226" i="21"/>
  <c r="BN226" i="21"/>
  <c r="BL226" i="21"/>
  <c r="BI226" i="21"/>
  <c r="BG226" i="21"/>
  <c r="BD226" i="21"/>
  <c r="BB226" i="21"/>
  <c r="AY226" i="21"/>
  <c r="AW226" i="21"/>
  <c r="AT226" i="21"/>
  <c r="AR226" i="21"/>
  <c r="BT226" i="21" s="1"/>
  <c r="BV226" i="21" s="1"/>
  <c r="BW226" i="21" s="1"/>
  <c r="AB226" i="21"/>
  <c r="W226" i="21"/>
  <c r="N226" i="21"/>
  <c r="L226" i="21"/>
  <c r="J226" i="21"/>
  <c r="CL225" i="21"/>
  <c r="CH225" i="21"/>
  <c r="CE225" i="21"/>
  <c r="BS225" i="21"/>
  <c r="BQ225" i="21"/>
  <c r="BN225" i="21"/>
  <c r="BL225" i="21"/>
  <c r="BI225" i="21"/>
  <c r="BG225" i="21"/>
  <c r="BD225" i="21"/>
  <c r="BB225" i="21"/>
  <c r="AY225" i="21"/>
  <c r="AW225" i="21"/>
  <c r="AT225" i="21"/>
  <c r="AR225" i="21"/>
  <c r="BT225" i="21" s="1"/>
  <c r="BV225" i="21" s="1"/>
  <c r="BW225" i="21" s="1"/>
  <c r="AB225" i="21"/>
  <c r="W225" i="21"/>
  <c r="N225" i="21"/>
  <c r="L225" i="21"/>
  <c r="J225" i="21"/>
  <c r="CL224" i="21"/>
  <c r="CH224" i="21"/>
  <c r="CE224" i="21"/>
  <c r="BW224" i="21"/>
  <c r="BS224" i="21"/>
  <c r="BQ224" i="21"/>
  <c r="BN224" i="21"/>
  <c r="BL224" i="21"/>
  <c r="BI224" i="21"/>
  <c r="BG224" i="21"/>
  <c r="BD224" i="21"/>
  <c r="BB224" i="21"/>
  <c r="AY224" i="21"/>
  <c r="AW224" i="21"/>
  <c r="AT224" i="21"/>
  <c r="BU224" i="21" s="1"/>
  <c r="BY224" i="21" s="1"/>
  <c r="AR224" i="21"/>
  <c r="BT224" i="21" s="1"/>
  <c r="BV224" i="21" s="1"/>
  <c r="AB224" i="21"/>
  <c r="W224" i="21"/>
  <c r="N224" i="21"/>
  <c r="L224" i="21"/>
  <c r="J224" i="21"/>
  <c r="CL223" i="21"/>
  <c r="CH223" i="21"/>
  <c r="CF223" i="21"/>
  <c r="CE223" i="21"/>
  <c r="BU223" i="21"/>
  <c r="BY223" i="21" s="1"/>
  <c r="CB223" i="21" s="1"/>
  <c r="BS223" i="21"/>
  <c r="BQ223" i="21"/>
  <c r="BN223" i="21"/>
  <c r="BL223" i="21"/>
  <c r="BI223" i="21"/>
  <c r="BG223" i="21"/>
  <c r="BD223" i="21"/>
  <c r="BB223" i="21"/>
  <c r="AY223" i="21"/>
  <c r="AW223" i="21"/>
  <c r="AT223" i="21"/>
  <c r="AR223" i="21"/>
  <c r="BT223" i="21" s="1"/>
  <c r="BV223" i="21" s="1"/>
  <c r="BW223" i="21" s="1"/>
  <c r="AB223" i="21"/>
  <c r="W223" i="21"/>
  <c r="CA223" i="21" s="1"/>
  <c r="CG223" i="21" s="1"/>
  <c r="N223" i="21"/>
  <c r="L223" i="21"/>
  <c r="J223" i="21"/>
  <c r="CL222" i="21"/>
  <c r="CH222" i="21"/>
  <c r="CF222" i="21"/>
  <c r="CE222" i="21"/>
  <c r="BU222" i="21"/>
  <c r="BY222" i="21" s="1"/>
  <c r="CB222" i="21" s="1"/>
  <c r="BS222" i="21"/>
  <c r="BQ222" i="21"/>
  <c r="BN222" i="21"/>
  <c r="BL222" i="21"/>
  <c r="BI222" i="21"/>
  <c r="BG222" i="21"/>
  <c r="BD222" i="21"/>
  <c r="BB222" i="21"/>
  <c r="AY222" i="21"/>
  <c r="AW222" i="21"/>
  <c r="AT222" i="21"/>
  <c r="AR222" i="21"/>
  <c r="BT222" i="21" s="1"/>
  <c r="BV222" i="21" s="1"/>
  <c r="BW222" i="21" s="1"/>
  <c r="AB222" i="21"/>
  <c r="W222" i="21"/>
  <c r="N222" i="21"/>
  <c r="L222" i="21"/>
  <c r="J222" i="21"/>
  <c r="CL221" i="21"/>
  <c r="CH221" i="21"/>
  <c r="CF221" i="21"/>
  <c r="CE221" i="21"/>
  <c r="BS221" i="21"/>
  <c r="BQ221" i="21"/>
  <c r="BN221" i="21"/>
  <c r="BL221" i="21"/>
  <c r="BI221" i="21"/>
  <c r="BG221" i="21"/>
  <c r="BD221" i="21"/>
  <c r="BB221" i="21"/>
  <c r="AY221" i="21"/>
  <c r="AW221" i="21"/>
  <c r="AT221" i="21"/>
  <c r="BU221" i="21" s="1"/>
  <c r="BY221" i="21" s="1"/>
  <c r="CB221" i="21" s="1"/>
  <c r="AR221" i="21"/>
  <c r="BT221" i="21" s="1"/>
  <c r="BV221" i="21" s="1"/>
  <c r="BW221" i="21" s="1"/>
  <c r="AB221" i="21"/>
  <c r="W221" i="21"/>
  <c r="N221" i="21"/>
  <c r="L221" i="21"/>
  <c r="J221" i="21"/>
  <c r="CL220" i="21"/>
  <c r="CH220" i="21"/>
  <c r="CE220" i="21"/>
  <c r="BS220" i="21"/>
  <c r="BQ220" i="21"/>
  <c r="BN220" i="21"/>
  <c r="BL220" i="21"/>
  <c r="BI220" i="21"/>
  <c r="BG220" i="21"/>
  <c r="BD220" i="21"/>
  <c r="BB220" i="21"/>
  <c r="AY220" i="21"/>
  <c r="AW220" i="21"/>
  <c r="AT220" i="21"/>
  <c r="BU220" i="21" s="1"/>
  <c r="BY220" i="21" s="1"/>
  <c r="CB220" i="21" s="1"/>
  <c r="AR220" i="21"/>
  <c r="BT220" i="21" s="1"/>
  <c r="BV220" i="21" s="1"/>
  <c r="BW220" i="21" s="1"/>
  <c r="AB220" i="21"/>
  <c r="W220" i="21"/>
  <c r="CF220" i="21" s="1"/>
  <c r="N220" i="21"/>
  <c r="L220" i="21"/>
  <c r="J220" i="21"/>
  <c r="CL219" i="21"/>
  <c r="CH219" i="21"/>
  <c r="CE219" i="21"/>
  <c r="BY219" i="21"/>
  <c r="BS219" i="21"/>
  <c r="BQ219" i="21"/>
  <c r="BN219" i="21"/>
  <c r="BL219" i="21"/>
  <c r="BI219" i="21"/>
  <c r="BG219" i="21"/>
  <c r="BD219" i="21"/>
  <c r="BB219" i="21"/>
  <c r="AY219" i="21"/>
  <c r="AW219" i="21"/>
  <c r="AT219" i="21"/>
  <c r="BU219" i="21" s="1"/>
  <c r="AR219" i="21"/>
  <c r="AB219" i="21"/>
  <c r="W219" i="21"/>
  <c r="N219" i="21"/>
  <c r="L219" i="21"/>
  <c r="J219" i="21"/>
  <c r="CL218" i="21"/>
  <c r="CH218" i="21"/>
  <c r="CE218" i="21"/>
  <c r="BS218" i="21"/>
  <c r="BQ218" i="21"/>
  <c r="BN218" i="21"/>
  <c r="BL218" i="21"/>
  <c r="BI218" i="21"/>
  <c r="BG218" i="21"/>
  <c r="BD218" i="21"/>
  <c r="BB218" i="21"/>
  <c r="AY218" i="21"/>
  <c r="AW218" i="21"/>
  <c r="AT218" i="21"/>
  <c r="BU218" i="21" s="1"/>
  <c r="BY218" i="21" s="1"/>
  <c r="AR218" i="21"/>
  <c r="BT218" i="21" s="1"/>
  <c r="BV218" i="21" s="1"/>
  <c r="BW218" i="21" s="1"/>
  <c r="AB218" i="21"/>
  <c r="W218" i="21"/>
  <c r="N218" i="21"/>
  <c r="L218" i="21"/>
  <c r="J218" i="21"/>
  <c r="CL217" i="21"/>
  <c r="CH217" i="21"/>
  <c r="CF217" i="21"/>
  <c r="CE217" i="21"/>
  <c r="BS217" i="21"/>
  <c r="BQ217" i="21"/>
  <c r="BN217" i="21"/>
  <c r="BL217" i="21"/>
  <c r="BI217" i="21"/>
  <c r="BG217" i="21"/>
  <c r="BD217" i="21"/>
  <c r="BB217" i="21"/>
  <c r="AY217" i="21"/>
  <c r="AW217" i="21"/>
  <c r="AT217" i="21"/>
  <c r="AR217" i="21"/>
  <c r="BT217" i="21" s="1"/>
  <c r="BV217" i="21" s="1"/>
  <c r="BW217" i="21" s="1"/>
  <c r="AB217" i="21"/>
  <c r="W217" i="21"/>
  <c r="N217" i="21"/>
  <c r="L217" i="21"/>
  <c r="J217" i="21"/>
  <c r="CL216" i="21"/>
  <c r="CH216" i="21"/>
  <c r="CF216" i="21"/>
  <c r="CE216" i="21"/>
  <c r="BS216" i="21"/>
  <c r="BQ216" i="21"/>
  <c r="BN216" i="21"/>
  <c r="BL216" i="21"/>
  <c r="BI216" i="21"/>
  <c r="BG216" i="21"/>
  <c r="BD216" i="21"/>
  <c r="BB216" i="21"/>
  <c r="AY216" i="21"/>
  <c r="AW216" i="21"/>
  <c r="AT216" i="21"/>
  <c r="BU216" i="21" s="1"/>
  <c r="BY216" i="21" s="1"/>
  <c r="AR216" i="21"/>
  <c r="AB216" i="21"/>
  <c r="W216" i="21"/>
  <c r="N216" i="21"/>
  <c r="L216" i="21"/>
  <c r="J216" i="21"/>
  <c r="CL215" i="21"/>
  <c r="CH215" i="21"/>
  <c r="CE215" i="21"/>
  <c r="BS215" i="21"/>
  <c r="BQ215" i="21"/>
  <c r="BN215" i="21"/>
  <c r="BL215" i="21"/>
  <c r="BI215" i="21"/>
  <c r="BG215" i="21"/>
  <c r="BD215" i="21"/>
  <c r="BB215" i="21"/>
  <c r="AY215" i="21"/>
  <c r="AW215" i="21"/>
  <c r="AT215" i="21"/>
  <c r="BU215" i="21" s="1"/>
  <c r="BY215" i="21" s="1"/>
  <c r="CB215" i="21" s="1"/>
  <c r="AR215" i="21"/>
  <c r="BT215" i="21" s="1"/>
  <c r="BV215" i="21" s="1"/>
  <c r="BW215" i="21" s="1"/>
  <c r="AB215" i="21"/>
  <c r="W215" i="21"/>
  <c r="CF215" i="21" s="1"/>
  <c r="N215" i="21"/>
  <c r="L215" i="21"/>
  <c r="J215" i="21"/>
  <c r="CL214" i="21"/>
  <c r="CH214" i="21"/>
  <c r="CE214" i="21"/>
  <c r="BS214" i="21"/>
  <c r="BQ214" i="21"/>
  <c r="BN214" i="21"/>
  <c r="BL214" i="21"/>
  <c r="BI214" i="21"/>
  <c r="BG214" i="21"/>
  <c r="BD214" i="21"/>
  <c r="BB214" i="21"/>
  <c r="AY214" i="21"/>
  <c r="AW214" i="21"/>
  <c r="AT214" i="21"/>
  <c r="AR214" i="21"/>
  <c r="BT214" i="21" s="1"/>
  <c r="BV214" i="21" s="1"/>
  <c r="BW214" i="21" s="1"/>
  <c r="AB214" i="21"/>
  <c r="W214" i="21"/>
  <c r="CF214" i="21" s="1"/>
  <c r="N214" i="21"/>
  <c r="L214" i="21"/>
  <c r="J214" i="21"/>
  <c r="CL213" i="21"/>
  <c r="CH213" i="21"/>
  <c r="CF213" i="21"/>
  <c r="CE213" i="21"/>
  <c r="BS213" i="21"/>
  <c r="BQ213" i="21"/>
  <c r="BN213" i="21"/>
  <c r="BL213" i="21"/>
  <c r="BI213" i="21"/>
  <c r="BG213" i="21"/>
  <c r="BD213" i="21"/>
  <c r="BB213" i="21"/>
  <c r="AY213" i="21"/>
  <c r="AW213" i="21"/>
  <c r="AT213" i="21"/>
  <c r="AR213" i="21"/>
  <c r="AB213" i="21"/>
  <c r="W213" i="21"/>
  <c r="N213" i="21"/>
  <c r="L213" i="21"/>
  <c r="J213" i="21"/>
  <c r="CL212" i="21"/>
  <c r="CH212" i="21"/>
  <c r="CF212" i="21"/>
  <c r="CE212" i="21"/>
  <c r="BS212" i="21"/>
  <c r="BQ212" i="21"/>
  <c r="BN212" i="21"/>
  <c r="BL212" i="21"/>
  <c r="BI212" i="21"/>
  <c r="BG212" i="21"/>
  <c r="BD212" i="21"/>
  <c r="BB212" i="21"/>
  <c r="AY212" i="21"/>
  <c r="AW212" i="21"/>
  <c r="AT212" i="21"/>
  <c r="AR212" i="21"/>
  <c r="AB212" i="21"/>
  <c r="W212" i="21"/>
  <c r="N212" i="21"/>
  <c r="L212" i="21"/>
  <c r="J212" i="21"/>
  <c r="CL211" i="21"/>
  <c r="CH211" i="21"/>
  <c r="CF211" i="21"/>
  <c r="CE211" i="21"/>
  <c r="BV211" i="21"/>
  <c r="BW211" i="21" s="1"/>
  <c r="BS211" i="21"/>
  <c r="BQ211" i="21"/>
  <c r="BN211" i="21"/>
  <c r="BL211" i="21"/>
  <c r="BI211" i="21"/>
  <c r="BG211" i="21"/>
  <c r="BD211" i="21"/>
  <c r="BB211" i="21"/>
  <c r="AY211" i="21"/>
  <c r="AW211" i="21"/>
  <c r="AT211" i="21"/>
  <c r="BU211" i="21" s="1"/>
  <c r="BY211" i="21" s="1"/>
  <c r="CB211" i="21" s="1"/>
  <c r="AR211" i="21"/>
  <c r="BT211" i="21" s="1"/>
  <c r="AB211" i="21"/>
  <c r="W211" i="21"/>
  <c r="CA211" i="21" s="1"/>
  <c r="CG211" i="21" s="1"/>
  <c r="N211" i="21"/>
  <c r="L211" i="21"/>
  <c r="J211" i="21"/>
  <c r="CL210" i="21"/>
  <c r="CH210" i="21"/>
  <c r="CF210" i="21"/>
  <c r="CE210" i="21"/>
  <c r="BV210" i="21"/>
  <c r="BW210" i="21" s="1"/>
  <c r="BS210" i="21"/>
  <c r="BQ210" i="21"/>
  <c r="BN210" i="21"/>
  <c r="BL210" i="21"/>
  <c r="BI210" i="21"/>
  <c r="BG210" i="21"/>
  <c r="BD210" i="21"/>
  <c r="BB210" i="21"/>
  <c r="AY210" i="21"/>
  <c r="AW210" i="21"/>
  <c r="AT210" i="21"/>
  <c r="BU210" i="21" s="1"/>
  <c r="BY210" i="21" s="1"/>
  <c r="CB210" i="21" s="1"/>
  <c r="AR210" i="21"/>
  <c r="BT210" i="21" s="1"/>
  <c r="AB210" i="21"/>
  <c r="W210" i="21"/>
  <c r="CA210" i="21" s="1"/>
  <c r="CG210" i="21" s="1"/>
  <c r="N210" i="21"/>
  <c r="L210" i="21"/>
  <c r="J210" i="21"/>
  <c r="CL209" i="21"/>
  <c r="CH209" i="21"/>
  <c r="CE209" i="21"/>
  <c r="BS209" i="21"/>
  <c r="BQ209" i="21"/>
  <c r="BN209" i="21"/>
  <c r="BL209" i="21"/>
  <c r="BI209" i="21"/>
  <c r="BG209" i="21"/>
  <c r="BD209" i="21"/>
  <c r="BB209" i="21"/>
  <c r="AY209" i="21"/>
  <c r="AW209" i="21"/>
  <c r="AT209" i="21"/>
  <c r="BU209" i="21" s="1"/>
  <c r="BY209" i="21" s="1"/>
  <c r="CB209" i="21" s="1"/>
  <c r="AR209" i="21"/>
  <c r="BT209" i="21" s="1"/>
  <c r="BV209" i="21" s="1"/>
  <c r="BW209" i="21" s="1"/>
  <c r="AB209" i="21"/>
  <c r="W209" i="21"/>
  <c r="CF209" i="21" s="1"/>
  <c r="N209" i="21"/>
  <c r="L209" i="21"/>
  <c r="J209" i="21"/>
  <c r="CL208" i="21"/>
  <c r="CH208" i="21"/>
  <c r="CE208" i="21"/>
  <c r="BS208" i="21"/>
  <c r="BQ208" i="21"/>
  <c r="BN208" i="21"/>
  <c r="BL208" i="21"/>
  <c r="BI208" i="21"/>
  <c r="BG208" i="21"/>
  <c r="BD208" i="21"/>
  <c r="BB208" i="21"/>
  <c r="AY208" i="21"/>
  <c r="AW208" i="21"/>
  <c r="AT208" i="21"/>
  <c r="BU208" i="21" s="1"/>
  <c r="BY208" i="21" s="1"/>
  <c r="CB208" i="21" s="1"/>
  <c r="AR208" i="21"/>
  <c r="BT208" i="21" s="1"/>
  <c r="BV208" i="21" s="1"/>
  <c r="AB208" i="21"/>
  <c r="W208" i="21"/>
  <c r="CF208" i="21" s="1"/>
  <c r="N208" i="21"/>
  <c r="L208" i="21"/>
  <c r="J208" i="21"/>
  <c r="CL207" i="21"/>
  <c r="CH207" i="21"/>
  <c r="CE207" i="21"/>
  <c r="BS207" i="21"/>
  <c r="BQ207" i="21"/>
  <c r="BN207" i="21"/>
  <c r="BL207" i="21"/>
  <c r="BI207" i="21"/>
  <c r="BG207" i="21"/>
  <c r="BD207" i="21"/>
  <c r="BB207" i="21"/>
  <c r="AY207" i="21"/>
  <c r="AW207" i="21"/>
  <c r="AT207" i="21"/>
  <c r="BU207" i="21" s="1"/>
  <c r="BY207" i="21" s="1"/>
  <c r="AR207" i="21"/>
  <c r="AB207" i="21"/>
  <c r="W207" i="21"/>
  <c r="N207" i="21"/>
  <c r="L207" i="21"/>
  <c r="J207" i="21"/>
  <c r="CL206" i="21"/>
  <c r="CH206" i="21"/>
  <c r="CE206" i="21"/>
  <c r="BY206" i="21"/>
  <c r="BS206" i="21"/>
  <c r="BQ206" i="21"/>
  <c r="BN206" i="21"/>
  <c r="BL206" i="21"/>
  <c r="BI206" i="21"/>
  <c r="BG206" i="21"/>
  <c r="BD206" i="21"/>
  <c r="BB206" i="21"/>
  <c r="AY206" i="21"/>
  <c r="AW206" i="21"/>
  <c r="AT206" i="21"/>
  <c r="BU206" i="21" s="1"/>
  <c r="AR206" i="21"/>
  <c r="AB206" i="21"/>
  <c r="W206" i="21"/>
  <c r="N206" i="21"/>
  <c r="L206" i="21"/>
  <c r="J206" i="21"/>
  <c r="CL205" i="21"/>
  <c r="CH205" i="21"/>
  <c r="CE205" i="21"/>
  <c r="BS205" i="21"/>
  <c r="BQ205" i="21"/>
  <c r="BN205" i="21"/>
  <c r="BL205" i="21"/>
  <c r="BI205" i="21"/>
  <c r="BG205" i="21"/>
  <c r="BD205" i="21"/>
  <c r="BB205" i="21"/>
  <c r="AY205" i="21"/>
  <c r="AW205" i="21"/>
  <c r="AT205" i="21"/>
  <c r="AR205" i="21"/>
  <c r="BT205" i="21" s="1"/>
  <c r="BV205" i="21" s="1"/>
  <c r="BW205" i="21" s="1"/>
  <c r="AB205" i="21"/>
  <c r="W205" i="21"/>
  <c r="N205" i="21"/>
  <c r="L205" i="21"/>
  <c r="J205" i="21"/>
  <c r="CL204" i="21"/>
  <c r="CH204" i="21"/>
  <c r="CF204" i="21"/>
  <c r="CE204" i="21"/>
  <c r="BS204" i="21"/>
  <c r="BQ204" i="21"/>
  <c r="BN204" i="21"/>
  <c r="BL204" i="21"/>
  <c r="BI204" i="21"/>
  <c r="BG204" i="21"/>
  <c r="BD204" i="21"/>
  <c r="BB204" i="21"/>
  <c r="AY204" i="21"/>
  <c r="AW204" i="21"/>
  <c r="AT204" i="21"/>
  <c r="BU204" i="21" s="1"/>
  <c r="BY204" i="21" s="1"/>
  <c r="AR204" i="21"/>
  <c r="BT204" i="21" s="1"/>
  <c r="BV204" i="21" s="1"/>
  <c r="AB204" i="21"/>
  <c r="W204" i="21"/>
  <c r="CB204" i="21" s="1"/>
  <c r="N204" i="21"/>
  <c r="L204" i="21"/>
  <c r="J204" i="21"/>
  <c r="CL203" i="21"/>
  <c r="CH203" i="21"/>
  <c r="CE203" i="21"/>
  <c r="CB203" i="21"/>
  <c r="BS203" i="21"/>
  <c r="BQ203" i="21"/>
  <c r="BN203" i="21"/>
  <c r="BL203" i="21"/>
  <c r="BI203" i="21"/>
  <c r="BG203" i="21"/>
  <c r="BD203" i="21"/>
  <c r="BB203" i="21"/>
  <c r="AY203" i="21"/>
  <c r="AW203" i="21"/>
  <c r="AT203" i="21"/>
  <c r="BU203" i="21" s="1"/>
  <c r="BY203" i="21" s="1"/>
  <c r="AR203" i="21"/>
  <c r="BT203" i="21" s="1"/>
  <c r="BV203" i="21" s="1"/>
  <c r="BW203" i="21" s="1"/>
  <c r="AB203" i="21"/>
  <c r="W203" i="21"/>
  <c r="N203" i="21"/>
  <c r="L203" i="21"/>
  <c r="J203" i="21"/>
  <c r="CL202" i="21"/>
  <c r="CH202" i="21"/>
  <c r="CE202" i="21"/>
  <c r="BS202" i="21"/>
  <c r="BQ202" i="21"/>
  <c r="BN202" i="21"/>
  <c r="BL202" i="21"/>
  <c r="BI202" i="21"/>
  <c r="BG202" i="21"/>
  <c r="BD202" i="21"/>
  <c r="BB202" i="21"/>
  <c r="AY202" i="21"/>
  <c r="AW202" i="21"/>
  <c r="AT202" i="21"/>
  <c r="BU202" i="21" s="1"/>
  <c r="BY202" i="21" s="1"/>
  <c r="CB202" i="21" s="1"/>
  <c r="AR202" i="21"/>
  <c r="BT202" i="21" s="1"/>
  <c r="BV202" i="21" s="1"/>
  <c r="AB202" i="21"/>
  <c r="W202" i="21"/>
  <c r="CF202" i="21" s="1"/>
  <c r="N202" i="21"/>
  <c r="L202" i="21"/>
  <c r="J202" i="21"/>
  <c r="CL201" i="21"/>
  <c r="CH201" i="21"/>
  <c r="CF201" i="21"/>
  <c r="CE201" i="21"/>
  <c r="BS201" i="21"/>
  <c r="BQ201" i="21"/>
  <c r="BN201" i="21"/>
  <c r="BL201" i="21"/>
  <c r="BI201" i="21"/>
  <c r="BG201" i="21"/>
  <c r="BD201" i="21"/>
  <c r="BB201" i="21"/>
  <c r="AY201" i="21"/>
  <c r="AW201" i="21"/>
  <c r="AT201" i="21"/>
  <c r="BU201" i="21" s="1"/>
  <c r="BY201" i="21" s="1"/>
  <c r="CB201" i="21" s="1"/>
  <c r="AR201" i="21"/>
  <c r="BT201" i="21" s="1"/>
  <c r="BV201" i="21" s="1"/>
  <c r="CA201" i="21" s="1"/>
  <c r="CG201" i="21" s="1"/>
  <c r="AB201" i="21"/>
  <c r="W201" i="21"/>
  <c r="N201" i="21"/>
  <c r="L201" i="21"/>
  <c r="J201" i="21"/>
  <c r="CL200" i="21"/>
  <c r="CH200" i="21"/>
  <c r="CF200" i="21"/>
  <c r="CE200" i="21"/>
  <c r="BS200" i="21"/>
  <c r="BQ200" i="21"/>
  <c r="BN200" i="21"/>
  <c r="BL200" i="21"/>
  <c r="BI200" i="21"/>
  <c r="BG200" i="21"/>
  <c r="BD200" i="21"/>
  <c r="BB200" i="21"/>
  <c r="AY200" i="21"/>
  <c r="AW200" i="21"/>
  <c r="AT200" i="21"/>
  <c r="AR200" i="21"/>
  <c r="AB200" i="21"/>
  <c r="W200" i="21"/>
  <c r="N200" i="21"/>
  <c r="L200" i="21"/>
  <c r="J200" i="21"/>
  <c r="CL199" i="21"/>
  <c r="CH199" i="21"/>
  <c r="CF199" i="21"/>
  <c r="CE199" i="21"/>
  <c r="CB199" i="21"/>
  <c r="BU199" i="21"/>
  <c r="BY199" i="21" s="1"/>
  <c r="BS199" i="21"/>
  <c r="BQ199" i="21"/>
  <c r="BN199" i="21"/>
  <c r="BL199" i="21"/>
  <c r="BI199" i="21"/>
  <c r="BG199" i="21"/>
  <c r="BD199" i="21"/>
  <c r="BB199" i="21"/>
  <c r="AY199" i="21"/>
  <c r="AW199" i="21"/>
  <c r="AT199" i="21"/>
  <c r="AR199" i="21"/>
  <c r="AB199" i="21"/>
  <c r="W199" i="21"/>
  <c r="N199" i="21"/>
  <c r="L199" i="21"/>
  <c r="J199" i="21"/>
  <c r="CL198" i="21"/>
  <c r="CH198" i="21"/>
  <c r="CF198" i="21"/>
  <c r="CE198" i="21"/>
  <c r="BV198" i="21"/>
  <c r="BW198" i="21" s="1"/>
  <c r="BS198" i="21"/>
  <c r="BQ198" i="21"/>
  <c r="BN198" i="21"/>
  <c r="BL198" i="21"/>
  <c r="BI198" i="21"/>
  <c r="BG198" i="21"/>
  <c r="BD198" i="21"/>
  <c r="BB198" i="21"/>
  <c r="AY198" i="21"/>
  <c r="AW198" i="21"/>
  <c r="AT198" i="21"/>
  <c r="BU198" i="21" s="1"/>
  <c r="BY198" i="21" s="1"/>
  <c r="CB198" i="21" s="1"/>
  <c r="AR198" i="21"/>
  <c r="BT198" i="21" s="1"/>
  <c r="AB198" i="21"/>
  <c r="W198" i="21"/>
  <c r="CA198" i="21" s="1"/>
  <c r="CG198" i="21" s="1"/>
  <c r="N198" i="21"/>
  <c r="L198" i="21"/>
  <c r="J198" i="21"/>
  <c r="CL197" i="21"/>
  <c r="CH197" i="21"/>
  <c r="CE197" i="21"/>
  <c r="BS197" i="21"/>
  <c r="BQ197" i="21"/>
  <c r="BN197" i="21"/>
  <c r="BL197" i="21"/>
  <c r="BI197" i="21"/>
  <c r="BG197" i="21"/>
  <c r="BD197" i="21"/>
  <c r="BB197" i="21"/>
  <c r="AY197" i="21"/>
  <c r="AW197" i="21"/>
  <c r="AT197" i="21"/>
  <c r="BU197" i="21" s="1"/>
  <c r="BY197" i="21" s="1"/>
  <c r="CB197" i="21" s="1"/>
  <c r="AR197" i="21"/>
  <c r="BT197" i="21" s="1"/>
  <c r="BV197" i="21" s="1"/>
  <c r="BW197" i="21" s="1"/>
  <c r="AB197" i="21"/>
  <c r="W197" i="21"/>
  <c r="CF197" i="21" s="1"/>
  <c r="N197" i="21"/>
  <c r="L197" i="21"/>
  <c r="J197" i="21"/>
  <c r="CL196" i="21"/>
  <c r="CH196" i="21"/>
  <c r="CE196" i="21"/>
  <c r="BS196" i="21"/>
  <c r="BQ196" i="21"/>
  <c r="BN196" i="21"/>
  <c r="BL196" i="21"/>
  <c r="BI196" i="21"/>
  <c r="BG196" i="21"/>
  <c r="BD196" i="21"/>
  <c r="BB196" i="21"/>
  <c r="AY196" i="21"/>
  <c r="AW196" i="21"/>
  <c r="AT196" i="21"/>
  <c r="AR196" i="21"/>
  <c r="BT196" i="21" s="1"/>
  <c r="BV196" i="21" s="1"/>
  <c r="AB196" i="21"/>
  <c r="W196" i="21"/>
  <c r="CF196" i="21" s="1"/>
  <c r="N196" i="21"/>
  <c r="L196" i="21"/>
  <c r="J196" i="21"/>
  <c r="CL195" i="21"/>
  <c r="CH195" i="21"/>
  <c r="CE195" i="21"/>
  <c r="BS195" i="21"/>
  <c r="BQ195" i="21"/>
  <c r="BN195" i="21"/>
  <c r="BL195" i="21"/>
  <c r="BI195" i="21"/>
  <c r="BG195" i="21"/>
  <c r="BD195" i="21"/>
  <c r="BB195" i="21"/>
  <c r="AY195" i="21"/>
  <c r="AW195" i="21"/>
  <c r="AT195" i="21"/>
  <c r="BU195" i="21" s="1"/>
  <c r="BY195" i="21" s="1"/>
  <c r="AR195" i="21"/>
  <c r="BT195" i="21" s="1"/>
  <c r="BV195" i="21" s="1"/>
  <c r="BW195" i="21" s="1"/>
  <c r="AB195" i="21"/>
  <c r="W195" i="21"/>
  <c r="N195" i="21"/>
  <c r="L195" i="21"/>
  <c r="J195" i="21"/>
  <c r="CL194" i="21"/>
  <c r="CH194" i="21"/>
  <c r="CE194" i="21"/>
  <c r="BY194" i="21"/>
  <c r="BS194" i="21"/>
  <c r="BQ194" i="21"/>
  <c r="BN194" i="21"/>
  <c r="BL194" i="21"/>
  <c r="BI194" i="21"/>
  <c r="BG194" i="21"/>
  <c r="BD194" i="21"/>
  <c r="BB194" i="21"/>
  <c r="AY194" i="21"/>
  <c r="AW194" i="21"/>
  <c r="AT194" i="21"/>
  <c r="BU194" i="21" s="1"/>
  <c r="AR194" i="21"/>
  <c r="AB194" i="21"/>
  <c r="W194" i="21"/>
  <c r="N194" i="21"/>
  <c r="L194" i="21"/>
  <c r="J194" i="21"/>
  <c r="CL193" i="21"/>
  <c r="CH193" i="21"/>
  <c r="CE193" i="21"/>
  <c r="BS193" i="21"/>
  <c r="BQ193" i="21"/>
  <c r="BN193" i="21"/>
  <c r="BL193" i="21"/>
  <c r="BI193" i="21"/>
  <c r="BG193" i="21"/>
  <c r="BD193" i="21"/>
  <c r="BB193" i="21"/>
  <c r="AY193" i="21"/>
  <c r="AW193" i="21"/>
  <c r="AT193" i="21"/>
  <c r="AR193" i="21"/>
  <c r="BT193" i="21" s="1"/>
  <c r="BV193" i="21" s="1"/>
  <c r="BW193" i="21" s="1"/>
  <c r="AB193" i="21"/>
  <c r="W193" i="21"/>
  <c r="N193" i="21"/>
  <c r="L193" i="21"/>
  <c r="J193" i="21"/>
  <c r="CL192" i="21"/>
  <c r="CH192" i="21"/>
  <c r="CF192" i="21"/>
  <c r="CE192" i="21"/>
  <c r="BU192" i="21"/>
  <c r="BY192" i="21" s="1"/>
  <c r="BS192" i="21"/>
  <c r="BQ192" i="21"/>
  <c r="BN192" i="21"/>
  <c r="BL192" i="21"/>
  <c r="BI192" i="21"/>
  <c r="BG192" i="21"/>
  <c r="BD192" i="21"/>
  <c r="BB192" i="21"/>
  <c r="AY192" i="21"/>
  <c r="AW192" i="21"/>
  <c r="AT192" i="21"/>
  <c r="AR192" i="21"/>
  <c r="BT192" i="21" s="1"/>
  <c r="BV192" i="21" s="1"/>
  <c r="AB192" i="21"/>
  <c r="W192" i="21"/>
  <c r="N192" i="21"/>
  <c r="L192" i="21"/>
  <c r="J192" i="21"/>
  <c r="CL191" i="21"/>
  <c r="CH191" i="21"/>
  <c r="CF191" i="21"/>
  <c r="CE191" i="21"/>
  <c r="CA191" i="21"/>
  <c r="CG191" i="21" s="1"/>
  <c r="BS191" i="21"/>
  <c r="BQ191" i="21"/>
  <c r="BN191" i="21"/>
  <c r="BL191" i="21"/>
  <c r="BI191" i="21"/>
  <c r="BG191" i="21"/>
  <c r="BD191" i="21"/>
  <c r="BB191" i="21"/>
  <c r="AY191" i="21"/>
  <c r="AW191" i="21"/>
  <c r="AT191" i="21"/>
  <c r="BU191" i="21" s="1"/>
  <c r="BY191" i="21" s="1"/>
  <c r="CB191" i="21" s="1"/>
  <c r="AR191" i="21"/>
  <c r="BT191" i="21" s="1"/>
  <c r="BV191" i="21" s="1"/>
  <c r="BW191" i="21" s="1"/>
  <c r="AB191" i="21"/>
  <c r="W191" i="21"/>
  <c r="N191" i="21"/>
  <c r="L191" i="21"/>
  <c r="J191" i="21"/>
  <c r="CL190" i="21"/>
  <c r="CH190" i="21"/>
  <c r="CE190" i="21"/>
  <c r="BS190" i="21"/>
  <c r="BQ190" i="21"/>
  <c r="BN190" i="21"/>
  <c r="BL190" i="21"/>
  <c r="BI190" i="21"/>
  <c r="BG190" i="21"/>
  <c r="BD190" i="21"/>
  <c r="BB190" i="21"/>
  <c r="AY190" i="21"/>
  <c r="AW190" i="21"/>
  <c r="AT190" i="21"/>
  <c r="BU190" i="21" s="1"/>
  <c r="BY190" i="21" s="1"/>
  <c r="CB190" i="21" s="1"/>
  <c r="AR190" i="21"/>
  <c r="BT190" i="21" s="1"/>
  <c r="BV190" i="21" s="1"/>
  <c r="CA190" i="21" s="1"/>
  <c r="CG190" i="21" s="1"/>
  <c r="AB190" i="21"/>
  <c r="W190" i="21"/>
  <c r="CF190" i="21" s="1"/>
  <c r="N190" i="21"/>
  <c r="L190" i="21"/>
  <c r="J190" i="21"/>
  <c r="CL189" i="21"/>
  <c r="CH189" i="21"/>
  <c r="CF189" i="21"/>
  <c r="CE189" i="21"/>
  <c r="BS189" i="21"/>
  <c r="BQ189" i="21"/>
  <c r="BN189" i="21"/>
  <c r="BL189" i="21"/>
  <c r="BI189" i="21"/>
  <c r="BG189" i="21"/>
  <c r="BD189" i="21"/>
  <c r="BB189" i="21"/>
  <c r="AY189" i="21"/>
  <c r="AW189" i="21"/>
  <c r="AT189" i="21"/>
  <c r="AR189" i="21"/>
  <c r="AB189" i="21"/>
  <c r="W189" i="21"/>
  <c r="N189" i="21"/>
  <c r="L189" i="21"/>
  <c r="J189" i="21"/>
  <c r="CL188" i="21"/>
  <c r="CH188" i="21"/>
  <c r="CF188" i="21"/>
  <c r="CE188" i="21"/>
  <c r="BY188" i="21"/>
  <c r="BU188" i="21"/>
  <c r="BS188" i="21"/>
  <c r="BQ188" i="21"/>
  <c r="BN188" i="21"/>
  <c r="BL188" i="21"/>
  <c r="BI188" i="21"/>
  <c r="BG188" i="21"/>
  <c r="BD188" i="21"/>
  <c r="BB188" i="21"/>
  <c r="AY188" i="21"/>
  <c r="AW188" i="21"/>
  <c r="AT188" i="21"/>
  <c r="AR188" i="21"/>
  <c r="AB188" i="21"/>
  <c r="W188" i="21"/>
  <c r="N188" i="21"/>
  <c r="L188" i="21"/>
  <c r="J188" i="21"/>
  <c r="CL187" i="21"/>
  <c r="CH187" i="21"/>
  <c r="CF187" i="21"/>
  <c r="CE187" i="21"/>
  <c r="BU187" i="21"/>
  <c r="BY187" i="21" s="1"/>
  <c r="CB187" i="21" s="1"/>
  <c r="BS187" i="21"/>
  <c r="BQ187" i="21"/>
  <c r="BN187" i="21"/>
  <c r="BL187" i="21"/>
  <c r="BI187" i="21"/>
  <c r="BG187" i="21"/>
  <c r="BD187" i="21"/>
  <c r="BB187" i="21"/>
  <c r="AY187" i="21"/>
  <c r="AW187" i="21"/>
  <c r="AT187" i="21"/>
  <c r="AR187" i="21"/>
  <c r="BT187" i="21" s="1"/>
  <c r="BV187" i="21" s="1"/>
  <c r="BW187" i="21" s="1"/>
  <c r="AB187" i="21"/>
  <c r="W187" i="21"/>
  <c r="N187" i="21"/>
  <c r="L187" i="21"/>
  <c r="J187" i="21"/>
  <c r="CL186" i="21"/>
  <c r="CH186" i="21"/>
  <c r="CF186" i="21"/>
  <c r="CE186" i="21"/>
  <c r="BV186" i="21"/>
  <c r="BW186" i="21" s="1"/>
  <c r="BS186" i="21"/>
  <c r="BQ186" i="21"/>
  <c r="BN186" i="21"/>
  <c r="BL186" i="21"/>
  <c r="BI186" i="21"/>
  <c r="BG186" i="21"/>
  <c r="BD186" i="21"/>
  <c r="BB186" i="21"/>
  <c r="AY186" i="21"/>
  <c r="AW186" i="21"/>
  <c r="AT186" i="21"/>
  <c r="BU186" i="21" s="1"/>
  <c r="BY186" i="21" s="1"/>
  <c r="CB186" i="21" s="1"/>
  <c r="AR186" i="21"/>
  <c r="BT186" i="21" s="1"/>
  <c r="AB186" i="21"/>
  <c r="W186" i="21"/>
  <c r="N186" i="21"/>
  <c r="L186" i="21"/>
  <c r="J186" i="21"/>
  <c r="CL185" i="21"/>
  <c r="CH185" i="21"/>
  <c r="CE185" i="21"/>
  <c r="BS185" i="21"/>
  <c r="BQ185" i="21"/>
  <c r="BN185" i="21"/>
  <c r="BL185" i="21"/>
  <c r="BI185" i="21"/>
  <c r="BG185" i="21"/>
  <c r="BD185" i="21"/>
  <c r="BB185" i="21"/>
  <c r="AY185" i="21"/>
  <c r="AW185" i="21"/>
  <c r="AT185" i="21"/>
  <c r="BU185" i="21" s="1"/>
  <c r="BY185" i="21" s="1"/>
  <c r="CB185" i="21" s="1"/>
  <c r="AR185" i="21"/>
  <c r="BT185" i="21" s="1"/>
  <c r="BV185" i="21" s="1"/>
  <c r="BW185" i="21" s="1"/>
  <c r="AB185" i="21"/>
  <c r="W185" i="21"/>
  <c r="CF185" i="21" s="1"/>
  <c r="N185" i="21"/>
  <c r="L185" i="21"/>
  <c r="J185" i="21"/>
  <c r="CL184" i="21"/>
  <c r="CH184" i="21"/>
  <c r="CE184" i="21"/>
  <c r="BS184" i="21"/>
  <c r="BQ184" i="21"/>
  <c r="BN184" i="21"/>
  <c r="BL184" i="21"/>
  <c r="BI184" i="21"/>
  <c r="BG184" i="21"/>
  <c r="BD184" i="21"/>
  <c r="BB184" i="21"/>
  <c r="AY184" i="21"/>
  <c r="AW184" i="21"/>
  <c r="AT184" i="21"/>
  <c r="BU184" i="21" s="1"/>
  <c r="BY184" i="21" s="1"/>
  <c r="CB184" i="21" s="1"/>
  <c r="AR184" i="21"/>
  <c r="BT184" i="21" s="1"/>
  <c r="BV184" i="21" s="1"/>
  <c r="AB184" i="21"/>
  <c r="W184" i="21"/>
  <c r="CF184" i="21" s="1"/>
  <c r="N184" i="21"/>
  <c r="L184" i="21"/>
  <c r="J184" i="21"/>
  <c r="CL183" i="21"/>
  <c r="CH183" i="21"/>
  <c r="CE183" i="21"/>
  <c r="BS183" i="21"/>
  <c r="BQ183" i="21"/>
  <c r="BN183" i="21"/>
  <c r="BL183" i="21"/>
  <c r="BI183" i="21"/>
  <c r="BG183" i="21"/>
  <c r="BD183" i="21"/>
  <c r="BB183" i="21"/>
  <c r="AY183" i="21"/>
  <c r="AW183" i="21"/>
  <c r="AT183" i="21"/>
  <c r="BU183" i="21" s="1"/>
  <c r="BY183" i="21" s="1"/>
  <c r="AR183" i="21"/>
  <c r="AB183" i="21"/>
  <c r="W183" i="21"/>
  <c r="N183" i="21"/>
  <c r="L183" i="21"/>
  <c r="J183" i="21"/>
  <c r="CL182" i="21"/>
  <c r="CH182" i="21"/>
  <c r="CE182" i="21"/>
  <c r="BS182" i="21"/>
  <c r="BQ182" i="21"/>
  <c r="BN182" i="21"/>
  <c r="BL182" i="21"/>
  <c r="BI182" i="21"/>
  <c r="BG182" i="21"/>
  <c r="BD182" i="21"/>
  <c r="BB182" i="21"/>
  <c r="AY182" i="21"/>
  <c r="AW182" i="21"/>
  <c r="AT182" i="21"/>
  <c r="AR182" i="21"/>
  <c r="BT182" i="21" s="1"/>
  <c r="BV182" i="21" s="1"/>
  <c r="AB182" i="21"/>
  <c r="W182" i="21"/>
  <c r="N182" i="21"/>
  <c r="L182" i="21"/>
  <c r="J182" i="21"/>
  <c r="CL181" i="21"/>
  <c r="CH181" i="21"/>
  <c r="CF181" i="21"/>
  <c r="CE181" i="21"/>
  <c r="BS181" i="21"/>
  <c r="BQ181" i="21"/>
  <c r="BN181" i="21"/>
  <c r="BL181" i="21"/>
  <c r="BI181" i="21"/>
  <c r="BG181" i="21"/>
  <c r="BD181" i="21"/>
  <c r="BB181" i="21"/>
  <c r="AY181" i="21"/>
  <c r="AW181" i="21"/>
  <c r="AT181" i="21"/>
  <c r="AR181" i="21"/>
  <c r="BT181" i="21" s="1"/>
  <c r="BV181" i="21" s="1"/>
  <c r="BW181" i="21" s="1"/>
  <c r="AB181" i="21"/>
  <c r="W181" i="21"/>
  <c r="N181" i="21"/>
  <c r="L181" i="21"/>
  <c r="J181" i="21"/>
  <c r="CL180" i="21"/>
  <c r="CH180" i="21"/>
  <c r="CF180" i="21"/>
  <c r="CE180" i="21"/>
  <c r="CA180" i="21"/>
  <c r="BS180" i="21"/>
  <c r="BQ180" i="21"/>
  <c r="BN180" i="21"/>
  <c r="BL180" i="21"/>
  <c r="BI180" i="21"/>
  <c r="BG180" i="21"/>
  <c r="BD180" i="21"/>
  <c r="BB180" i="21"/>
  <c r="AY180" i="21"/>
  <c r="AW180" i="21"/>
  <c r="AT180" i="21"/>
  <c r="AR180" i="21"/>
  <c r="BT180" i="21" s="1"/>
  <c r="BV180" i="21" s="1"/>
  <c r="BW180" i="21" s="1"/>
  <c r="AB180" i="21"/>
  <c r="W180" i="21"/>
  <c r="N180" i="21"/>
  <c r="L180" i="21"/>
  <c r="J180" i="21"/>
  <c r="CL179" i="21"/>
  <c r="CH179" i="21"/>
  <c r="CF179" i="21"/>
  <c r="CE179" i="21"/>
  <c r="BS179" i="21"/>
  <c r="BQ179" i="21"/>
  <c r="BN179" i="21"/>
  <c r="BL179" i="21"/>
  <c r="BI179" i="21"/>
  <c r="BG179" i="21"/>
  <c r="BD179" i="21"/>
  <c r="BB179" i="21"/>
  <c r="AY179" i="21"/>
  <c r="AW179" i="21"/>
  <c r="AT179" i="21"/>
  <c r="BU179" i="21" s="1"/>
  <c r="BY179" i="21" s="1"/>
  <c r="AR179" i="21"/>
  <c r="BT179" i="21" s="1"/>
  <c r="BV179" i="21" s="1"/>
  <c r="AB179" i="21"/>
  <c r="W179" i="21"/>
  <c r="CB179" i="21" s="1"/>
  <c r="N179" i="21"/>
  <c r="L179" i="21"/>
  <c r="J179" i="21"/>
  <c r="CL178" i="21"/>
  <c r="CH178" i="21"/>
  <c r="CE178" i="21"/>
  <c r="BS178" i="21"/>
  <c r="BQ178" i="21"/>
  <c r="BN178" i="21"/>
  <c r="BL178" i="21"/>
  <c r="BI178" i="21"/>
  <c r="BG178" i="21"/>
  <c r="BD178" i="21"/>
  <c r="BB178" i="21"/>
  <c r="AY178" i="21"/>
  <c r="AW178" i="21"/>
  <c r="AT178" i="21"/>
  <c r="AR178" i="21"/>
  <c r="BT178" i="21" s="1"/>
  <c r="BV178" i="21" s="1"/>
  <c r="BW178" i="21" s="1"/>
  <c r="AB178" i="21"/>
  <c r="W178" i="21"/>
  <c r="N178" i="21"/>
  <c r="L178" i="21"/>
  <c r="J178" i="21"/>
  <c r="CL177" i="21"/>
  <c r="CH177" i="21"/>
  <c r="CE177" i="21"/>
  <c r="BS177" i="21"/>
  <c r="BQ177" i="21"/>
  <c r="BN177" i="21"/>
  <c r="BL177" i="21"/>
  <c r="BI177" i="21"/>
  <c r="BG177" i="21"/>
  <c r="BD177" i="21"/>
  <c r="BB177" i="21"/>
  <c r="AY177" i="21"/>
  <c r="AW177" i="21"/>
  <c r="AT177" i="21"/>
  <c r="AR177" i="21"/>
  <c r="AB177" i="21"/>
  <c r="W177" i="21"/>
  <c r="CF177" i="21" s="1"/>
  <c r="N177" i="21"/>
  <c r="L177" i="21"/>
  <c r="J177" i="21"/>
  <c r="CL176" i="21"/>
  <c r="CH176" i="21"/>
  <c r="CE176" i="21"/>
  <c r="BU176" i="21"/>
  <c r="BY176" i="21" s="1"/>
  <c r="BS176" i="21"/>
  <c r="BQ176" i="21"/>
  <c r="BN176" i="21"/>
  <c r="BL176" i="21"/>
  <c r="BI176" i="21"/>
  <c r="BG176" i="21"/>
  <c r="BD176" i="21"/>
  <c r="BB176" i="21"/>
  <c r="AY176" i="21"/>
  <c r="AW176" i="21"/>
  <c r="AT176" i="21"/>
  <c r="AR176" i="21"/>
  <c r="BT176" i="21" s="1"/>
  <c r="BV176" i="21" s="1"/>
  <c r="BW176" i="21" s="1"/>
  <c r="AB176" i="21"/>
  <c r="W176" i="21"/>
  <c r="N176" i="21"/>
  <c r="L176" i="21"/>
  <c r="J176" i="21"/>
  <c r="CL175" i="21"/>
  <c r="CH175" i="21"/>
  <c r="CF175" i="21"/>
  <c r="CE175" i="21"/>
  <c r="BU175" i="21"/>
  <c r="BY175" i="21" s="1"/>
  <c r="CB175" i="21" s="1"/>
  <c r="BS175" i="21"/>
  <c r="BQ175" i="21"/>
  <c r="BN175" i="21"/>
  <c r="BL175" i="21"/>
  <c r="BI175" i="21"/>
  <c r="BG175" i="21"/>
  <c r="BD175" i="21"/>
  <c r="BB175" i="21"/>
  <c r="AY175" i="21"/>
  <c r="AW175" i="21"/>
  <c r="AT175" i="21"/>
  <c r="AR175" i="21"/>
  <c r="BT175" i="21" s="1"/>
  <c r="BV175" i="21" s="1"/>
  <c r="BW175" i="21" s="1"/>
  <c r="AB175" i="21"/>
  <c r="W175" i="21"/>
  <c r="N175" i="21"/>
  <c r="L175" i="21"/>
  <c r="J175" i="21"/>
  <c r="CL174" i="21"/>
  <c r="CH174" i="21"/>
  <c r="CF174" i="21"/>
  <c r="CE174" i="21"/>
  <c r="BU174" i="21"/>
  <c r="BY174" i="21" s="1"/>
  <c r="CB174" i="21" s="1"/>
  <c r="BS174" i="21"/>
  <c r="BQ174" i="21"/>
  <c r="BN174" i="21"/>
  <c r="BL174" i="21"/>
  <c r="BI174" i="21"/>
  <c r="BG174" i="21"/>
  <c r="BD174" i="21"/>
  <c r="BB174" i="21"/>
  <c r="AY174" i="21"/>
  <c r="AW174" i="21"/>
  <c r="AT174" i="21"/>
  <c r="AR174" i="21"/>
  <c r="BT174" i="21" s="1"/>
  <c r="BV174" i="21" s="1"/>
  <c r="BW174" i="21" s="1"/>
  <c r="AB174" i="21"/>
  <c r="W174" i="21"/>
  <c r="N174" i="21"/>
  <c r="L174" i="21"/>
  <c r="J174" i="21"/>
  <c r="CL173" i="21"/>
  <c r="CH173" i="21"/>
  <c r="CE173" i="21"/>
  <c r="BS173" i="21"/>
  <c r="BQ173" i="21"/>
  <c r="BN173" i="21"/>
  <c r="BL173" i="21"/>
  <c r="BI173" i="21"/>
  <c r="BG173" i="21"/>
  <c r="BD173" i="21"/>
  <c r="BB173" i="21"/>
  <c r="AY173" i="21"/>
  <c r="AW173" i="21"/>
  <c r="AT173" i="21"/>
  <c r="BU173" i="21" s="1"/>
  <c r="BY173" i="21" s="1"/>
  <c r="CB173" i="21" s="1"/>
  <c r="AR173" i="21"/>
  <c r="AB173" i="21"/>
  <c r="W173" i="21"/>
  <c r="CF173" i="21" s="1"/>
  <c r="N173" i="21"/>
  <c r="L173" i="21"/>
  <c r="J173" i="21"/>
  <c r="CL172" i="21"/>
  <c r="CH172" i="21"/>
  <c r="CE172" i="21"/>
  <c r="BS172" i="21"/>
  <c r="BQ172" i="21"/>
  <c r="BN172" i="21"/>
  <c r="BL172" i="21"/>
  <c r="BI172" i="21"/>
  <c r="BG172" i="21"/>
  <c r="BD172" i="21"/>
  <c r="BB172" i="21"/>
  <c r="AY172" i="21"/>
  <c r="AW172" i="21"/>
  <c r="AT172" i="21"/>
  <c r="AR172" i="21"/>
  <c r="AB172" i="21"/>
  <c r="W172" i="21"/>
  <c r="CF172" i="21" s="1"/>
  <c r="N172" i="21"/>
  <c r="L172" i="21"/>
  <c r="J172" i="21"/>
  <c r="CL171" i="21"/>
  <c r="CH171" i="21"/>
  <c r="CE171" i="21"/>
  <c r="BS171" i="21"/>
  <c r="BQ171" i="21"/>
  <c r="BN171" i="21"/>
  <c r="BL171" i="21"/>
  <c r="BI171" i="21"/>
  <c r="BG171" i="21"/>
  <c r="BD171" i="21"/>
  <c r="BB171" i="21"/>
  <c r="AY171" i="21"/>
  <c r="AW171" i="21"/>
  <c r="AT171" i="21"/>
  <c r="AR171" i="21"/>
  <c r="BT171" i="21" s="1"/>
  <c r="BV171" i="21" s="1"/>
  <c r="BW171" i="21" s="1"/>
  <c r="AB171" i="21"/>
  <c r="W171" i="21"/>
  <c r="N171" i="21"/>
  <c r="L171" i="21"/>
  <c r="J171" i="21"/>
  <c r="CL170" i="21"/>
  <c r="CH170" i="21"/>
  <c r="CE170" i="21"/>
  <c r="BS170" i="21"/>
  <c r="BQ170" i="21"/>
  <c r="BN170" i="21"/>
  <c r="BL170" i="21"/>
  <c r="BI170" i="21"/>
  <c r="BG170" i="21"/>
  <c r="BD170" i="21"/>
  <c r="BB170" i="21"/>
  <c r="AY170" i="21"/>
  <c r="AW170" i="21"/>
  <c r="AT170" i="21"/>
  <c r="AR170" i="21"/>
  <c r="BT170" i="21" s="1"/>
  <c r="BV170" i="21" s="1"/>
  <c r="BW170" i="21" s="1"/>
  <c r="AB170" i="21"/>
  <c r="W170" i="21"/>
  <c r="N170" i="21"/>
  <c r="L170" i="21"/>
  <c r="J170" i="21"/>
  <c r="CL169" i="21"/>
  <c r="CH169" i="21"/>
  <c r="CE169" i="21"/>
  <c r="BS169" i="21"/>
  <c r="BQ169" i="21"/>
  <c r="BN169" i="21"/>
  <c r="BL169" i="21"/>
  <c r="BI169" i="21"/>
  <c r="BG169" i="21"/>
  <c r="BD169" i="21"/>
  <c r="BB169" i="21"/>
  <c r="AY169" i="21"/>
  <c r="AW169" i="21"/>
  <c r="AT169" i="21"/>
  <c r="BU169" i="21" s="1"/>
  <c r="BY169" i="21" s="1"/>
  <c r="AR169" i="21"/>
  <c r="BT169" i="21" s="1"/>
  <c r="BV169" i="21" s="1"/>
  <c r="BW169" i="21" s="1"/>
  <c r="AB169" i="21"/>
  <c r="W169" i="21"/>
  <c r="N169" i="21"/>
  <c r="L169" i="21"/>
  <c r="J169" i="21"/>
  <c r="CL168" i="21"/>
  <c r="CH168" i="21"/>
  <c r="CF168" i="21"/>
  <c r="CE168" i="21"/>
  <c r="BS168" i="21"/>
  <c r="BQ168" i="21"/>
  <c r="BN168" i="21"/>
  <c r="BL168" i="21"/>
  <c r="BI168" i="21"/>
  <c r="BG168" i="21"/>
  <c r="BD168" i="21"/>
  <c r="BB168" i="21"/>
  <c r="AY168" i="21"/>
  <c r="AW168" i="21"/>
  <c r="AT168" i="21"/>
  <c r="BU168" i="21" s="1"/>
  <c r="BY168" i="21" s="1"/>
  <c r="AR168" i="21"/>
  <c r="BT168" i="21" s="1"/>
  <c r="BV168" i="21" s="1"/>
  <c r="AB168" i="21"/>
  <c r="W168" i="21"/>
  <c r="N168" i="21"/>
  <c r="L168" i="21"/>
  <c r="J168" i="21"/>
  <c r="CF167" i="21"/>
  <c r="CE167" i="21"/>
  <c r="BT167" i="21"/>
  <c r="BV167" i="21" s="1"/>
  <c r="CA167" i="21" s="1"/>
  <c r="CG167" i="21" s="1"/>
  <c r="BS167" i="21"/>
  <c r="BQ167" i="21"/>
  <c r="BN167" i="21"/>
  <c r="BL167" i="21"/>
  <c r="BI167" i="21"/>
  <c r="BG167" i="21"/>
  <c r="BD167" i="21"/>
  <c r="BB167" i="21"/>
  <c r="AY167" i="21"/>
  <c r="AW167" i="21"/>
  <c r="AT167" i="21"/>
  <c r="BU167" i="21" s="1"/>
  <c r="BY167" i="21" s="1"/>
  <c r="CB167" i="21" s="1"/>
  <c r="AB167" i="21"/>
  <c r="N167" i="21"/>
  <c r="L167" i="21"/>
  <c r="CL167" i="21" s="1"/>
  <c r="J167" i="21"/>
  <c r="CL166" i="21"/>
  <c r="CH166" i="21"/>
  <c r="CF166" i="21"/>
  <c r="CE166" i="21"/>
  <c r="BS166" i="21"/>
  <c r="BQ166" i="21"/>
  <c r="BN166" i="21"/>
  <c r="BL166" i="21"/>
  <c r="BI166" i="21"/>
  <c r="BG166" i="21"/>
  <c r="BD166" i="21"/>
  <c r="BB166" i="21"/>
  <c r="AY166" i="21"/>
  <c r="AW166" i="21"/>
  <c r="AT166" i="21"/>
  <c r="AR166" i="21"/>
  <c r="AB166" i="21"/>
  <c r="W166" i="21"/>
  <c r="N166" i="21"/>
  <c r="L166" i="21"/>
  <c r="J166" i="21"/>
  <c r="CL165" i="21"/>
  <c r="CF165" i="21"/>
  <c r="CE165" i="21"/>
  <c r="BS165" i="21"/>
  <c r="BQ165" i="21"/>
  <c r="BN165" i="21"/>
  <c r="BL165" i="21"/>
  <c r="BI165" i="21"/>
  <c r="BG165" i="21"/>
  <c r="BD165" i="21"/>
  <c r="BB165" i="21"/>
  <c r="AY165" i="21"/>
  <c r="AW165" i="21"/>
  <c r="BT165" i="21" s="1"/>
  <c r="BV165" i="21" s="1"/>
  <c r="AT165" i="21"/>
  <c r="BU165" i="21" s="1"/>
  <c r="BY165" i="21" s="1"/>
  <c r="CB165" i="21" s="1"/>
  <c r="N165" i="21"/>
  <c r="L165" i="21"/>
  <c r="J165" i="21"/>
  <c r="CL164" i="21"/>
  <c r="CH164" i="21"/>
  <c r="CF164" i="21"/>
  <c r="CE164" i="21"/>
  <c r="CB164" i="21"/>
  <c r="BS164" i="21"/>
  <c r="BQ164" i="21"/>
  <c r="BN164" i="21"/>
  <c r="BL164" i="21"/>
  <c r="BI164" i="21"/>
  <c r="BG164" i="21"/>
  <c r="BD164" i="21"/>
  <c r="BB164" i="21"/>
  <c r="AY164" i="21"/>
  <c r="AW164" i="21"/>
  <c r="AT164" i="21"/>
  <c r="BU164" i="21" s="1"/>
  <c r="BY164" i="21" s="1"/>
  <c r="AR164" i="21"/>
  <c r="BT164" i="21" s="1"/>
  <c r="BV164" i="21" s="1"/>
  <c r="BW164" i="21" s="1"/>
  <c r="AB164" i="21"/>
  <c r="W164" i="21"/>
  <c r="N164" i="21"/>
  <c r="L164" i="21"/>
  <c r="J164" i="21"/>
  <c r="CL163" i="21"/>
  <c r="CH163" i="21"/>
  <c r="CF163" i="21"/>
  <c r="CE163" i="21"/>
  <c r="BS163" i="21"/>
  <c r="BQ163" i="21"/>
  <c r="BN163" i="21"/>
  <c r="BL163" i="21"/>
  <c r="BI163" i="21"/>
  <c r="BG163" i="21"/>
  <c r="BD163" i="21"/>
  <c r="BB163" i="21"/>
  <c r="AY163" i="21"/>
  <c r="AW163" i="21"/>
  <c r="AT163" i="21"/>
  <c r="BU163" i="21" s="1"/>
  <c r="BY163" i="21" s="1"/>
  <c r="CB163" i="21" s="1"/>
  <c r="AR163" i="21"/>
  <c r="BT163" i="21" s="1"/>
  <c r="BV163" i="21" s="1"/>
  <c r="AB163" i="21"/>
  <c r="W163" i="21"/>
  <c r="N163" i="21"/>
  <c r="L163" i="21"/>
  <c r="J163" i="21"/>
  <c r="CL162" i="21"/>
  <c r="CH162" i="21"/>
  <c r="CF162" i="21"/>
  <c r="CE162" i="21"/>
  <c r="BS162" i="21"/>
  <c r="BQ162" i="21"/>
  <c r="BN162" i="21"/>
  <c r="BL162" i="21"/>
  <c r="BI162" i="21"/>
  <c r="BG162" i="21"/>
  <c r="BD162" i="21"/>
  <c r="BB162" i="21"/>
  <c r="AY162" i="21"/>
  <c r="AW162" i="21"/>
  <c r="AT162" i="21"/>
  <c r="BU162" i="21" s="1"/>
  <c r="BY162" i="21" s="1"/>
  <c r="CB162" i="21" s="1"/>
  <c r="AR162" i="21"/>
  <c r="AB162" i="21"/>
  <c r="W162" i="21"/>
  <c r="N162" i="21"/>
  <c r="L162" i="21"/>
  <c r="J162" i="21"/>
  <c r="CL161" i="21"/>
  <c r="CH161" i="21"/>
  <c r="CE161" i="21"/>
  <c r="BS161" i="21"/>
  <c r="BQ161" i="21"/>
  <c r="BN161" i="21"/>
  <c r="BL161" i="21"/>
  <c r="BI161" i="21"/>
  <c r="BG161" i="21"/>
  <c r="BD161" i="21"/>
  <c r="BB161" i="21"/>
  <c r="AY161" i="21"/>
  <c r="AW161" i="21"/>
  <c r="AT161" i="21"/>
  <c r="BU161" i="21" s="1"/>
  <c r="BY161" i="21" s="1"/>
  <c r="AR161" i="21"/>
  <c r="BT161" i="21" s="1"/>
  <c r="BV161" i="21" s="1"/>
  <c r="BW161" i="21" s="1"/>
  <c r="AB161" i="21"/>
  <c r="W161" i="21"/>
  <c r="N161" i="21"/>
  <c r="L161" i="21"/>
  <c r="J161" i="21"/>
  <c r="CL160" i="21"/>
  <c r="CH160" i="21"/>
  <c r="CE160" i="21"/>
  <c r="BS160" i="21"/>
  <c r="BQ160" i="21"/>
  <c r="BN160" i="21"/>
  <c r="BL160" i="21"/>
  <c r="BI160" i="21"/>
  <c r="BG160" i="21"/>
  <c r="BD160" i="21"/>
  <c r="BB160" i="21"/>
  <c r="AY160" i="21"/>
  <c r="AW160" i="21"/>
  <c r="AT160" i="21"/>
  <c r="BU160" i="21" s="1"/>
  <c r="BY160" i="21" s="1"/>
  <c r="CB160" i="21" s="1"/>
  <c r="AR160" i="21"/>
  <c r="AB160" i="21"/>
  <c r="W160" i="21"/>
  <c r="CF160" i="21" s="1"/>
  <c r="N160" i="21"/>
  <c r="L160" i="21"/>
  <c r="J160" i="21"/>
  <c r="CL159" i="21"/>
  <c r="CH159" i="21"/>
  <c r="CF159" i="21"/>
  <c r="CE159" i="21"/>
  <c r="BS159" i="21"/>
  <c r="BQ159" i="21"/>
  <c r="BN159" i="21"/>
  <c r="BL159" i="21"/>
  <c r="BI159" i="21"/>
  <c r="BG159" i="21"/>
  <c r="BD159" i="21"/>
  <c r="BB159" i="21"/>
  <c r="AY159" i="21"/>
  <c r="AW159" i="21"/>
  <c r="AT159" i="21"/>
  <c r="BU159" i="21" s="1"/>
  <c r="BY159" i="21" s="1"/>
  <c r="AR159" i="21"/>
  <c r="BT159" i="21" s="1"/>
  <c r="BV159" i="21" s="1"/>
  <c r="BW159" i="21" s="1"/>
  <c r="AB159" i="21"/>
  <c r="W159" i="21"/>
  <c r="CB159" i="21" s="1"/>
  <c r="N159" i="21"/>
  <c r="L159" i="21"/>
  <c r="J159" i="21"/>
  <c r="CL158" i="21"/>
  <c r="CH158" i="21"/>
  <c r="CE158" i="21"/>
  <c r="BS158" i="21"/>
  <c r="BQ158" i="21"/>
  <c r="BN158" i="21"/>
  <c r="BL158" i="21"/>
  <c r="BI158" i="21"/>
  <c r="BG158" i="21"/>
  <c r="BD158" i="21"/>
  <c r="BB158" i="21"/>
  <c r="AY158" i="21"/>
  <c r="AW158" i="21"/>
  <c r="AT158" i="21"/>
  <c r="BU158" i="21" s="1"/>
  <c r="BY158" i="21" s="1"/>
  <c r="AR158" i="21"/>
  <c r="BT158" i="21" s="1"/>
  <c r="BV158" i="21" s="1"/>
  <c r="AB158" i="21"/>
  <c r="W158" i="21"/>
  <c r="CF158" i="21" s="1"/>
  <c r="N158" i="21"/>
  <c r="L158" i="21"/>
  <c r="J158" i="21"/>
  <c r="CL157" i="21"/>
  <c r="CH157" i="21"/>
  <c r="CE157" i="21"/>
  <c r="BS157" i="21"/>
  <c r="BQ157" i="21"/>
  <c r="BN157" i="21"/>
  <c r="BL157" i="21"/>
  <c r="BI157" i="21"/>
  <c r="BG157" i="21"/>
  <c r="BD157" i="21"/>
  <c r="BB157" i="21"/>
  <c r="AY157" i="21"/>
  <c r="AW157" i="21"/>
  <c r="AT157" i="21"/>
  <c r="AR157" i="21"/>
  <c r="BT157" i="21" s="1"/>
  <c r="BV157" i="21" s="1"/>
  <c r="BW157" i="21" s="1"/>
  <c r="AB157" i="21"/>
  <c r="W157" i="21"/>
  <c r="CF157" i="21" s="1"/>
  <c r="N157" i="21"/>
  <c r="L157" i="21"/>
  <c r="J157" i="21"/>
  <c r="CL156" i="21"/>
  <c r="CH156" i="21"/>
  <c r="CE156" i="21"/>
  <c r="BS156" i="21"/>
  <c r="BQ156" i="21"/>
  <c r="BN156" i="21"/>
  <c r="BL156" i="21"/>
  <c r="BI156" i="21"/>
  <c r="BG156" i="21"/>
  <c r="BD156" i="21"/>
  <c r="BB156" i="21"/>
  <c r="AY156" i="21"/>
  <c r="AW156" i="21"/>
  <c r="AT156" i="21"/>
  <c r="BU156" i="21" s="1"/>
  <c r="BY156" i="21" s="1"/>
  <c r="AR156" i="21"/>
  <c r="BT156" i="21" s="1"/>
  <c r="BV156" i="21" s="1"/>
  <c r="BW156" i="21" s="1"/>
  <c r="AB156" i="21"/>
  <c r="W156" i="21"/>
  <c r="N156" i="21"/>
  <c r="L156" i="21"/>
  <c r="J156" i="21"/>
  <c r="CL155" i="21"/>
  <c r="CH155" i="21"/>
  <c r="CF155" i="21"/>
  <c r="CE155" i="21"/>
  <c r="BS155" i="21"/>
  <c r="BQ155" i="21"/>
  <c r="BN155" i="21"/>
  <c r="BL155" i="21"/>
  <c r="BI155" i="21"/>
  <c r="BG155" i="21"/>
  <c r="BD155" i="21"/>
  <c r="BB155" i="21"/>
  <c r="AY155" i="21"/>
  <c r="AW155" i="21"/>
  <c r="AT155" i="21"/>
  <c r="BU155" i="21" s="1"/>
  <c r="BY155" i="21" s="1"/>
  <c r="CB155" i="21" s="1"/>
  <c r="AR155" i="21"/>
  <c r="BT155" i="21" s="1"/>
  <c r="BV155" i="21" s="1"/>
  <c r="CA155" i="21" s="1"/>
  <c r="CG155" i="21" s="1"/>
  <c r="AB155" i="21"/>
  <c r="W155" i="21"/>
  <c r="N155" i="21"/>
  <c r="L155" i="21"/>
  <c r="J155" i="21"/>
  <c r="CL154" i="21"/>
  <c r="CH154" i="21"/>
  <c r="CF154" i="21"/>
  <c r="CE154" i="21"/>
  <c r="BU154" i="21"/>
  <c r="BY154" i="21" s="1"/>
  <c r="BS154" i="21"/>
  <c r="BQ154" i="21"/>
  <c r="BN154" i="21"/>
  <c r="BL154" i="21"/>
  <c r="BI154" i="21"/>
  <c r="BG154" i="21"/>
  <c r="BD154" i="21"/>
  <c r="BB154" i="21"/>
  <c r="AY154" i="21"/>
  <c r="AW154" i="21"/>
  <c r="AT154" i="21"/>
  <c r="AR154" i="21"/>
  <c r="BT154" i="21" s="1"/>
  <c r="BV154" i="21" s="1"/>
  <c r="BW154" i="21" s="1"/>
  <c r="AB154" i="21"/>
  <c r="W154" i="21"/>
  <c r="N154" i="21"/>
  <c r="L154" i="21"/>
  <c r="J154" i="21"/>
  <c r="CL153" i="21"/>
  <c r="CH153" i="21"/>
  <c r="CE153" i="21"/>
  <c r="BU153" i="21"/>
  <c r="BY153" i="21" s="1"/>
  <c r="CB153" i="21" s="1"/>
  <c r="BS153" i="21"/>
  <c r="BQ153" i="21"/>
  <c r="BN153" i="21"/>
  <c r="BL153" i="21"/>
  <c r="BI153" i="21"/>
  <c r="BG153" i="21"/>
  <c r="BD153" i="21"/>
  <c r="BB153" i="21"/>
  <c r="AY153" i="21"/>
  <c r="AW153" i="21"/>
  <c r="AT153" i="21"/>
  <c r="AR153" i="21"/>
  <c r="BT153" i="21" s="1"/>
  <c r="BV153" i="21" s="1"/>
  <c r="AB153" i="21"/>
  <c r="W153" i="21"/>
  <c r="CF153" i="21" s="1"/>
  <c r="N153" i="21"/>
  <c r="L153" i="21"/>
  <c r="J153" i="21"/>
  <c r="CL152" i="21"/>
  <c r="CH152" i="21"/>
  <c r="CF152" i="21"/>
  <c r="CE152" i="21"/>
  <c r="BS152" i="21"/>
  <c r="BQ152" i="21"/>
  <c r="BN152" i="21"/>
  <c r="BL152" i="21"/>
  <c r="BI152" i="21"/>
  <c r="BG152" i="21"/>
  <c r="BD152" i="21"/>
  <c r="BB152" i="21"/>
  <c r="AY152" i="21"/>
  <c r="AW152" i="21"/>
  <c r="AT152" i="21"/>
  <c r="BU152" i="21" s="1"/>
  <c r="BY152" i="21" s="1"/>
  <c r="CB152" i="21" s="1"/>
  <c r="AR152" i="21"/>
  <c r="BT152" i="21" s="1"/>
  <c r="BV152" i="21" s="1"/>
  <c r="BW152" i="21" s="1"/>
  <c r="AB152" i="21"/>
  <c r="W152" i="21"/>
  <c r="CA152" i="21" s="1"/>
  <c r="CG152" i="21" s="1"/>
  <c r="N152" i="21"/>
  <c r="L152" i="21"/>
  <c r="J152" i="21"/>
  <c r="CL151" i="21"/>
  <c r="CH151" i="21"/>
  <c r="CF151" i="21"/>
  <c r="CE151" i="21"/>
  <c r="BS151" i="21"/>
  <c r="BQ151" i="21"/>
  <c r="BN151" i="21"/>
  <c r="BL151" i="21"/>
  <c r="BI151" i="21"/>
  <c r="BG151" i="21"/>
  <c r="BD151" i="21"/>
  <c r="BB151" i="21"/>
  <c r="AY151" i="21"/>
  <c r="AW151" i="21"/>
  <c r="AT151" i="21"/>
  <c r="BU151" i="21" s="1"/>
  <c r="BY151" i="21" s="1"/>
  <c r="CB151" i="21" s="1"/>
  <c r="AR151" i="21"/>
  <c r="BT151" i="21" s="1"/>
  <c r="BV151" i="21" s="1"/>
  <c r="AB151" i="21"/>
  <c r="W151" i="21"/>
  <c r="N151" i="21"/>
  <c r="L151" i="21"/>
  <c r="J151" i="21"/>
  <c r="CL150" i="21"/>
  <c r="CH150" i="21"/>
  <c r="CF150" i="21"/>
  <c r="CE150" i="21"/>
  <c r="BY150" i="21"/>
  <c r="CB150" i="21" s="1"/>
  <c r="BS150" i="21"/>
  <c r="BQ150" i="21"/>
  <c r="BN150" i="21"/>
  <c r="BL150" i="21"/>
  <c r="BI150" i="21"/>
  <c r="BG150" i="21"/>
  <c r="BD150" i="21"/>
  <c r="BB150" i="21"/>
  <c r="AY150" i="21"/>
  <c r="AW150" i="21"/>
  <c r="AT150" i="21"/>
  <c r="BU150" i="21" s="1"/>
  <c r="AR150" i="21"/>
  <c r="AB150" i="21"/>
  <c r="W150" i="21"/>
  <c r="N150" i="21"/>
  <c r="L150" i="21"/>
  <c r="J150" i="21"/>
  <c r="CL149" i="21"/>
  <c r="CH149" i="21"/>
  <c r="CE149" i="21"/>
  <c r="BS149" i="21"/>
  <c r="BQ149" i="21"/>
  <c r="BN149" i="21"/>
  <c r="BL149" i="21"/>
  <c r="BI149" i="21"/>
  <c r="BG149" i="21"/>
  <c r="BD149" i="21"/>
  <c r="BB149" i="21"/>
  <c r="AY149" i="21"/>
  <c r="AW149" i="21"/>
  <c r="AT149" i="21"/>
  <c r="BU149" i="21" s="1"/>
  <c r="BY149" i="21" s="1"/>
  <c r="AR149" i="21"/>
  <c r="AB149" i="21"/>
  <c r="W149" i="21"/>
  <c r="N149" i="21"/>
  <c r="L149" i="21"/>
  <c r="J149" i="21"/>
  <c r="CL148" i="21"/>
  <c r="CH148" i="21"/>
  <c r="CE148" i="21"/>
  <c r="BS148" i="21"/>
  <c r="BQ148" i="21"/>
  <c r="BN148" i="21"/>
  <c r="BL148" i="21"/>
  <c r="BI148" i="21"/>
  <c r="BG148" i="21"/>
  <c r="BD148" i="21"/>
  <c r="BB148" i="21"/>
  <c r="AY148" i="21"/>
  <c r="AW148" i="21"/>
  <c r="AT148" i="21"/>
  <c r="BU148" i="21" s="1"/>
  <c r="BY148" i="21" s="1"/>
  <c r="CB148" i="21" s="1"/>
  <c r="AR148" i="21"/>
  <c r="BT148" i="21" s="1"/>
  <c r="BV148" i="21" s="1"/>
  <c r="AB148" i="21"/>
  <c r="W148" i="21"/>
  <c r="CF148" i="21" s="1"/>
  <c r="N148" i="21"/>
  <c r="L148" i="21"/>
  <c r="J148" i="21"/>
  <c r="CL147" i="21"/>
  <c r="CH147" i="21"/>
  <c r="CF147" i="21"/>
  <c r="CE147" i="21"/>
  <c r="BS147" i="21"/>
  <c r="BQ147" i="21"/>
  <c r="BN147" i="21"/>
  <c r="BL147" i="21"/>
  <c r="BI147" i="21"/>
  <c r="BG147" i="21"/>
  <c r="BD147" i="21"/>
  <c r="BB147" i="21"/>
  <c r="AY147" i="21"/>
  <c r="AW147" i="21"/>
  <c r="AT147" i="21"/>
  <c r="BU147" i="21" s="1"/>
  <c r="BY147" i="21" s="1"/>
  <c r="AR147" i="21"/>
  <c r="BT147" i="21" s="1"/>
  <c r="BV147" i="21" s="1"/>
  <c r="BW147" i="21" s="1"/>
  <c r="AB147" i="21"/>
  <c r="W147" i="21"/>
  <c r="CB147" i="21" s="1"/>
  <c r="N147" i="21"/>
  <c r="L147" i="21"/>
  <c r="J147" i="21"/>
  <c r="CL146" i="21"/>
  <c r="CH146" i="21"/>
  <c r="CE146" i="21"/>
  <c r="BS146" i="21"/>
  <c r="BQ146" i="21"/>
  <c r="BN146" i="21"/>
  <c r="BL146" i="21"/>
  <c r="BI146" i="21"/>
  <c r="BG146" i="21"/>
  <c r="BD146" i="21"/>
  <c r="BB146" i="21"/>
  <c r="AY146" i="21"/>
  <c r="AW146" i="21"/>
  <c r="AT146" i="21"/>
  <c r="BU146" i="21" s="1"/>
  <c r="BY146" i="21" s="1"/>
  <c r="AR146" i="21"/>
  <c r="BT146" i="21" s="1"/>
  <c r="BV146" i="21" s="1"/>
  <c r="AB146" i="21"/>
  <c r="W146" i="21"/>
  <c r="CF146" i="21" s="1"/>
  <c r="N146" i="21"/>
  <c r="L146" i="21"/>
  <c r="J146" i="21"/>
  <c r="CL145" i="21"/>
  <c r="CH145" i="21"/>
  <c r="CE145" i="21"/>
  <c r="BS145" i="21"/>
  <c r="BQ145" i="21"/>
  <c r="BN145" i="21"/>
  <c r="BL145" i="21"/>
  <c r="BI145" i="21"/>
  <c r="BG145" i="21"/>
  <c r="BD145" i="21"/>
  <c r="BB145" i="21"/>
  <c r="AY145" i="21"/>
  <c r="AW145" i="21"/>
  <c r="AT145" i="21"/>
  <c r="AR145" i="21"/>
  <c r="BT145" i="21" s="1"/>
  <c r="BV145" i="21" s="1"/>
  <c r="BW145" i="21" s="1"/>
  <c r="AB145" i="21"/>
  <c r="W145" i="21"/>
  <c r="N145" i="21"/>
  <c r="L145" i="21"/>
  <c r="J145" i="21"/>
  <c r="CL144" i="21"/>
  <c r="CH144" i="21"/>
  <c r="CE144" i="21"/>
  <c r="BS144" i="21"/>
  <c r="BQ144" i="21"/>
  <c r="BN144" i="21"/>
  <c r="BL144" i="21"/>
  <c r="BI144" i="21"/>
  <c r="BG144" i="21"/>
  <c r="BD144" i="21"/>
  <c r="BB144" i="21"/>
  <c r="AY144" i="21"/>
  <c r="AW144" i="21"/>
  <c r="AT144" i="21"/>
  <c r="AR144" i="21"/>
  <c r="BT144" i="21" s="1"/>
  <c r="BV144" i="21" s="1"/>
  <c r="BW144" i="21" s="1"/>
  <c r="AB144" i="21"/>
  <c r="W144" i="21"/>
  <c r="N144" i="21"/>
  <c r="L144" i="21"/>
  <c r="J144" i="21"/>
  <c r="CL143" i="21"/>
  <c r="CH143" i="21"/>
  <c r="CF143" i="21"/>
  <c r="CE143" i="21"/>
  <c r="BS143" i="21"/>
  <c r="BQ143" i="21"/>
  <c r="BN143" i="21"/>
  <c r="BL143" i="21"/>
  <c r="BI143" i="21"/>
  <c r="BG143" i="21"/>
  <c r="BD143" i="21"/>
  <c r="BB143" i="21"/>
  <c r="AY143" i="21"/>
  <c r="AW143" i="21"/>
  <c r="AT143" i="21"/>
  <c r="AR143" i="21"/>
  <c r="AB143" i="21"/>
  <c r="W143" i="21"/>
  <c r="N143" i="21"/>
  <c r="L143" i="21"/>
  <c r="J143" i="21"/>
  <c r="CL142" i="21"/>
  <c r="CH142" i="21"/>
  <c r="CF142" i="21"/>
  <c r="CE142" i="21"/>
  <c r="BS142" i="21"/>
  <c r="BQ142" i="21"/>
  <c r="BN142" i="21"/>
  <c r="BL142" i="21"/>
  <c r="BI142" i="21"/>
  <c r="BG142" i="21"/>
  <c r="BD142" i="21"/>
  <c r="BB142" i="21"/>
  <c r="AY142" i="21"/>
  <c r="AW142" i="21"/>
  <c r="AT142" i="21"/>
  <c r="BU142" i="21" s="1"/>
  <c r="BY142" i="21" s="1"/>
  <c r="AR142" i="21"/>
  <c r="BT142" i="21" s="1"/>
  <c r="BV142" i="21" s="1"/>
  <c r="BW142" i="21" s="1"/>
  <c r="AB142" i="21"/>
  <c r="W142" i="21"/>
  <c r="N142" i="21"/>
  <c r="L142" i="21"/>
  <c r="J142" i="21"/>
  <c r="CL141" i="21"/>
  <c r="CH141" i="21"/>
  <c r="CE141" i="21"/>
  <c r="BS141" i="21"/>
  <c r="BQ141" i="21"/>
  <c r="BN141" i="21"/>
  <c r="BL141" i="21"/>
  <c r="BI141" i="21"/>
  <c r="BG141" i="21"/>
  <c r="BD141" i="21"/>
  <c r="BB141" i="21"/>
  <c r="AY141" i="21"/>
  <c r="AW141" i="21"/>
  <c r="AT141" i="21"/>
  <c r="BU141" i="21" s="1"/>
  <c r="BY141" i="21" s="1"/>
  <c r="CB141" i="21" s="1"/>
  <c r="AR141" i="21"/>
  <c r="AB141" i="21"/>
  <c r="W141" i="21"/>
  <c r="CF141" i="21" s="1"/>
  <c r="N141" i="21"/>
  <c r="L141" i="21"/>
  <c r="J141" i="21"/>
  <c r="CL140" i="21"/>
  <c r="CH140" i="21"/>
  <c r="CF140" i="21"/>
  <c r="CE140" i="21"/>
  <c r="CB140" i="21"/>
  <c r="BS140" i="21"/>
  <c r="BQ140" i="21"/>
  <c r="BN140" i="21"/>
  <c r="BL140" i="21"/>
  <c r="BI140" i="21"/>
  <c r="BG140" i="21"/>
  <c r="BD140" i="21"/>
  <c r="BB140" i="21"/>
  <c r="AY140" i="21"/>
  <c r="AW140" i="21"/>
  <c r="AT140" i="21"/>
  <c r="BU140" i="21" s="1"/>
  <c r="BY140" i="21" s="1"/>
  <c r="AR140" i="21"/>
  <c r="BT140" i="21" s="1"/>
  <c r="BV140" i="21" s="1"/>
  <c r="BW140" i="21" s="1"/>
  <c r="AB140" i="21"/>
  <c r="W140" i="21"/>
  <c r="N140" i="21"/>
  <c r="L140" i="21"/>
  <c r="J140" i="21"/>
  <c r="CL139" i="21"/>
  <c r="CH139" i="21"/>
  <c r="CF139" i="21"/>
  <c r="CE139" i="21"/>
  <c r="BS139" i="21"/>
  <c r="BQ139" i="21"/>
  <c r="BN139" i="21"/>
  <c r="BL139" i="21"/>
  <c r="BI139" i="21"/>
  <c r="BG139" i="21"/>
  <c r="BD139" i="21"/>
  <c r="BB139" i="21"/>
  <c r="AY139" i="21"/>
  <c r="AW139" i="21"/>
  <c r="AT139" i="21"/>
  <c r="BU139" i="21" s="1"/>
  <c r="BY139" i="21" s="1"/>
  <c r="CB139" i="21" s="1"/>
  <c r="AR139" i="21"/>
  <c r="AB139" i="21"/>
  <c r="W139" i="21"/>
  <c r="N139" i="21"/>
  <c r="L139" i="21"/>
  <c r="J139" i="21"/>
  <c r="CL138" i="21"/>
  <c r="CH138" i="21"/>
  <c r="CF138" i="21"/>
  <c r="CE138" i="21"/>
  <c r="BS138" i="21"/>
  <c r="BQ138" i="21"/>
  <c r="BN138" i="21"/>
  <c r="BL138" i="21"/>
  <c r="BI138" i="21"/>
  <c r="BG138" i="21"/>
  <c r="BD138" i="21"/>
  <c r="BB138" i="21"/>
  <c r="AY138" i="21"/>
  <c r="AW138" i="21"/>
  <c r="AT138" i="21"/>
  <c r="AR138" i="21"/>
  <c r="BT138" i="21" s="1"/>
  <c r="BV138" i="21" s="1"/>
  <c r="BW138" i="21" s="1"/>
  <c r="AB138" i="21"/>
  <c r="W138" i="21"/>
  <c r="N138" i="21"/>
  <c r="L138" i="21"/>
  <c r="J138" i="21"/>
  <c r="CL137" i="21"/>
  <c r="CH137" i="21"/>
  <c r="CE137" i="21"/>
  <c r="BS137" i="21"/>
  <c r="BQ137" i="21"/>
  <c r="BN137" i="21"/>
  <c r="BL137" i="21"/>
  <c r="BI137" i="21"/>
  <c r="BG137" i="21"/>
  <c r="BD137" i="21"/>
  <c r="BB137" i="21"/>
  <c r="AY137" i="21"/>
  <c r="AW137" i="21"/>
  <c r="AT137" i="21"/>
  <c r="BU137" i="21" s="1"/>
  <c r="BY137" i="21" s="1"/>
  <c r="AR137" i="21"/>
  <c r="BT137" i="21" s="1"/>
  <c r="BV137" i="21" s="1"/>
  <c r="BW137" i="21" s="1"/>
  <c r="AB137" i="21"/>
  <c r="W137" i="21"/>
  <c r="N137" i="21"/>
  <c r="L137" i="21"/>
  <c r="J137" i="21"/>
  <c r="CL136" i="21"/>
  <c r="CH136" i="21"/>
  <c r="CE136" i="21"/>
  <c r="BS136" i="21"/>
  <c r="BQ136" i="21"/>
  <c r="BN136" i="21"/>
  <c r="BL136" i="21"/>
  <c r="BI136" i="21"/>
  <c r="BG136" i="21"/>
  <c r="BD136" i="21"/>
  <c r="BB136" i="21"/>
  <c r="AY136" i="21"/>
  <c r="AW136" i="21"/>
  <c r="AT136" i="21"/>
  <c r="AR136" i="21"/>
  <c r="AB136" i="21"/>
  <c r="W136" i="21"/>
  <c r="CF136" i="21" s="1"/>
  <c r="N136" i="21"/>
  <c r="L136" i="21"/>
  <c r="J136" i="21"/>
  <c r="CL135" i="21"/>
  <c r="CH135" i="21"/>
  <c r="CF135" i="21"/>
  <c r="CE135" i="21"/>
  <c r="BS135" i="21"/>
  <c r="BQ135" i="21"/>
  <c r="BN135" i="21"/>
  <c r="BL135" i="21"/>
  <c r="BI135" i="21"/>
  <c r="BG135" i="21"/>
  <c r="BD135" i="21"/>
  <c r="BB135" i="21"/>
  <c r="AY135" i="21"/>
  <c r="AW135" i="21"/>
  <c r="AT135" i="21"/>
  <c r="BU135" i="21" s="1"/>
  <c r="BY135" i="21" s="1"/>
  <c r="AR135" i="21"/>
  <c r="BT135" i="21" s="1"/>
  <c r="BV135" i="21" s="1"/>
  <c r="BW135" i="21" s="1"/>
  <c r="AB135" i="21"/>
  <c r="W135" i="21"/>
  <c r="N135" i="21"/>
  <c r="L135" i="21"/>
  <c r="J135" i="21"/>
  <c r="CL134" i="21"/>
  <c r="CH134" i="21"/>
  <c r="CE134" i="21"/>
  <c r="BS134" i="21"/>
  <c r="BQ134" i="21"/>
  <c r="BN134" i="21"/>
  <c r="BL134" i="21"/>
  <c r="BI134" i="21"/>
  <c r="BG134" i="21"/>
  <c r="BD134" i="21"/>
  <c r="BB134" i="21"/>
  <c r="AY134" i="21"/>
  <c r="AW134" i="21"/>
  <c r="AT134" i="21"/>
  <c r="BU134" i="21" s="1"/>
  <c r="BY134" i="21" s="1"/>
  <c r="AR134" i="21"/>
  <c r="AB134" i="21"/>
  <c r="W134" i="21"/>
  <c r="CF134" i="21" s="1"/>
  <c r="N134" i="21"/>
  <c r="L134" i="21"/>
  <c r="J134" i="21"/>
  <c r="CL133" i="21"/>
  <c r="CH133" i="21"/>
  <c r="CE133" i="21"/>
  <c r="BS133" i="21"/>
  <c r="BQ133" i="21"/>
  <c r="BN133" i="21"/>
  <c r="BL133" i="21"/>
  <c r="BI133" i="21"/>
  <c r="BG133" i="21"/>
  <c r="BD133" i="21"/>
  <c r="BB133" i="21"/>
  <c r="AY133" i="21"/>
  <c r="AW133" i="21"/>
  <c r="AT133" i="21"/>
  <c r="BU133" i="21" s="1"/>
  <c r="BY133" i="21" s="1"/>
  <c r="AR133" i="21"/>
  <c r="BT133" i="21" s="1"/>
  <c r="BV133" i="21" s="1"/>
  <c r="BW133" i="21" s="1"/>
  <c r="AB133" i="21"/>
  <c r="W133" i="21"/>
  <c r="N133" i="21"/>
  <c r="L133" i="21"/>
  <c r="J133" i="21"/>
  <c r="CL132" i="21"/>
  <c r="CH132" i="21"/>
  <c r="CE132" i="21"/>
  <c r="BS132" i="21"/>
  <c r="BQ132" i="21"/>
  <c r="BN132" i="21"/>
  <c r="BL132" i="21"/>
  <c r="BI132" i="21"/>
  <c r="BG132" i="21"/>
  <c r="BD132" i="21"/>
  <c r="BB132" i="21"/>
  <c r="AY132" i="21"/>
  <c r="AW132" i="21"/>
  <c r="AT132" i="21"/>
  <c r="BU132" i="21" s="1"/>
  <c r="BY132" i="21" s="1"/>
  <c r="AR132" i="21"/>
  <c r="BT132" i="21" s="1"/>
  <c r="BV132" i="21" s="1"/>
  <c r="BW132" i="21" s="1"/>
  <c r="AB132" i="21"/>
  <c r="W132" i="21"/>
  <c r="N132" i="21"/>
  <c r="L132" i="21"/>
  <c r="J132" i="21"/>
  <c r="CL131" i="21"/>
  <c r="CH131" i="21"/>
  <c r="CF131" i="21"/>
  <c r="CE131" i="21"/>
  <c r="BU131" i="21"/>
  <c r="BY131" i="21" s="1"/>
  <c r="CB131" i="21" s="1"/>
  <c r="BS131" i="21"/>
  <c r="BQ131" i="21"/>
  <c r="BN131" i="21"/>
  <c r="BL131" i="21"/>
  <c r="BI131" i="21"/>
  <c r="BG131" i="21"/>
  <c r="BD131" i="21"/>
  <c r="BB131" i="21"/>
  <c r="AY131" i="21"/>
  <c r="AW131" i="21"/>
  <c r="AT131" i="21"/>
  <c r="AR131" i="21"/>
  <c r="BT131" i="21" s="1"/>
  <c r="BV131" i="21" s="1"/>
  <c r="AB131" i="21"/>
  <c r="W131" i="21"/>
  <c r="N131" i="21"/>
  <c r="L131" i="21"/>
  <c r="J131" i="21"/>
  <c r="CL130" i="21"/>
  <c r="CH130" i="21"/>
  <c r="CE130" i="21"/>
  <c r="BU130" i="21"/>
  <c r="BY130" i="21" s="1"/>
  <c r="CB130" i="21" s="1"/>
  <c r="BS130" i="21"/>
  <c r="BQ130" i="21"/>
  <c r="BN130" i="21"/>
  <c r="BL130" i="21"/>
  <c r="BI130" i="21"/>
  <c r="BG130" i="21"/>
  <c r="BD130" i="21"/>
  <c r="BB130" i="21"/>
  <c r="AY130" i="21"/>
  <c r="AW130" i="21"/>
  <c r="AT130" i="21"/>
  <c r="AR130" i="21"/>
  <c r="BT130" i="21" s="1"/>
  <c r="BV130" i="21" s="1"/>
  <c r="BW130" i="21" s="1"/>
  <c r="AB130" i="21"/>
  <c r="W130" i="21"/>
  <c r="CF130" i="21" s="1"/>
  <c r="N130" i="21"/>
  <c r="L130" i="21"/>
  <c r="J130" i="21"/>
  <c r="CL129" i="21"/>
  <c r="CH129" i="21"/>
  <c r="CE129" i="21"/>
  <c r="BY129" i="21"/>
  <c r="CB129" i="21" s="1"/>
  <c r="BS129" i="21"/>
  <c r="BQ129" i="21"/>
  <c r="BN129" i="21"/>
  <c r="BL129" i="21"/>
  <c r="BI129" i="21"/>
  <c r="BG129" i="21"/>
  <c r="BD129" i="21"/>
  <c r="BB129" i="21"/>
  <c r="AY129" i="21"/>
  <c r="BU129" i="21" s="1"/>
  <c r="AW129" i="21"/>
  <c r="AT129" i="21"/>
  <c r="AR129" i="21"/>
  <c r="AB129" i="21"/>
  <c r="W129" i="21"/>
  <c r="CF129" i="21" s="1"/>
  <c r="N129" i="21"/>
  <c r="L129" i="21"/>
  <c r="J129" i="21"/>
  <c r="CL128" i="21"/>
  <c r="CH128" i="21"/>
  <c r="CE128" i="21"/>
  <c r="BS128" i="21"/>
  <c r="BQ128" i="21"/>
  <c r="BN128" i="21"/>
  <c r="BL128" i="21"/>
  <c r="BI128" i="21"/>
  <c r="BG128" i="21"/>
  <c r="BD128" i="21"/>
  <c r="BB128" i="21"/>
  <c r="AY128" i="21"/>
  <c r="AW128" i="21"/>
  <c r="AT128" i="21"/>
  <c r="BU128" i="21" s="1"/>
  <c r="BY128" i="21" s="1"/>
  <c r="AR128" i="21"/>
  <c r="AB128" i="21"/>
  <c r="W128" i="21"/>
  <c r="N128" i="21"/>
  <c r="L128" i="21"/>
  <c r="J128" i="21"/>
  <c r="CL127" i="21"/>
  <c r="CH127" i="21"/>
  <c r="CF127" i="21"/>
  <c r="CE127" i="21"/>
  <c r="BS127" i="21"/>
  <c r="BQ127" i="21"/>
  <c r="BN127" i="21"/>
  <c r="BL127" i="21"/>
  <c r="BI127" i="21"/>
  <c r="BG127" i="21"/>
  <c r="BD127" i="21"/>
  <c r="BB127" i="21"/>
  <c r="AY127" i="21"/>
  <c r="AW127" i="21"/>
  <c r="AT127" i="21"/>
  <c r="BU127" i="21" s="1"/>
  <c r="BY127" i="21" s="1"/>
  <c r="CB127" i="21" s="1"/>
  <c r="AR127" i="21"/>
  <c r="BT127" i="21" s="1"/>
  <c r="BV127" i="21" s="1"/>
  <c r="AB127" i="21"/>
  <c r="W127" i="21"/>
  <c r="N127" i="21"/>
  <c r="L127" i="21"/>
  <c r="J127" i="21"/>
  <c r="CL126" i="21"/>
  <c r="CH126" i="21"/>
  <c r="CF126" i="21"/>
  <c r="CE126" i="21"/>
  <c r="BU126" i="21"/>
  <c r="BY126" i="21" s="1"/>
  <c r="CB126" i="21" s="1"/>
  <c r="BS126" i="21"/>
  <c r="BQ126" i="21"/>
  <c r="BN126" i="21"/>
  <c r="BL126" i="21"/>
  <c r="BI126" i="21"/>
  <c r="BG126" i="21"/>
  <c r="BD126" i="21"/>
  <c r="BB126" i="21"/>
  <c r="AY126" i="21"/>
  <c r="AW126" i="21"/>
  <c r="AT126" i="21"/>
  <c r="AR126" i="21"/>
  <c r="AB126" i="21"/>
  <c r="W126" i="21"/>
  <c r="N126" i="21"/>
  <c r="L126" i="21"/>
  <c r="J126" i="21"/>
  <c r="CL125" i="21"/>
  <c r="CH125" i="21"/>
  <c r="CE125" i="21"/>
  <c r="BS125" i="21"/>
  <c r="BQ125" i="21"/>
  <c r="BN125" i="21"/>
  <c r="BL125" i="21"/>
  <c r="BI125" i="21"/>
  <c r="BG125" i="21"/>
  <c r="BD125" i="21"/>
  <c r="BB125" i="21"/>
  <c r="AY125" i="21"/>
  <c r="AW125" i="21"/>
  <c r="AT125" i="21"/>
  <c r="BU125" i="21" s="1"/>
  <c r="BY125" i="21" s="1"/>
  <c r="CB125" i="21" s="1"/>
  <c r="AR125" i="21"/>
  <c r="BT125" i="21" s="1"/>
  <c r="BV125" i="21" s="1"/>
  <c r="BW125" i="21" s="1"/>
  <c r="AB125" i="21"/>
  <c r="W125" i="21"/>
  <c r="N125" i="21"/>
  <c r="L125" i="21"/>
  <c r="J125" i="21"/>
  <c r="CL124" i="21"/>
  <c r="CH124" i="21"/>
  <c r="CF124" i="21"/>
  <c r="CE124" i="21"/>
  <c r="BS124" i="21"/>
  <c r="BQ124" i="21"/>
  <c r="BN124" i="21"/>
  <c r="BL124" i="21"/>
  <c r="BI124" i="21"/>
  <c r="BG124" i="21"/>
  <c r="BD124" i="21"/>
  <c r="BB124" i="21"/>
  <c r="AY124" i="21"/>
  <c r="AW124" i="21"/>
  <c r="AT124" i="21"/>
  <c r="AR124" i="21"/>
  <c r="AB124" i="21"/>
  <c r="W124" i="21"/>
  <c r="N124" i="21"/>
  <c r="L124" i="21"/>
  <c r="J124" i="21"/>
  <c r="CL123" i="21"/>
  <c r="CH123" i="21"/>
  <c r="CE123" i="21"/>
  <c r="BS123" i="21"/>
  <c r="BQ123" i="21"/>
  <c r="BN123" i="21"/>
  <c r="BL123" i="21"/>
  <c r="BI123" i="21"/>
  <c r="BG123" i="21"/>
  <c r="BD123" i="21"/>
  <c r="BB123" i="21"/>
  <c r="AY123" i="21"/>
  <c r="AW123" i="21"/>
  <c r="AT123" i="21"/>
  <c r="AR123" i="21"/>
  <c r="BT123" i="21" s="1"/>
  <c r="BV123" i="21" s="1"/>
  <c r="BW123" i="21" s="1"/>
  <c r="AB123" i="21"/>
  <c r="W123" i="21"/>
  <c r="N123" i="21"/>
  <c r="L123" i="21"/>
  <c r="J123" i="21"/>
  <c r="CL122" i="21"/>
  <c r="CH122" i="21"/>
  <c r="CE122" i="21"/>
  <c r="BV122" i="21"/>
  <c r="BW122" i="21" s="1"/>
  <c r="BS122" i="21"/>
  <c r="BQ122" i="21"/>
  <c r="BN122" i="21"/>
  <c r="BL122" i="21"/>
  <c r="BI122" i="21"/>
  <c r="BG122" i="21"/>
  <c r="BD122" i="21"/>
  <c r="BB122" i="21"/>
  <c r="AY122" i="21"/>
  <c r="AW122" i="21"/>
  <c r="AT122" i="21"/>
  <c r="BU122" i="21" s="1"/>
  <c r="BY122" i="21" s="1"/>
  <c r="AR122" i="21"/>
  <c r="BT122" i="21" s="1"/>
  <c r="AB122" i="21"/>
  <c r="W122" i="21"/>
  <c r="CF122" i="21" s="1"/>
  <c r="N122" i="21"/>
  <c r="L122" i="21"/>
  <c r="J122" i="21"/>
  <c r="CL121" i="21"/>
  <c r="CH121" i="21"/>
  <c r="CE121" i="21"/>
  <c r="BS121" i="21"/>
  <c r="BQ121" i="21"/>
  <c r="BN121" i="21"/>
  <c r="BL121" i="21"/>
  <c r="BI121" i="21"/>
  <c r="BG121" i="21"/>
  <c r="BD121" i="21"/>
  <c r="BB121" i="21"/>
  <c r="AY121" i="21"/>
  <c r="AW121" i="21"/>
  <c r="AT121" i="21"/>
  <c r="AR121" i="21"/>
  <c r="BT121" i="21" s="1"/>
  <c r="BV121" i="21" s="1"/>
  <c r="BW121" i="21" s="1"/>
  <c r="AB121" i="21"/>
  <c r="W121" i="21"/>
  <c r="N121" i="21"/>
  <c r="L121" i="21"/>
  <c r="J121" i="21"/>
  <c r="CL120" i="21"/>
  <c r="CH120" i="21"/>
  <c r="CF120" i="21"/>
  <c r="CE120" i="21"/>
  <c r="BS120" i="21"/>
  <c r="BQ120" i="21"/>
  <c r="BN120" i="21"/>
  <c r="BL120" i="21"/>
  <c r="BI120" i="21"/>
  <c r="BG120" i="21"/>
  <c r="BD120" i="21"/>
  <c r="BB120" i="21"/>
  <c r="AY120" i="21"/>
  <c r="AW120" i="21"/>
  <c r="AT120" i="21"/>
  <c r="BU120" i="21" s="1"/>
  <c r="BY120" i="21" s="1"/>
  <c r="AR120" i="21"/>
  <c r="BT120" i="21" s="1"/>
  <c r="BV120" i="21" s="1"/>
  <c r="BW120" i="21" s="1"/>
  <c r="AB120" i="21"/>
  <c r="W120" i="21"/>
  <c r="N120" i="21"/>
  <c r="L120" i="21"/>
  <c r="J120" i="21"/>
  <c r="CL119" i="21"/>
  <c r="CH119" i="21"/>
  <c r="CF119" i="21"/>
  <c r="CE119" i="21"/>
  <c r="BS119" i="21"/>
  <c r="BQ119" i="21"/>
  <c r="BN119" i="21"/>
  <c r="BL119" i="21"/>
  <c r="BI119" i="21"/>
  <c r="BG119" i="21"/>
  <c r="BD119" i="21"/>
  <c r="BB119" i="21"/>
  <c r="AY119" i="21"/>
  <c r="AW119" i="21"/>
  <c r="AT119" i="21"/>
  <c r="AR119" i="21"/>
  <c r="AB119" i="21"/>
  <c r="W119" i="21"/>
  <c r="N119" i="21"/>
  <c r="L119" i="21"/>
  <c r="J119" i="21"/>
  <c r="CL118" i="21"/>
  <c r="CH118" i="21"/>
  <c r="CE118" i="21"/>
  <c r="BS118" i="21"/>
  <c r="BQ118" i="21"/>
  <c r="BN118" i="21"/>
  <c r="BL118" i="21"/>
  <c r="BI118" i="21"/>
  <c r="BG118" i="21"/>
  <c r="BD118" i="21"/>
  <c r="BB118" i="21"/>
  <c r="AY118" i="21"/>
  <c r="AW118" i="21"/>
  <c r="AT118" i="21"/>
  <c r="BU118" i="21" s="1"/>
  <c r="BY118" i="21" s="1"/>
  <c r="CB118" i="21" s="1"/>
  <c r="AR118" i="21"/>
  <c r="BT118" i="21" s="1"/>
  <c r="BV118" i="21" s="1"/>
  <c r="AB118" i="21"/>
  <c r="W118" i="21"/>
  <c r="CF118" i="21" s="1"/>
  <c r="N118" i="21"/>
  <c r="L118" i="21"/>
  <c r="J118" i="21"/>
  <c r="CL117" i="21"/>
  <c r="CH117" i="21"/>
  <c r="CE117" i="21"/>
  <c r="BS117" i="21"/>
  <c r="BQ117" i="21"/>
  <c r="BN117" i="21"/>
  <c r="BL117" i="21"/>
  <c r="BI117" i="21"/>
  <c r="BG117" i="21"/>
  <c r="BD117" i="21"/>
  <c r="BB117" i="21"/>
  <c r="AY117" i="21"/>
  <c r="AW117" i="21"/>
  <c r="AT117" i="21"/>
  <c r="BU117" i="21" s="1"/>
  <c r="BY117" i="21" s="1"/>
  <c r="AR117" i="21"/>
  <c r="AB117" i="21"/>
  <c r="W117" i="21"/>
  <c r="N117" i="21"/>
  <c r="L117" i="21"/>
  <c r="J117" i="21"/>
  <c r="CL116" i="21"/>
  <c r="CH116" i="21"/>
  <c r="CF116" i="21"/>
  <c r="CE116" i="21"/>
  <c r="BS116" i="21"/>
  <c r="BQ116" i="21"/>
  <c r="BN116" i="21"/>
  <c r="BL116" i="21"/>
  <c r="BI116" i="21"/>
  <c r="BG116" i="21"/>
  <c r="BD116" i="21"/>
  <c r="BB116" i="21"/>
  <c r="AY116" i="21"/>
  <c r="AW116" i="21"/>
  <c r="AT116" i="21"/>
  <c r="BU116" i="21" s="1"/>
  <c r="BY116" i="21" s="1"/>
  <c r="CB116" i="21" s="1"/>
  <c r="AR116" i="21"/>
  <c r="BT116" i="21" s="1"/>
  <c r="BV116" i="21" s="1"/>
  <c r="BW116" i="21" s="1"/>
  <c r="AB116" i="21"/>
  <c r="W116" i="21"/>
  <c r="N116" i="21"/>
  <c r="L116" i="21"/>
  <c r="J116" i="21"/>
  <c r="CL115" i="21"/>
  <c r="CH115" i="21"/>
  <c r="CE115" i="21"/>
  <c r="BS115" i="21"/>
  <c r="BQ115" i="21"/>
  <c r="BN115" i="21"/>
  <c r="BL115" i="21"/>
  <c r="BI115" i="21"/>
  <c r="BG115" i="21"/>
  <c r="BD115" i="21"/>
  <c r="BB115" i="21"/>
  <c r="AY115" i="21"/>
  <c r="AW115" i="21"/>
  <c r="AT115" i="21"/>
  <c r="AR115" i="21"/>
  <c r="BT115" i="21" s="1"/>
  <c r="BV115" i="21" s="1"/>
  <c r="BW115" i="21" s="1"/>
  <c r="AB115" i="21"/>
  <c r="W115" i="21"/>
  <c r="N115" i="21"/>
  <c r="L115" i="21"/>
  <c r="J115" i="21"/>
  <c r="CL114" i="21"/>
  <c r="CH114" i="21"/>
  <c r="CE114" i="21"/>
  <c r="BS114" i="21"/>
  <c r="BQ114" i="21"/>
  <c r="BN114" i="21"/>
  <c r="BL114" i="21"/>
  <c r="BI114" i="21"/>
  <c r="BG114" i="21"/>
  <c r="BD114" i="21"/>
  <c r="BB114" i="21"/>
  <c r="AY114" i="21"/>
  <c r="AW114" i="21"/>
  <c r="AT114" i="21"/>
  <c r="AR114" i="21"/>
  <c r="BT114" i="21" s="1"/>
  <c r="BV114" i="21" s="1"/>
  <c r="BW114" i="21" s="1"/>
  <c r="AB114" i="21"/>
  <c r="W114" i="21"/>
  <c r="N114" i="21"/>
  <c r="L114" i="21"/>
  <c r="J114" i="21"/>
  <c r="CL113" i="21"/>
  <c r="CH113" i="21"/>
  <c r="CF113" i="21"/>
  <c r="CE113" i="21"/>
  <c r="BS113" i="21"/>
  <c r="BQ113" i="21"/>
  <c r="BN113" i="21"/>
  <c r="BL113" i="21"/>
  <c r="BI113" i="21"/>
  <c r="BG113" i="21"/>
  <c r="BD113" i="21"/>
  <c r="BB113" i="21"/>
  <c r="AY113" i="21"/>
  <c r="AW113" i="21"/>
  <c r="AT113" i="21"/>
  <c r="AR113" i="21"/>
  <c r="AB113" i="21"/>
  <c r="W113" i="21"/>
  <c r="N113" i="21"/>
  <c r="L113" i="21"/>
  <c r="J113" i="21"/>
  <c r="CL112" i="21"/>
  <c r="CH112" i="21"/>
  <c r="CF112" i="21"/>
  <c r="CE112" i="21"/>
  <c r="BS112" i="21"/>
  <c r="BQ112" i="21"/>
  <c r="BN112" i="21"/>
  <c r="BL112" i="21"/>
  <c r="BI112" i="21"/>
  <c r="BG112" i="21"/>
  <c r="BD112" i="21"/>
  <c r="BB112" i="21"/>
  <c r="AY112" i="21"/>
  <c r="AW112" i="21"/>
  <c r="AT112" i="21"/>
  <c r="BU112" i="21" s="1"/>
  <c r="BY112" i="21" s="1"/>
  <c r="AR112" i="21"/>
  <c r="BT112" i="21" s="1"/>
  <c r="BV112" i="21" s="1"/>
  <c r="AB112" i="21"/>
  <c r="W112" i="21"/>
  <c r="N112" i="21"/>
  <c r="L112" i="21"/>
  <c r="J112" i="21"/>
  <c r="CL111" i="21"/>
  <c r="CH111" i="21"/>
  <c r="CF111" i="21"/>
  <c r="CE111" i="21"/>
  <c r="BS111" i="21"/>
  <c r="BQ111" i="21"/>
  <c r="BN111" i="21"/>
  <c r="BL111" i="21"/>
  <c r="BI111" i="21"/>
  <c r="BG111" i="21"/>
  <c r="BD111" i="21"/>
  <c r="BB111" i="21"/>
  <c r="AY111" i="21"/>
  <c r="AW111" i="21"/>
  <c r="AT111" i="21"/>
  <c r="BU111" i="21" s="1"/>
  <c r="BY111" i="21" s="1"/>
  <c r="CB111" i="21" s="1"/>
  <c r="AR111" i="21"/>
  <c r="BT111" i="21" s="1"/>
  <c r="BV111" i="21" s="1"/>
  <c r="AB111" i="21"/>
  <c r="W111" i="21"/>
  <c r="N111" i="21"/>
  <c r="L111" i="21"/>
  <c r="J111" i="21"/>
  <c r="CL110" i="21"/>
  <c r="CH110" i="21"/>
  <c r="CE110" i="21"/>
  <c r="BS110" i="21"/>
  <c r="BQ110" i="21"/>
  <c r="BN110" i="21"/>
  <c r="BL110" i="21"/>
  <c r="BI110" i="21"/>
  <c r="BG110" i="21"/>
  <c r="BD110" i="21"/>
  <c r="BB110" i="21"/>
  <c r="AY110" i="21"/>
  <c r="AW110" i="21"/>
  <c r="AT110" i="21"/>
  <c r="BU110" i="21" s="1"/>
  <c r="BY110" i="21" s="1"/>
  <c r="CB110" i="21" s="1"/>
  <c r="AR110" i="21"/>
  <c r="BT110" i="21" s="1"/>
  <c r="BV110" i="21" s="1"/>
  <c r="BW110" i="21" s="1"/>
  <c r="AB110" i="21"/>
  <c r="W110" i="21"/>
  <c r="CF110" i="21" s="1"/>
  <c r="N110" i="21"/>
  <c r="L110" i="21"/>
  <c r="J110" i="21"/>
  <c r="CL109" i="21"/>
  <c r="CH109" i="21"/>
  <c r="CE109" i="21"/>
  <c r="BS109" i="21"/>
  <c r="BQ109" i="21"/>
  <c r="BN109" i="21"/>
  <c r="BL109" i="21"/>
  <c r="BI109" i="21"/>
  <c r="BG109" i="21"/>
  <c r="BD109" i="21"/>
  <c r="BB109" i="21"/>
  <c r="AY109" i="21"/>
  <c r="AW109" i="21"/>
  <c r="AT109" i="21"/>
  <c r="BU109" i="21" s="1"/>
  <c r="BY109" i="21" s="1"/>
  <c r="AR109" i="21"/>
  <c r="AB109" i="21"/>
  <c r="W109" i="21"/>
  <c r="N109" i="21"/>
  <c r="L109" i="21"/>
  <c r="J109" i="21"/>
  <c r="CL108" i="21"/>
  <c r="CH108" i="21"/>
  <c r="CF108" i="21"/>
  <c r="CE108" i="21"/>
  <c r="BS108" i="21"/>
  <c r="BQ108" i="21"/>
  <c r="BN108" i="21"/>
  <c r="BL108" i="21"/>
  <c r="BI108" i="21"/>
  <c r="BG108" i="21"/>
  <c r="BD108" i="21"/>
  <c r="BB108" i="21"/>
  <c r="AY108" i="21"/>
  <c r="AW108" i="21"/>
  <c r="AT108" i="21"/>
  <c r="BU108" i="21" s="1"/>
  <c r="BY108" i="21" s="1"/>
  <c r="CB108" i="21" s="1"/>
  <c r="AR108" i="21"/>
  <c r="AB108" i="21"/>
  <c r="W108" i="21"/>
  <c r="N108" i="21"/>
  <c r="L108" i="21"/>
  <c r="J108" i="21"/>
  <c r="CL107" i="21"/>
  <c r="CH107" i="21"/>
  <c r="CF107" i="21"/>
  <c r="CE107" i="21"/>
  <c r="BV107" i="21"/>
  <c r="BW107" i="21" s="1"/>
  <c r="BS107" i="21"/>
  <c r="BQ107" i="21"/>
  <c r="BN107" i="21"/>
  <c r="BL107" i="21"/>
  <c r="BI107" i="21"/>
  <c r="BG107" i="21"/>
  <c r="BD107" i="21"/>
  <c r="BB107" i="21"/>
  <c r="AY107" i="21"/>
  <c r="AW107" i="21"/>
  <c r="AT107" i="21"/>
  <c r="BU107" i="21" s="1"/>
  <c r="BY107" i="21" s="1"/>
  <c r="AR107" i="21"/>
  <c r="BT107" i="21" s="1"/>
  <c r="AB107" i="21"/>
  <c r="W107" i="21"/>
  <c r="N107" i="21"/>
  <c r="L107" i="21"/>
  <c r="J107" i="21"/>
  <c r="CL106" i="21"/>
  <c r="CH106" i="21"/>
  <c r="CE106" i="21"/>
  <c r="BU106" i="21"/>
  <c r="BY106" i="21" s="1"/>
  <c r="CB106" i="21" s="1"/>
  <c r="BS106" i="21"/>
  <c r="BQ106" i="21"/>
  <c r="BN106" i="21"/>
  <c r="BL106" i="21"/>
  <c r="BI106" i="21"/>
  <c r="BG106" i="21"/>
  <c r="BD106" i="21"/>
  <c r="BB106" i="21"/>
  <c r="AY106" i="21"/>
  <c r="AW106" i="21"/>
  <c r="AT106" i="21"/>
  <c r="AR106" i="21"/>
  <c r="BT106" i="21" s="1"/>
  <c r="BV106" i="21" s="1"/>
  <c r="BW106" i="21" s="1"/>
  <c r="AB106" i="21"/>
  <c r="W106" i="21"/>
  <c r="CF106" i="21" s="1"/>
  <c r="N106" i="21"/>
  <c r="L106" i="21"/>
  <c r="J106" i="21"/>
  <c r="CL105" i="21"/>
  <c r="CH105" i="21"/>
  <c r="CF105" i="21"/>
  <c r="CE105" i="21"/>
  <c r="BS105" i="21"/>
  <c r="BQ105" i="21"/>
  <c r="BN105" i="21"/>
  <c r="BL105" i="21"/>
  <c r="BI105" i="21"/>
  <c r="BG105" i="21"/>
  <c r="BD105" i="21"/>
  <c r="BB105" i="21"/>
  <c r="AY105" i="21"/>
  <c r="AW105" i="21"/>
  <c r="AT105" i="21"/>
  <c r="BU105" i="21" s="1"/>
  <c r="BY105" i="21" s="1"/>
  <c r="CB105" i="21" s="1"/>
  <c r="AR105" i="21"/>
  <c r="BT105" i="21" s="1"/>
  <c r="BV105" i="21" s="1"/>
  <c r="BW105" i="21" s="1"/>
  <c r="AB105" i="21"/>
  <c r="W105" i="21"/>
  <c r="N105" i="21"/>
  <c r="L105" i="21"/>
  <c r="J105" i="21"/>
  <c r="CL104" i="21"/>
  <c r="CH104" i="21"/>
  <c r="CF104" i="21"/>
  <c r="CE104" i="21"/>
  <c r="BS104" i="21"/>
  <c r="BQ104" i="21"/>
  <c r="BN104" i="21"/>
  <c r="BL104" i="21"/>
  <c r="BI104" i="21"/>
  <c r="BG104" i="21"/>
  <c r="BD104" i="21"/>
  <c r="BB104" i="21"/>
  <c r="AY104" i="21"/>
  <c r="AW104" i="21"/>
  <c r="AT104" i="21"/>
  <c r="AR104" i="21"/>
  <c r="BT104" i="21" s="1"/>
  <c r="BV104" i="21" s="1"/>
  <c r="BW104" i="21" s="1"/>
  <c r="AB104" i="21"/>
  <c r="W104" i="21"/>
  <c r="N104" i="21"/>
  <c r="L104" i="21"/>
  <c r="J104" i="21"/>
  <c r="CL103" i="21"/>
  <c r="CH103" i="21"/>
  <c r="CE103" i="21"/>
  <c r="BS103" i="21"/>
  <c r="BQ103" i="21"/>
  <c r="BN103" i="21"/>
  <c r="BL103" i="21"/>
  <c r="BI103" i="21"/>
  <c r="BG103" i="21"/>
  <c r="BD103" i="21"/>
  <c r="BB103" i="21"/>
  <c r="AY103" i="21"/>
  <c r="AW103" i="21"/>
  <c r="AT103" i="21"/>
  <c r="BU103" i="21" s="1"/>
  <c r="BY103" i="21" s="1"/>
  <c r="AR103" i="21"/>
  <c r="AB103" i="21"/>
  <c r="W103" i="21"/>
  <c r="N103" i="21"/>
  <c r="L103" i="21"/>
  <c r="J103" i="21"/>
  <c r="CL102" i="21"/>
  <c r="CH102" i="21"/>
  <c r="CE102" i="21"/>
  <c r="BS102" i="21"/>
  <c r="BQ102" i="21"/>
  <c r="BN102" i="21"/>
  <c r="BL102" i="21"/>
  <c r="BI102" i="21"/>
  <c r="BG102" i="21"/>
  <c r="BD102" i="21"/>
  <c r="BB102" i="21"/>
  <c r="AY102" i="21"/>
  <c r="AW102" i="21"/>
  <c r="AT102" i="21"/>
  <c r="BU102" i="21" s="1"/>
  <c r="BY102" i="21" s="1"/>
  <c r="AR102" i="21"/>
  <c r="AB102" i="21"/>
  <c r="W102" i="21"/>
  <c r="N102" i="21"/>
  <c r="L102" i="21"/>
  <c r="J102" i="21"/>
  <c r="CL101" i="21"/>
  <c r="CH101" i="21"/>
  <c r="CF101" i="21"/>
  <c r="CE101" i="21"/>
  <c r="BS101" i="21"/>
  <c r="BQ101" i="21"/>
  <c r="BN101" i="21"/>
  <c r="BL101" i="21"/>
  <c r="BI101" i="21"/>
  <c r="BG101" i="21"/>
  <c r="BD101" i="21"/>
  <c r="BB101" i="21"/>
  <c r="AY101" i="21"/>
  <c r="AW101" i="21"/>
  <c r="AT101" i="21"/>
  <c r="BU101" i="21" s="1"/>
  <c r="BY101" i="21" s="1"/>
  <c r="AR101" i="21"/>
  <c r="BT101" i="21" s="1"/>
  <c r="BV101" i="21" s="1"/>
  <c r="BW101" i="21" s="1"/>
  <c r="AB101" i="21"/>
  <c r="W101" i="21"/>
  <c r="N101" i="21"/>
  <c r="L101" i="21"/>
  <c r="J101" i="21"/>
  <c r="CL100" i="21"/>
  <c r="CH100" i="21"/>
  <c r="CF100" i="21"/>
  <c r="CE100" i="21"/>
  <c r="BS100" i="21"/>
  <c r="BQ100" i="21"/>
  <c r="BN100" i="21"/>
  <c r="BL100" i="21"/>
  <c r="BI100" i="21"/>
  <c r="BG100" i="21"/>
  <c r="BD100" i="21"/>
  <c r="BB100" i="21"/>
  <c r="AY100" i="21"/>
  <c r="AW100" i="21"/>
  <c r="AT100" i="21"/>
  <c r="BU100" i="21" s="1"/>
  <c r="BY100" i="21" s="1"/>
  <c r="AR100" i="21"/>
  <c r="BT100" i="21" s="1"/>
  <c r="BV100" i="21" s="1"/>
  <c r="AB100" i="21"/>
  <c r="W100" i="21"/>
  <c r="CB100" i="21" s="1"/>
  <c r="N100" i="21"/>
  <c r="L100" i="21"/>
  <c r="J100" i="21"/>
  <c r="CL99" i="21"/>
  <c r="CH99" i="21"/>
  <c r="CF99" i="21"/>
  <c r="CE99" i="21"/>
  <c r="BS99" i="21"/>
  <c r="BQ99" i="21"/>
  <c r="BN99" i="21"/>
  <c r="BL99" i="21"/>
  <c r="BI99" i="21"/>
  <c r="BG99" i="21"/>
  <c r="BD99" i="21"/>
  <c r="BB99" i="21"/>
  <c r="AY99" i="21"/>
  <c r="AW99" i="21"/>
  <c r="AT99" i="21"/>
  <c r="BU99" i="21" s="1"/>
  <c r="BY99" i="21" s="1"/>
  <c r="CB99" i="21" s="1"/>
  <c r="AR99" i="21"/>
  <c r="BT99" i="21" s="1"/>
  <c r="BV99" i="21" s="1"/>
  <c r="AB99" i="21"/>
  <c r="W99" i="21"/>
  <c r="N99" i="21"/>
  <c r="L99" i="21"/>
  <c r="J99" i="21"/>
  <c r="CL98" i="21"/>
  <c r="CH98" i="21"/>
  <c r="CE98" i="21"/>
  <c r="BS98" i="21"/>
  <c r="BQ98" i="21"/>
  <c r="BN98" i="21"/>
  <c r="BL98" i="21"/>
  <c r="BI98" i="21"/>
  <c r="BG98" i="21"/>
  <c r="BD98" i="21"/>
  <c r="BB98" i="21"/>
  <c r="AY98" i="21"/>
  <c r="AW98" i="21"/>
  <c r="AT98" i="21"/>
  <c r="BU98" i="21" s="1"/>
  <c r="BY98" i="21" s="1"/>
  <c r="AR98" i="21"/>
  <c r="BT98" i="21" s="1"/>
  <c r="BV98" i="21" s="1"/>
  <c r="BW98" i="21" s="1"/>
  <c r="AB98" i="21"/>
  <c r="W98" i="21"/>
  <c r="N98" i="21"/>
  <c r="L98" i="21"/>
  <c r="J98" i="21"/>
  <c r="CL97" i="21"/>
  <c r="CH97" i="21"/>
  <c r="CE97" i="21"/>
  <c r="BS97" i="21"/>
  <c r="BQ97" i="21"/>
  <c r="BN97" i="21"/>
  <c r="BL97" i="21"/>
  <c r="BI97" i="21"/>
  <c r="BG97" i="21"/>
  <c r="BD97" i="21"/>
  <c r="BB97" i="21"/>
  <c r="AY97" i="21"/>
  <c r="AW97" i="21"/>
  <c r="AT97" i="21"/>
  <c r="BU97" i="21" s="1"/>
  <c r="BY97" i="21" s="1"/>
  <c r="AR97" i="21"/>
  <c r="AB97" i="21"/>
  <c r="W97" i="21"/>
  <c r="N97" i="21"/>
  <c r="L97" i="21"/>
  <c r="J97" i="21"/>
  <c r="CL96" i="21"/>
  <c r="CH96" i="21"/>
  <c r="CF96" i="21"/>
  <c r="CE96" i="21"/>
  <c r="BS96" i="21"/>
  <c r="BQ96" i="21"/>
  <c r="BN96" i="21"/>
  <c r="BL96" i="21"/>
  <c r="BI96" i="21"/>
  <c r="BG96" i="21"/>
  <c r="BD96" i="21"/>
  <c r="BB96" i="21"/>
  <c r="AY96" i="21"/>
  <c r="AW96" i="21"/>
  <c r="AT96" i="21"/>
  <c r="BU96" i="21" s="1"/>
  <c r="BY96" i="21" s="1"/>
  <c r="CB96" i="21" s="1"/>
  <c r="AR96" i="21"/>
  <c r="AB96" i="21"/>
  <c r="W96" i="21"/>
  <c r="N96" i="21"/>
  <c r="L96" i="21"/>
  <c r="J96" i="21"/>
  <c r="CL95" i="21"/>
  <c r="CH95" i="21"/>
  <c r="CF95" i="21"/>
  <c r="CE95" i="21"/>
  <c r="BS95" i="21"/>
  <c r="BQ95" i="21"/>
  <c r="BN95" i="21"/>
  <c r="BL95" i="21"/>
  <c r="BI95" i="21"/>
  <c r="BG95" i="21"/>
  <c r="BD95" i="21"/>
  <c r="BB95" i="21"/>
  <c r="AY95" i="21"/>
  <c r="AW95" i="21"/>
  <c r="AT95" i="21"/>
  <c r="BU95" i="21" s="1"/>
  <c r="BY95" i="21" s="1"/>
  <c r="AR95" i="21"/>
  <c r="AB95" i="21"/>
  <c r="W95" i="21"/>
  <c r="N95" i="21"/>
  <c r="L95" i="21"/>
  <c r="J95" i="21"/>
  <c r="CL94" i="21"/>
  <c r="CH94" i="21"/>
  <c r="CE94" i="21"/>
  <c r="BU94" i="21"/>
  <c r="BY94" i="21" s="1"/>
  <c r="CB94" i="21" s="1"/>
  <c r="BS94" i="21"/>
  <c r="BQ94" i="21"/>
  <c r="BN94" i="21"/>
  <c r="BL94" i="21"/>
  <c r="BI94" i="21"/>
  <c r="BG94" i="21"/>
  <c r="BD94" i="21"/>
  <c r="BB94" i="21"/>
  <c r="AY94" i="21"/>
  <c r="AW94" i="21"/>
  <c r="AT94" i="21"/>
  <c r="AR94" i="21"/>
  <c r="BT94" i="21" s="1"/>
  <c r="BV94" i="21" s="1"/>
  <c r="BW94" i="21" s="1"/>
  <c r="AB94" i="21"/>
  <c r="W94" i="21"/>
  <c r="CF94" i="21" s="1"/>
  <c r="N94" i="21"/>
  <c r="L94" i="21"/>
  <c r="J94" i="21"/>
  <c r="CL93" i="21"/>
  <c r="CH93" i="21"/>
  <c r="CF93" i="21"/>
  <c r="CE93" i="21"/>
  <c r="BS93" i="21"/>
  <c r="BQ93" i="21"/>
  <c r="BN93" i="21"/>
  <c r="BL93" i="21"/>
  <c r="BI93" i="21"/>
  <c r="BG93" i="21"/>
  <c r="BD93" i="21"/>
  <c r="BB93" i="21"/>
  <c r="AY93" i="21"/>
  <c r="AW93" i="21"/>
  <c r="AT93" i="21"/>
  <c r="BU93" i="21" s="1"/>
  <c r="BY93" i="21" s="1"/>
  <c r="CB93" i="21" s="1"/>
  <c r="AR93" i="21"/>
  <c r="BT93" i="21" s="1"/>
  <c r="BV93" i="21" s="1"/>
  <c r="BW93" i="21" s="1"/>
  <c r="AB93" i="21"/>
  <c r="W93" i="21"/>
  <c r="N93" i="21"/>
  <c r="L93" i="21"/>
  <c r="J93" i="21"/>
  <c r="CL92" i="21"/>
  <c r="CH92" i="21"/>
  <c r="CF92" i="21"/>
  <c r="CE92" i="21"/>
  <c r="BS92" i="21"/>
  <c r="BQ92" i="21"/>
  <c r="BN92" i="21"/>
  <c r="BL92" i="21"/>
  <c r="BI92" i="21"/>
  <c r="BG92" i="21"/>
  <c r="BD92" i="21"/>
  <c r="BB92" i="21"/>
  <c r="AY92" i="21"/>
  <c r="AW92" i="21"/>
  <c r="AT92" i="21"/>
  <c r="AR92" i="21"/>
  <c r="BT92" i="21" s="1"/>
  <c r="BV92" i="21" s="1"/>
  <c r="AB92" i="21"/>
  <c r="W92" i="21"/>
  <c r="N92" i="21"/>
  <c r="L92" i="21"/>
  <c r="J92" i="21"/>
  <c r="CL91" i="21"/>
  <c r="CH91" i="21"/>
  <c r="CE91" i="21"/>
  <c r="BS91" i="21"/>
  <c r="BQ91" i="21"/>
  <c r="BN91" i="21"/>
  <c r="BL91" i="21"/>
  <c r="BI91" i="21"/>
  <c r="BG91" i="21"/>
  <c r="BD91" i="21"/>
  <c r="BB91" i="21"/>
  <c r="AY91" i="21"/>
  <c r="AW91" i="21"/>
  <c r="AT91" i="21"/>
  <c r="AR91" i="21"/>
  <c r="AB91" i="21"/>
  <c r="W91" i="21"/>
  <c r="N91" i="21"/>
  <c r="L91" i="21"/>
  <c r="J91" i="21"/>
  <c r="CL90" i="21"/>
  <c r="CH90" i="21"/>
  <c r="CE90" i="21"/>
  <c r="BS90" i="21"/>
  <c r="BQ90" i="21"/>
  <c r="BN90" i="21"/>
  <c r="BL90" i="21"/>
  <c r="BI90" i="21"/>
  <c r="BG90" i="21"/>
  <c r="BD90" i="21"/>
  <c r="BB90" i="21"/>
  <c r="AY90" i="21"/>
  <c r="AW90" i="21"/>
  <c r="AT90" i="21"/>
  <c r="AR90" i="21"/>
  <c r="BT90" i="21" s="1"/>
  <c r="BV90" i="21" s="1"/>
  <c r="BW90" i="21" s="1"/>
  <c r="AB90" i="21"/>
  <c r="W90" i="21"/>
  <c r="N90" i="21"/>
  <c r="L90" i="21"/>
  <c r="J90" i="21"/>
  <c r="CL89" i="21"/>
  <c r="CH89" i="21"/>
  <c r="CF89" i="21"/>
  <c r="CE89" i="21"/>
  <c r="BS89" i="21"/>
  <c r="BQ89" i="21"/>
  <c r="BN89" i="21"/>
  <c r="BL89" i="21"/>
  <c r="BI89" i="21"/>
  <c r="BG89" i="21"/>
  <c r="BD89" i="21"/>
  <c r="BB89" i="21"/>
  <c r="AY89" i="21"/>
  <c r="AW89" i="21"/>
  <c r="AT89" i="21"/>
  <c r="AR89" i="21"/>
  <c r="AB89" i="21"/>
  <c r="W89" i="21"/>
  <c r="N89" i="21"/>
  <c r="L89" i="21"/>
  <c r="J89" i="21"/>
  <c r="CL88" i="21"/>
  <c r="CH88" i="21"/>
  <c r="CF88" i="21"/>
  <c r="CE88" i="21"/>
  <c r="BU88" i="21"/>
  <c r="BY88" i="21" s="1"/>
  <c r="BS88" i="21"/>
  <c r="BQ88" i="21"/>
  <c r="BN88" i="21"/>
  <c r="BL88" i="21"/>
  <c r="BI88" i="21"/>
  <c r="BG88" i="21"/>
  <c r="BD88" i="21"/>
  <c r="BB88" i="21"/>
  <c r="AY88" i="21"/>
  <c r="AW88" i="21"/>
  <c r="AT88" i="21"/>
  <c r="AR88" i="21"/>
  <c r="BT88" i="21" s="1"/>
  <c r="BV88" i="21" s="1"/>
  <c r="AB88" i="21"/>
  <c r="W88" i="21"/>
  <c r="N88" i="21"/>
  <c r="L88" i="21"/>
  <c r="J88" i="21"/>
  <c r="CL87" i="21"/>
  <c r="CH87" i="21"/>
  <c r="CF87" i="21"/>
  <c r="CE87" i="21"/>
  <c r="BS87" i="21"/>
  <c r="BQ87" i="21"/>
  <c r="BN87" i="21"/>
  <c r="BL87" i="21"/>
  <c r="BI87" i="21"/>
  <c r="BG87" i="21"/>
  <c r="BD87" i="21"/>
  <c r="BB87" i="21"/>
  <c r="AY87" i="21"/>
  <c r="AW87" i="21"/>
  <c r="AT87" i="21"/>
  <c r="BU87" i="21" s="1"/>
  <c r="BY87" i="21" s="1"/>
  <c r="CB87" i="21" s="1"/>
  <c r="AR87" i="21"/>
  <c r="BT87" i="21" s="1"/>
  <c r="BV87" i="21" s="1"/>
  <c r="BW87" i="21" s="1"/>
  <c r="AB87" i="21"/>
  <c r="W87" i="21"/>
  <c r="N87" i="21"/>
  <c r="L87" i="21"/>
  <c r="J87" i="21"/>
  <c r="CL86" i="21"/>
  <c r="CH86" i="21"/>
  <c r="CE86" i="21"/>
  <c r="BS86" i="21"/>
  <c r="BQ86" i="21"/>
  <c r="BN86" i="21"/>
  <c r="BL86" i="21"/>
  <c r="BI86" i="21"/>
  <c r="BG86" i="21"/>
  <c r="BD86" i="21"/>
  <c r="BB86" i="21"/>
  <c r="AY86" i="21"/>
  <c r="AW86" i="21"/>
  <c r="AT86" i="21"/>
  <c r="BU86" i="21" s="1"/>
  <c r="BY86" i="21" s="1"/>
  <c r="CB86" i="21" s="1"/>
  <c r="AR86" i="21"/>
  <c r="BT86" i="21" s="1"/>
  <c r="BV86" i="21" s="1"/>
  <c r="BW86" i="21" s="1"/>
  <c r="AB86" i="21"/>
  <c r="W86" i="21"/>
  <c r="CF86" i="21" s="1"/>
  <c r="N86" i="21"/>
  <c r="L86" i="21"/>
  <c r="J86" i="21"/>
  <c r="CL85" i="21"/>
  <c r="CH85" i="21"/>
  <c r="CE85" i="21"/>
  <c r="BS85" i="21"/>
  <c r="BQ85" i="21"/>
  <c r="BN85" i="21"/>
  <c r="BL85" i="21"/>
  <c r="BI85" i="21"/>
  <c r="BG85" i="21"/>
  <c r="BD85" i="21"/>
  <c r="BB85" i="21"/>
  <c r="AY85" i="21"/>
  <c r="AW85" i="21"/>
  <c r="AT85" i="21"/>
  <c r="AR85" i="21"/>
  <c r="BT85" i="21" s="1"/>
  <c r="BV85" i="21" s="1"/>
  <c r="BW85" i="21" s="1"/>
  <c r="AB85" i="21"/>
  <c r="W85" i="21"/>
  <c r="N85" i="21"/>
  <c r="L85" i="21"/>
  <c r="J85" i="21"/>
  <c r="CL84" i="21"/>
  <c r="CH84" i="21"/>
  <c r="CF84" i="21"/>
  <c r="CE84" i="21"/>
  <c r="BS84" i="21"/>
  <c r="BQ84" i="21"/>
  <c r="BN84" i="21"/>
  <c r="BL84" i="21"/>
  <c r="BI84" i="21"/>
  <c r="BG84" i="21"/>
  <c r="BD84" i="21"/>
  <c r="BB84" i="21"/>
  <c r="AY84" i="21"/>
  <c r="AW84" i="21"/>
  <c r="AT84" i="21"/>
  <c r="AR84" i="21"/>
  <c r="BT84" i="21" s="1"/>
  <c r="BV84" i="21" s="1"/>
  <c r="CA84" i="21" s="1"/>
  <c r="CG84" i="21" s="1"/>
  <c r="AB84" i="21"/>
  <c r="W84" i="21"/>
  <c r="N84" i="21"/>
  <c r="L84" i="21"/>
  <c r="J84" i="21"/>
  <c r="CL83" i="21"/>
  <c r="CH83" i="21"/>
  <c r="CF83" i="21"/>
  <c r="CE83" i="21"/>
  <c r="BU83" i="21"/>
  <c r="BY83" i="21" s="1"/>
  <c r="BS83" i="21"/>
  <c r="BQ83" i="21"/>
  <c r="BN83" i="21"/>
  <c r="BL83" i="21"/>
  <c r="BI83" i="21"/>
  <c r="BG83" i="21"/>
  <c r="BD83" i="21"/>
  <c r="BB83" i="21"/>
  <c r="AY83" i="21"/>
  <c r="AW83" i="21"/>
  <c r="AT83" i="21"/>
  <c r="AR83" i="21"/>
  <c r="BT83" i="21" s="1"/>
  <c r="BV83" i="21" s="1"/>
  <c r="AB83" i="21"/>
  <c r="W83" i="21"/>
  <c r="N83" i="21"/>
  <c r="L83" i="21"/>
  <c r="J83" i="21"/>
  <c r="CL82" i="21"/>
  <c r="CH82" i="21"/>
  <c r="CE82" i="21"/>
  <c r="BS82" i="21"/>
  <c r="BQ82" i="21"/>
  <c r="BN82" i="21"/>
  <c r="BL82" i="21"/>
  <c r="BI82" i="21"/>
  <c r="BG82" i="21"/>
  <c r="BD82" i="21"/>
  <c r="BB82" i="21"/>
  <c r="AY82" i="21"/>
  <c r="AW82" i="21"/>
  <c r="AT82" i="21"/>
  <c r="BU82" i="21" s="1"/>
  <c r="BY82" i="21" s="1"/>
  <c r="CB82" i="21" s="1"/>
  <c r="AR82" i="21"/>
  <c r="AB82" i="21"/>
  <c r="W82" i="21"/>
  <c r="CF82" i="21" s="1"/>
  <c r="N82" i="21"/>
  <c r="L82" i="21"/>
  <c r="J82" i="21"/>
  <c r="CL81" i="21"/>
  <c r="CH81" i="21"/>
  <c r="CF81" i="21"/>
  <c r="CE81" i="21"/>
  <c r="BS81" i="21"/>
  <c r="BQ81" i="21"/>
  <c r="BN81" i="21"/>
  <c r="BL81" i="21"/>
  <c r="BI81" i="21"/>
  <c r="BG81" i="21"/>
  <c r="BD81" i="21"/>
  <c r="BB81" i="21"/>
  <c r="AY81" i="21"/>
  <c r="AW81" i="21"/>
  <c r="AT81" i="21"/>
  <c r="BU81" i="21" s="1"/>
  <c r="BY81" i="21" s="1"/>
  <c r="CB81" i="21" s="1"/>
  <c r="AR81" i="21"/>
  <c r="BT81" i="21" s="1"/>
  <c r="BV81" i="21" s="1"/>
  <c r="BW81" i="21" s="1"/>
  <c r="AB81" i="21"/>
  <c r="W81" i="21"/>
  <c r="CA81" i="21" s="1"/>
  <c r="CG81" i="21" s="1"/>
  <c r="N81" i="21"/>
  <c r="L81" i="21"/>
  <c r="J81" i="21"/>
  <c r="CL80" i="21"/>
  <c r="CH80" i="21"/>
  <c r="CF80" i="21"/>
  <c r="CE80" i="21"/>
  <c r="BS80" i="21"/>
  <c r="BQ80" i="21"/>
  <c r="BN80" i="21"/>
  <c r="BL80" i="21"/>
  <c r="BI80" i="21"/>
  <c r="BG80" i="21"/>
  <c r="BD80" i="21"/>
  <c r="BB80" i="21"/>
  <c r="AY80" i="21"/>
  <c r="AW80" i="21"/>
  <c r="AT80" i="21"/>
  <c r="AR80" i="21"/>
  <c r="BT80" i="21" s="1"/>
  <c r="BV80" i="21" s="1"/>
  <c r="AB80" i="21"/>
  <c r="W80" i="21"/>
  <c r="N80" i="21"/>
  <c r="L80" i="21"/>
  <c r="J80" i="21"/>
  <c r="CL79" i="21"/>
  <c r="CH79" i="21"/>
  <c r="CE79" i="21"/>
  <c r="BS79" i="21"/>
  <c r="BQ79" i="21"/>
  <c r="BN79" i="21"/>
  <c r="BL79" i="21"/>
  <c r="BI79" i="21"/>
  <c r="BG79" i="21"/>
  <c r="BD79" i="21"/>
  <c r="BB79" i="21"/>
  <c r="AY79" i="21"/>
  <c r="AW79" i="21"/>
  <c r="AT79" i="21"/>
  <c r="BU79" i="21" s="1"/>
  <c r="BY79" i="21" s="1"/>
  <c r="AR79" i="21"/>
  <c r="AB79" i="21"/>
  <c r="W79" i="21"/>
  <c r="N79" i="21"/>
  <c r="L79" i="21"/>
  <c r="J79" i="21"/>
  <c r="CL78" i="21"/>
  <c r="CH78" i="21"/>
  <c r="CE78" i="21"/>
  <c r="BS78" i="21"/>
  <c r="BQ78" i="21"/>
  <c r="BN78" i="21"/>
  <c r="BL78" i="21"/>
  <c r="BI78" i="21"/>
  <c r="BG78" i="21"/>
  <c r="BD78" i="21"/>
  <c r="BB78" i="21"/>
  <c r="AY78" i="21"/>
  <c r="AW78" i="21"/>
  <c r="AT78" i="21"/>
  <c r="AR78" i="21"/>
  <c r="BT78" i="21" s="1"/>
  <c r="BV78" i="21" s="1"/>
  <c r="BW78" i="21" s="1"/>
  <c r="AB78" i="21"/>
  <c r="W78" i="21"/>
  <c r="N78" i="21"/>
  <c r="L78" i="21"/>
  <c r="J78" i="21"/>
  <c r="CL77" i="21"/>
  <c r="CH77" i="21"/>
  <c r="CF77" i="21"/>
  <c r="CE77" i="21"/>
  <c r="BS77" i="21"/>
  <c r="BQ77" i="21"/>
  <c r="BN77" i="21"/>
  <c r="BL77" i="21"/>
  <c r="BI77" i="21"/>
  <c r="BG77" i="21"/>
  <c r="BD77" i="21"/>
  <c r="BB77" i="21"/>
  <c r="AY77" i="21"/>
  <c r="AW77" i="21"/>
  <c r="AT77" i="21"/>
  <c r="AR77" i="21"/>
  <c r="AB77" i="21"/>
  <c r="W77" i="21"/>
  <c r="N77" i="21"/>
  <c r="L77" i="21"/>
  <c r="J77" i="21"/>
  <c r="CL76" i="21"/>
  <c r="CH76" i="21"/>
  <c r="CF76" i="21"/>
  <c r="CE76" i="21"/>
  <c r="BS76" i="21"/>
  <c r="BQ76" i="21"/>
  <c r="BN76" i="21"/>
  <c r="BL76" i="21"/>
  <c r="BI76" i="21"/>
  <c r="BG76" i="21"/>
  <c r="BD76" i="21"/>
  <c r="BB76" i="21"/>
  <c r="AY76" i="21"/>
  <c r="AW76" i="21"/>
  <c r="AT76" i="21"/>
  <c r="BU76" i="21" s="1"/>
  <c r="BY76" i="21" s="1"/>
  <c r="AR76" i="21"/>
  <c r="BT76" i="21" s="1"/>
  <c r="BV76" i="21" s="1"/>
  <c r="AB76" i="21"/>
  <c r="W76" i="21"/>
  <c r="N76" i="21"/>
  <c r="L76" i="21"/>
  <c r="J76" i="21"/>
  <c r="CL75" i="21"/>
  <c r="CH75" i="21"/>
  <c r="CF75" i="21"/>
  <c r="CE75" i="21"/>
  <c r="BS75" i="21"/>
  <c r="BQ75" i="21"/>
  <c r="BN75" i="21"/>
  <c r="BL75" i="21"/>
  <c r="BI75" i="21"/>
  <c r="BG75" i="21"/>
  <c r="BD75" i="21"/>
  <c r="BB75" i="21"/>
  <c r="AY75" i="21"/>
  <c r="AW75" i="21"/>
  <c r="AT75" i="21"/>
  <c r="BU75" i="21" s="1"/>
  <c r="BY75" i="21" s="1"/>
  <c r="CB75" i="21" s="1"/>
  <c r="AR75" i="21"/>
  <c r="BT75" i="21" s="1"/>
  <c r="BV75" i="21" s="1"/>
  <c r="AB75" i="21"/>
  <c r="W75" i="21"/>
  <c r="N75" i="21"/>
  <c r="L75" i="21"/>
  <c r="J75" i="21"/>
  <c r="CL74" i="21"/>
  <c r="CH74" i="21"/>
  <c r="CE74" i="21"/>
  <c r="BS74" i="21"/>
  <c r="BQ74" i="21"/>
  <c r="BN74" i="21"/>
  <c r="BL74" i="21"/>
  <c r="BI74" i="21"/>
  <c r="BG74" i="21"/>
  <c r="BD74" i="21"/>
  <c r="BB74" i="21"/>
  <c r="AY74" i="21"/>
  <c r="AW74" i="21"/>
  <c r="AT74" i="21"/>
  <c r="AR74" i="21"/>
  <c r="BT74" i="21" s="1"/>
  <c r="BV74" i="21" s="1"/>
  <c r="BW74" i="21" s="1"/>
  <c r="AB74" i="21"/>
  <c r="W74" i="21"/>
  <c r="CF74" i="21" s="1"/>
  <c r="N74" i="21"/>
  <c r="L74" i="21"/>
  <c r="J74" i="21"/>
  <c r="CL73" i="21"/>
  <c r="CH73" i="21"/>
  <c r="CE73" i="21"/>
  <c r="BS73" i="21"/>
  <c r="BQ73" i="21"/>
  <c r="BN73" i="21"/>
  <c r="BL73" i="21"/>
  <c r="BI73" i="21"/>
  <c r="BG73" i="21"/>
  <c r="BD73" i="21"/>
  <c r="BB73" i="21"/>
  <c r="AY73" i="21"/>
  <c r="AW73" i="21"/>
  <c r="AT73" i="21"/>
  <c r="AR73" i="21"/>
  <c r="AB73" i="21"/>
  <c r="W73" i="21"/>
  <c r="N73" i="21"/>
  <c r="L73" i="21"/>
  <c r="J73" i="21"/>
  <c r="CL72" i="21"/>
  <c r="CH72" i="21"/>
  <c r="CF72" i="21"/>
  <c r="CE72" i="21"/>
  <c r="BS72" i="21"/>
  <c r="BQ72" i="21"/>
  <c r="BN72" i="21"/>
  <c r="BL72" i="21"/>
  <c r="BI72" i="21"/>
  <c r="BG72" i="21"/>
  <c r="BD72" i="21"/>
  <c r="BB72" i="21"/>
  <c r="AY72" i="21"/>
  <c r="AW72" i="21"/>
  <c r="AT72" i="21"/>
  <c r="BU72" i="21" s="1"/>
  <c r="BY72" i="21" s="1"/>
  <c r="CB72" i="21" s="1"/>
  <c r="AR72" i="21"/>
  <c r="AB72" i="21"/>
  <c r="W72" i="21"/>
  <c r="N72" i="21"/>
  <c r="L72" i="21"/>
  <c r="J72" i="21"/>
  <c r="CL71" i="21"/>
  <c r="CH71" i="21"/>
  <c r="CF71" i="21"/>
  <c r="CE71" i="21"/>
  <c r="BS71" i="21"/>
  <c r="BQ71" i="21"/>
  <c r="BN71" i="21"/>
  <c r="BL71" i="21"/>
  <c r="BI71" i="21"/>
  <c r="BG71" i="21"/>
  <c r="BD71" i="21"/>
  <c r="BB71" i="21"/>
  <c r="AY71" i="21"/>
  <c r="AW71" i="21"/>
  <c r="AT71" i="21"/>
  <c r="BU71" i="21" s="1"/>
  <c r="BY71" i="21" s="1"/>
  <c r="AR71" i="21"/>
  <c r="AB71" i="21"/>
  <c r="W71" i="21"/>
  <c r="N71" i="21"/>
  <c r="L71" i="21"/>
  <c r="J71" i="21"/>
  <c r="CL70" i="21"/>
  <c r="CH70" i="21"/>
  <c r="CE70" i="21"/>
  <c r="CB70" i="21"/>
  <c r="BU70" i="21"/>
  <c r="BY70" i="21" s="1"/>
  <c r="BS70" i="21"/>
  <c r="BQ70" i="21"/>
  <c r="BN70" i="21"/>
  <c r="BL70" i="21"/>
  <c r="BI70" i="21"/>
  <c r="BG70" i="21"/>
  <c r="BD70" i="21"/>
  <c r="BB70" i="21"/>
  <c r="AY70" i="21"/>
  <c r="AW70" i="21"/>
  <c r="AT70" i="21"/>
  <c r="AR70" i="21"/>
  <c r="AB70" i="21"/>
  <c r="W70" i="21"/>
  <c r="N70" i="21"/>
  <c r="L70" i="21"/>
  <c r="J70" i="21"/>
  <c r="CL69" i="21"/>
  <c r="CH69" i="21"/>
  <c r="CF69" i="21"/>
  <c r="CE69" i="21"/>
  <c r="CB69" i="21"/>
  <c r="BS69" i="21"/>
  <c r="BQ69" i="21"/>
  <c r="BN69" i="21"/>
  <c r="BL69" i="21"/>
  <c r="BI69" i="21"/>
  <c r="BG69" i="21"/>
  <c r="BD69" i="21"/>
  <c r="BB69" i="21"/>
  <c r="AY69" i="21"/>
  <c r="AW69" i="21"/>
  <c r="AT69" i="21"/>
  <c r="BU69" i="21" s="1"/>
  <c r="BY69" i="21" s="1"/>
  <c r="AR69" i="21"/>
  <c r="BT69" i="21" s="1"/>
  <c r="BV69" i="21" s="1"/>
  <c r="BW69" i="21" s="1"/>
  <c r="AB69" i="21"/>
  <c r="W69" i="21"/>
  <c r="N69" i="21"/>
  <c r="L69" i="21"/>
  <c r="J69" i="21"/>
  <c r="CL68" i="21"/>
  <c r="CH68" i="21"/>
  <c r="CF68" i="21"/>
  <c r="CE68" i="21"/>
  <c r="BS68" i="21"/>
  <c r="BQ68" i="21"/>
  <c r="BN68" i="21"/>
  <c r="BL68" i="21"/>
  <c r="BI68" i="21"/>
  <c r="BG68" i="21"/>
  <c r="BD68" i="21"/>
  <c r="BB68" i="21"/>
  <c r="AY68" i="21"/>
  <c r="AW68" i="21"/>
  <c r="AT68" i="21"/>
  <c r="BU68" i="21" s="1"/>
  <c r="BY68" i="21" s="1"/>
  <c r="AR68" i="21"/>
  <c r="BT68" i="21" s="1"/>
  <c r="BV68" i="21" s="1"/>
  <c r="AB68" i="21"/>
  <c r="W68" i="21"/>
  <c r="N68" i="21"/>
  <c r="L68" i="21"/>
  <c r="J68" i="21"/>
  <c r="CL67" i="21"/>
  <c r="CH67" i="21"/>
  <c r="CE67" i="21"/>
  <c r="BS67" i="21"/>
  <c r="BQ67" i="21"/>
  <c r="BN67" i="21"/>
  <c r="BL67" i="21"/>
  <c r="BI67" i="21"/>
  <c r="BG67" i="21"/>
  <c r="BD67" i="21"/>
  <c r="BB67" i="21"/>
  <c r="AY67" i="21"/>
  <c r="AW67" i="21"/>
  <c r="AT67" i="21"/>
  <c r="BU67" i="21" s="1"/>
  <c r="BY67" i="21" s="1"/>
  <c r="AR67" i="21"/>
  <c r="BT67" i="21" s="1"/>
  <c r="BV67" i="21" s="1"/>
  <c r="BW67" i="21" s="1"/>
  <c r="AB67" i="21"/>
  <c r="W67" i="21"/>
  <c r="N67" i="21"/>
  <c r="L67" i="21"/>
  <c r="J67" i="21"/>
  <c r="CL66" i="21"/>
  <c r="CH66" i="21"/>
  <c r="CE66" i="21"/>
  <c r="CB66" i="21"/>
  <c r="BS66" i="21"/>
  <c r="BQ66" i="21"/>
  <c r="BN66" i="21"/>
  <c r="BL66" i="21"/>
  <c r="BI66" i="21"/>
  <c r="BG66" i="21"/>
  <c r="BD66" i="21"/>
  <c r="BB66" i="21"/>
  <c r="AY66" i="21"/>
  <c r="AW66" i="21"/>
  <c r="AT66" i="21"/>
  <c r="BU66" i="21" s="1"/>
  <c r="BY66" i="21" s="1"/>
  <c r="AR66" i="21"/>
  <c r="BT66" i="21" s="1"/>
  <c r="BV66" i="21" s="1"/>
  <c r="BW66" i="21" s="1"/>
  <c r="AB66" i="21"/>
  <c r="W66" i="21"/>
  <c r="N66" i="21"/>
  <c r="L66" i="21"/>
  <c r="J66" i="21"/>
  <c r="CL65" i="21"/>
  <c r="CH65" i="21"/>
  <c r="CF65" i="21"/>
  <c r="CE65" i="21"/>
  <c r="BS65" i="21"/>
  <c r="BQ65" i="21"/>
  <c r="BN65" i="21"/>
  <c r="BL65" i="21"/>
  <c r="BI65" i="21"/>
  <c r="BG65" i="21"/>
  <c r="BD65" i="21"/>
  <c r="BB65" i="21"/>
  <c r="AY65" i="21"/>
  <c r="AW65" i="21"/>
  <c r="AT65" i="21"/>
  <c r="BU65" i="21" s="1"/>
  <c r="BY65" i="21" s="1"/>
  <c r="AR65" i="21"/>
  <c r="BT65" i="21" s="1"/>
  <c r="BV65" i="21" s="1"/>
  <c r="BW65" i="21" s="1"/>
  <c r="AB65" i="21"/>
  <c r="W65" i="21"/>
  <c r="N65" i="21"/>
  <c r="L65" i="21"/>
  <c r="J65" i="21"/>
  <c r="CL64" i="21"/>
  <c r="CH64" i="21"/>
  <c r="CF64" i="21"/>
  <c r="CE64" i="21"/>
  <c r="BS64" i="21"/>
  <c r="BQ64" i="21"/>
  <c r="BN64" i="21"/>
  <c r="BL64" i="21"/>
  <c r="BI64" i="21"/>
  <c r="BG64" i="21"/>
  <c r="BD64" i="21"/>
  <c r="BB64" i="21"/>
  <c r="AY64" i="21"/>
  <c r="AW64" i="21"/>
  <c r="AT64" i="21"/>
  <c r="BU64" i="21" s="1"/>
  <c r="BY64" i="21" s="1"/>
  <c r="AR64" i="21"/>
  <c r="BT64" i="21" s="1"/>
  <c r="BV64" i="21" s="1"/>
  <c r="AB64" i="21"/>
  <c r="W64" i="21"/>
  <c r="N64" i="21"/>
  <c r="L64" i="21"/>
  <c r="J64" i="21"/>
  <c r="CL63" i="21"/>
  <c r="CH63" i="21"/>
  <c r="CF63" i="21"/>
  <c r="CE63" i="21"/>
  <c r="BU63" i="21"/>
  <c r="BY63" i="21" s="1"/>
  <c r="CB63" i="21" s="1"/>
  <c r="BS63" i="21"/>
  <c r="BQ63" i="21"/>
  <c r="BN63" i="21"/>
  <c r="BL63" i="21"/>
  <c r="BI63" i="21"/>
  <c r="BG63" i="21"/>
  <c r="BD63" i="21"/>
  <c r="BB63" i="21"/>
  <c r="AY63" i="21"/>
  <c r="AW63" i="21"/>
  <c r="AT63" i="21"/>
  <c r="AR63" i="21"/>
  <c r="BT63" i="21" s="1"/>
  <c r="BV63" i="21" s="1"/>
  <c r="BW63" i="21" s="1"/>
  <c r="AB63" i="21"/>
  <c r="W63" i="21"/>
  <c r="N63" i="21"/>
  <c r="L63" i="21"/>
  <c r="J63" i="21"/>
  <c r="CL62" i="21"/>
  <c r="CH62" i="21"/>
  <c r="CE62" i="21"/>
  <c r="CB62" i="21"/>
  <c r="BS62" i="21"/>
  <c r="BQ62" i="21"/>
  <c r="BN62" i="21"/>
  <c r="BL62" i="21"/>
  <c r="BI62" i="21"/>
  <c r="BG62" i="21"/>
  <c r="BD62" i="21"/>
  <c r="BB62" i="21"/>
  <c r="AY62" i="21"/>
  <c r="AW62" i="21"/>
  <c r="AT62" i="21"/>
  <c r="BU62" i="21" s="1"/>
  <c r="BY62" i="21" s="1"/>
  <c r="AR62" i="21"/>
  <c r="AB62" i="21"/>
  <c r="W62" i="21"/>
  <c r="CF62" i="21" s="1"/>
  <c r="N62" i="21"/>
  <c r="L62" i="21"/>
  <c r="J62" i="21"/>
  <c r="CL61" i="21"/>
  <c r="CH61" i="21"/>
  <c r="CE61" i="21"/>
  <c r="BS61" i="21"/>
  <c r="BQ61" i="21"/>
  <c r="BN61" i="21"/>
  <c r="BL61" i="21"/>
  <c r="BI61" i="21"/>
  <c r="BG61" i="21"/>
  <c r="BD61" i="21"/>
  <c r="BB61" i="21"/>
  <c r="AY61" i="21"/>
  <c r="AW61" i="21"/>
  <c r="AT61" i="21"/>
  <c r="AR61" i="21"/>
  <c r="BT61" i="21" s="1"/>
  <c r="BV61" i="21" s="1"/>
  <c r="BW61" i="21" s="1"/>
  <c r="AB61" i="21"/>
  <c r="W61" i="21"/>
  <c r="N61" i="21"/>
  <c r="L61" i="21"/>
  <c r="J61" i="21"/>
  <c r="CL60" i="21"/>
  <c r="CH60" i="21"/>
  <c r="CF60" i="21"/>
  <c r="CE60" i="21"/>
  <c r="BS60" i="21"/>
  <c r="BQ60" i="21"/>
  <c r="BN60" i="21"/>
  <c r="BL60" i="21"/>
  <c r="BI60" i="21"/>
  <c r="BG60" i="21"/>
  <c r="BD60" i="21"/>
  <c r="BB60" i="21"/>
  <c r="AY60" i="21"/>
  <c r="AW60" i="21"/>
  <c r="AT60" i="21"/>
  <c r="BU60" i="21" s="1"/>
  <c r="BY60" i="21" s="1"/>
  <c r="AR60" i="21"/>
  <c r="BT60" i="21" s="1"/>
  <c r="BV60" i="21" s="1"/>
  <c r="CA60" i="21" s="1"/>
  <c r="CG60" i="21" s="1"/>
  <c r="AB60" i="21"/>
  <c r="W60" i="21"/>
  <c r="N60" i="21"/>
  <c r="L60" i="21"/>
  <c r="J60" i="21"/>
  <c r="CL59" i="21"/>
  <c r="CH59" i="21"/>
  <c r="CE59" i="21"/>
  <c r="BY59" i="21"/>
  <c r="BS59" i="21"/>
  <c r="BQ59" i="21"/>
  <c r="BN59" i="21"/>
  <c r="BL59" i="21"/>
  <c r="BI59" i="21"/>
  <c r="BG59" i="21"/>
  <c r="BD59" i="21"/>
  <c r="BB59" i="21"/>
  <c r="AY59" i="21"/>
  <c r="AW59" i="21"/>
  <c r="AT59" i="21"/>
  <c r="BU59" i="21" s="1"/>
  <c r="AR59" i="21"/>
  <c r="AB59" i="21"/>
  <c r="W59" i="21"/>
  <c r="CF59" i="21" s="1"/>
  <c r="N59" i="21"/>
  <c r="L59" i="21"/>
  <c r="J59" i="21"/>
  <c r="CL58" i="21"/>
  <c r="CH58" i="21"/>
  <c r="CE58" i="21"/>
  <c r="BS58" i="21"/>
  <c r="BQ58" i="21"/>
  <c r="BN58" i="21"/>
  <c r="BL58" i="21"/>
  <c r="BI58" i="21"/>
  <c r="BG58" i="21"/>
  <c r="BD58" i="21"/>
  <c r="BB58" i="21"/>
  <c r="AY58" i="21"/>
  <c r="BU58" i="21" s="1"/>
  <c r="BY58" i="21" s="1"/>
  <c r="CB58" i="21" s="1"/>
  <c r="AW58" i="21"/>
  <c r="AT58" i="21"/>
  <c r="AR58" i="21"/>
  <c r="AB58" i="21"/>
  <c r="W58" i="21"/>
  <c r="N58" i="21"/>
  <c r="L58" i="21"/>
  <c r="J58" i="21"/>
  <c r="CL57" i="21"/>
  <c r="CH57" i="21"/>
  <c r="CF57" i="21"/>
  <c r="CE57" i="21"/>
  <c r="CB57" i="21"/>
  <c r="BS57" i="21"/>
  <c r="BQ57" i="21"/>
  <c r="BN57" i="21"/>
  <c r="BL57" i="21"/>
  <c r="BI57" i="21"/>
  <c r="BG57" i="21"/>
  <c r="BD57" i="21"/>
  <c r="BB57" i="21"/>
  <c r="AY57" i="21"/>
  <c r="AW57" i="21"/>
  <c r="AT57" i="21"/>
  <c r="BU57" i="21" s="1"/>
  <c r="BY57" i="21" s="1"/>
  <c r="AR57" i="21"/>
  <c r="BT57" i="21" s="1"/>
  <c r="BV57" i="21" s="1"/>
  <c r="BW57" i="21" s="1"/>
  <c r="AB57" i="21"/>
  <c r="W57" i="21"/>
  <c r="N57" i="21"/>
  <c r="L57" i="21"/>
  <c r="J57" i="21"/>
  <c r="CL56" i="21"/>
  <c r="CH56" i="21"/>
  <c r="CF56" i="21"/>
  <c r="CE56" i="21"/>
  <c r="BS56" i="21"/>
  <c r="BQ56" i="21"/>
  <c r="BN56" i="21"/>
  <c r="BL56" i="21"/>
  <c r="BI56" i="21"/>
  <c r="BG56" i="21"/>
  <c r="BD56" i="21"/>
  <c r="BB56" i="21"/>
  <c r="AY56" i="21"/>
  <c r="AW56" i="21"/>
  <c r="AT56" i="21"/>
  <c r="BU56" i="21" s="1"/>
  <c r="BY56" i="21" s="1"/>
  <c r="AR56" i="21"/>
  <c r="BT56" i="21" s="1"/>
  <c r="BV56" i="21" s="1"/>
  <c r="AB56" i="21"/>
  <c r="W56" i="21"/>
  <c r="N56" i="21"/>
  <c r="L56" i="21"/>
  <c r="J56" i="21"/>
  <c r="CL55" i="21"/>
  <c r="CH55" i="21"/>
  <c r="CE55" i="21"/>
  <c r="BS55" i="21"/>
  <c r="BQ55" i="21"/>
  <c r="BN55" i="21"/>
  <c r="BL55" i="21"/>
  <c r="BI55" i="21"/>
  <c r="BG55" i="21"/>
  <c r="BD55" i="21"/>
  <c r="BB55" i="21"/>
  <c r="AY55" i="21"/>
  <c r="AW55" i="21"/>
  <c r="AT55" i="21"/>
  <c r="BU55" i="21" s="1"/>
  <c r="BY55" i="21" s="1"/>
  <c r="AR55" i="21"/>
  <c r="BT55" i="21" s="1"/>
  <c r="BV55" i="21" s="1"/>
  <c r="BW55" i="21" s="1"/>
  <c r="AB55" i="21"/>
  <c r="W55" i="21"/>
  <c r="N55" i="21"/>
  <c r="L55" i="21"/>
  <c r="J55" i="21"/>
  <c r="CL54" i="21"/>
  <c r="CH54" i="21"/>
  <c r="CE54" i="21"/>
  <c r="BS54" i="21"/>
  <c r="BQ54" i="21"/>
  <c r="BN54" i="21"/>
  <c r="BL54" i="21"/>
  <c r="BI54" i="21"/>
  <c r="BG54" i="21"/>
  <c r="BD54" i="21"/>
  <c r="BB54" i="21"/>
  <c r="AY54" i="21"/>
  <c r="AW54" i="21"/>
  <c r="AT54" i="21"/>
  <c r="AR54" i="21"/>
  <c r="BT54" i="21" s="1"/>
  <c r="BV54" i="21" s="1"/>
  <c r="BW54" i="21" s="1"/>
  <c r="AB54" i="21"/>
  <c r="W54" i="21"/>
  <c r="N54" i="21"/>
  <c r="L54" i="21"/>
  <c r="J54" i="21"/>
  <c r="CL53" i="21"/>
  <c r="CH53" i="21"/>
  <c r="CF53" i="21"/>
  <c r="CE53" i="21"/>
  <c r="BS53" i="21"/>
  <c r="BQ53" i="21"/>
  <c r="BN53" i="21"/>
  <c r="BL53" i="21"/>
  <c r="BI53" i="21"/>
  <c r="BG53" i="21"/>
  <c r="BD53" i="21"/>
  <c r="BB53" i="21"/>
  <c r="AY53" i="21"/>
  <c r="AW53" i="21"/>
  <c r="AT53" i="21"/>
  <c r="BU53" i="21" s="1"/>
  <c r="BY53" i="21" s="1"/>
  <c r="AR53" i="21"/>
  <c r="BT53" i="21" s="1"/>
  <c r="BV53" i="21" s="1"/>
  <c r="BW53" i="21" s="1"/>
  <c r="AB53" i="21"/>
  <c r="W53" i="21"/>
  <c r="N53" i="21"/>
  <c r="L53" i="21"/>
  <c r="J53" i="21"/>
  <c r="CL52" i="21"/>
  <c r="CH52" i="21"/>
  <c r="CF52" i="21"/>
  <c r="CE52" i="21"/>
  <c r="BS52" i="21"/>
  <c r="BQ52" i="21"/>
  <c r="BN52" i="21"/>
  <c r="BL52" i="21"/>
  <c r="BI52" i="21"/>
  <c r="BG52" i="21"/>
  <c r="BD52" i="21"/>
  <c r="BB52" i="21"/>
  <c r="AY52" i="21"/>
  <c r="AW52" i="21"/>
  <c r="AT52" i="21"/>
  <c r="AR52" i="21"/>
  <c r="AB52" i="21"/>
  <c r="W52" i="21"/>
  <c r="N52" i="21"/>
  <c r="L52" i="21"/>
  <c r="J52" i="21"/>
  <c r="CL51" i="21"/>
  <c r="CH51" i="21"/>
  <c r="CF51" i="21"/>
  <c r="CE51" i="21"/>
  <c r="BS51" i="21"/>
  <c r="BQ51" i="21"/>
  <c r="BN51" i="21"/>
  <c r="BL51" i="21"/>
  <c r="BI51" i="21"/>
  <c r="BG51" i="21"/>
  <c r="BD51" i="21"/>
  <c r="BB51" i="21"/>
  <c r="AY51" i="21"/>
  <c r="AW51" i="21"/>
  <c r="AT51" i="21"/>
  <c r="BU51" i="21" s="1"/>
  <c r="BY51" i="21" s="1"/>
  <c r="AR51" i="21"/>
  <c r="BT51" i="21" s="1"/>
  <c r="BV51" i="21" s="1"/>
  <c r="BW51" i="21" s="1"/>
  <c r="AB51" i="21"/>
  <c r="W51" i="21"/>
  <c r="N51" i="21"/>
  <c r="L51" i="21"/>
  <c r="J51" i="21"/>
  <c r="CL50" i="21"/>
  <c r="CH50" i="21"/>
  <c r="CE50" i="21"/>
  <c r="BS50" i="21"/>
  <c r="BQ50" i="21"/>
  <c r="BN50" i="21"/>
  <c r="BL50" i="21"/>
  <c r="BI50" i="21"/>
  <c r="BG50" i="21"/>
  <c r="BD50" i="21"/>
  <c r="BB50" i="21"/>
  <c r="AY50" i="21"/>
  <c r="BU50" i="21" s="1"/>
  <c r="BY50" i="21" s="1"/>
  <c r="AW50" i="21"/>
  <c r="AT50" i="21"/>
  <c r="AR50" i="21"/>
  <c r="BT50" i="21" s="1"/>
  <c r="BV50" i="21" s="1"/>
  <c r="AB50" i="21"/>
  <c r="W50" i="21"/>
  <c r="CF50" i="21" s="1"/>
  <c r="N50" i="21"/>
  <c r="L50" i="21"/>
  <c r="J50" i="21"/>
  <c r="CL49" i="21"/>
  <c r="CH49" i="21"/>
  <c r="CE49" i="21"/>
  <c r="BS49" i="21"/>
  <c r="BQ49" i="21"/>
  <c r="BN49" i="21"/>
  <c r="BL49" i="21"/>
  <c r="BI49" i="21"/>
  <c r="BG49" i="21"/>
  <c r="BD49" i="21"/>
  <c r="BB49" i="21"/>
  <c r="AY49" i="21"/>
  <c r="AW49" i="21"/>
  <c r="AT49" i="21"/>
  <c r="BU49" i="21" s="1"/>
  <c r="BY49" i="21" s="1"/>
  <c r="AR49" i="21"/>
  <c r="BT49" i="21" s="1"/>
  <c r="BV49" i="21" s="1"/>
  <c r="BW49" i="21" s="1"/>
  <c r="AB49" i="21"/>
  <c r="W49" i="21"/>
  <c r="N49" i="21"/>
  <c r="L49" i="21"/>
  <c r="J49" i="21"/>
  <c r="CL48" i="21"/>
  <c r="CH48" i="21"/>
  <c r="CF48" i="21"/>
  <c r="CE48" i="21"/>
  <c r="BS48" i="21"/>
  <c r="BQ48" i="21"/>
  <c r="BN48" i="21"/>
  <c r="BL48" i="21"/>
  <c r="BI48" i="21"/>
  <c r="BG48" i="21"/>
  <c r="BD48" i="21"/>
  <c r="BB48" i="21"/>
  <c r="AY48" i="21"/>
  <c r="AW48" i="21"/>
  <c r="AT48" i="21"/>
  <c r="BU48" i="21" s="1"/>
  <c r="BY48" i="21" s="1"/>
  <c r="AR48" i="21"/>
  <c r="BT48" i="21" s="1"/>
  <c r="BV48" i="21" s="1"/>
  <c r="AB48" i="21"/>
  <c r="W48" i="21"/>
  <c r="CB48" i="21" s="1"/>
  <c r="N48" i="21"/>
  <c r="L48" i="21"/>
  <c r="J48" i="21"/>
  <c r="CL47" i="21"/>
  <c r="CH47" i="21"/>
  <c r="CE47" i="21"/>
  <c r="CA47" i="21"/>
  <c r="CG47" i="21" s="1"/>
  <c r="BS47" i="21"/>
  <c r="BQ47" i="21"/>
  <c r="BN47" i="21"/>
  <c r="BL47" i="21"/>
  <c r="BI47" i="21"/>
  <c r="BG47" i="21"/>
  <c r="BD47" i="21"/>
  <c r="BB47" i="21"/>
  <c r="AY47" i="21"/>
  <c r="AW47" i="21"/>
  <c r="AT47" i="21"/>
  <c r="BU47" i="21" s="1"/>
  <c r="BY47" i="21" s="1"/>
  <c r="AR47" i="21"/>
  <c r="BT47" i="21" s="1"/>
  <c r="BV47" i="21" s="1"/>
  <c r="BW47" i="21" s="1"/>
  <c r="AB47" i="21"/>
  <c r="W47" i="21"/>
  <c r="CF47" i="21" s="1"/>
  <c r="N47" i="21"/>
  <c r="L47" i="21"/>
  <c r="J47" i="21"/>
  <c r="CL46" i="21"/>
  <c r="CH46" i="21"/>
  <c r="CF46" i="21"/>
  <c r="CE46" i="21"/>
  <c r="BS46" i="21"/>
  <c r="BQ46" i="21"/>
  <c r="BN46" i="21"/>
  <c r="BL46" i="21"/>
  <c r="BI46" i="21"/>
  <c r="BG46" i="21"/>
  <c r="BD46" i="21"/>
  <c r="BB46" i="21"/>
  <c r="AY46" i="21"/>
  <c r="AW46" i="21"/>
  <c r="AT46" i="21"/>
  <c r="BU46" i="21" s="1"/>
  <c r="BY46" i="21" s="1"/>
  <c r="AR46" i="21"/>
  <c r="BT46" i="21" s="1"/>
  <c r="BV46" i="21" s="1"/>
  <c r="BW46" i="21" s="1"/>
  <c r="AB46" i="21"/>
  <c r="W46" i="21"/>
  <c r="N46" i="21"/>
  <c r="L46" i="21"/>
  <c r="J46" i="21"/>
  <c r="CL45" i="21"/>
  <c r="CH45" i="21"/>
  <c r="CE45" i="21"/>
  <c r="BU45" i="21"/>
  <c r="BY45" i="21" s="1"/>
  <c r="BS45" i="21"/>
  <c r="BQ45" i="21"/>
  <c r="BN45" i="21"/>
  <c r="BL45" i="21"/>
  <c r="BI45" i="21"/>
  <c r="BG45" i="21"/>
  <c r="BD45" i="21"/>
  <c r="BB45" i="21"/>
  <c r="AY45" i="21"/>
  <c r="AW45" i="21"/>
  <c r="AT45" i="21"/>
  <c r="AR45" i="21"/>
  <c r="BT45" i="21" s="1"/>
  <c r="BV45" i="21" s="1"/>
  <c r="BW45" i="21" s="1"/>
  <c r="AB45" i="21"/>
  <c r="W45" i="21"/>
  <c r="CF45" i="21" s="1"/>
  <c r="N45" i="21"/>
  <c r="L45" i="21"/>
  <c r="J45" i="21"/>
  <c r="CL44" i="21"/>
  <c r="CH44" i="21"/>
  <c r="CF44" i="21"/>
  <c r="CE44" i="21"/>
  <c r="BS44" i="21"/>
  <c r="BQ44" i="21"/>
  <c r="BN44" i="21"/>
  <c r="BL44" i="21"/>
  <c r="BI44" i="21"/>
  <c r="BG44" i="21"/>
  <c r="BD44" i="21"/>
  <c r="BB44" i="21"/>
  <c r="AY44" i="21"/>
  <c r="AW44" i="21"/>
  <c r="AT44" i="21"/>
  <c r="BU44" i="21" s="1"/>
  <c r="BY44" i="21" s="1"/>
  <c r="CB44" i="21" s="1"/>
  <c r="AR44" i="21"/>
  <c r="BT44" i="21" s="1"/>
  <c r="BV44" i="21" s="1"/>
  <c r="BW44" i="21" s="1"/>
  <c r="AB44" i="21"/>
  <c r="W44" i="21"/>
  <c r="CA44" i="21" s="1"/>
  <c r="CG44" i="21" s="1"/>
  <c r="N44" i="21"/>
  <c r="L44" i="21"/>
  <c r="J44" i="21"/>
  <c r="CL43" i="21"/>
  <c r="CH43" i="21"/>
  <c r="CF43" i="21"/>
  <c r="CE43" i="21"/>
  <c r="BS43" i="21"/>
  <c r="BQ43" i="21"/>
  <c r="BN43" i="21"/>
  <c r="BL43" i="21"/>
  <c r="BI43" i="21"/>
  <c r="BG43" i="21"/>
  <c r="BD43" i="21"/>
  <c r="BB43" i="21"/>
  <c r="AY43" i="21"/>
  <c r="AW43" i="21"/>
  <c r="AT43" i="21"/>
  <c r="BU43" i="21" s="1"/>
  <c r="BY43" i="21" s="1"/>
  <c r="CB43" i="21" s="1"/>
  <c r="AR43" i="21"/>
  <c r="BT43" i="21" s="1"/>
  <c r="BV43" i="21" s="1"/>
  <c r="AB43" i="21"/>
  <c r="W43" i="21"/>
  <c r="N43" i="21"/>
  <c r="L43" i="21"/>
  <c r="J43" i="21"/>
  <c r="CL42" i="21"/>
  <c r="CH42" i="21"/>
  <c r="CE42" i="21"/>
  <c r="BS42" i="21"/>
  <c r="BQ42" i="21"/>
  <c r="BN42" i="21"/>
  <c r="BL42" i="21"/>
  <c r="BI42" i="21"/>
  <c r="BG42" i="21"/>
  <c r="BD42" i="21"/>
  <c r="BB42" i="21"/>
  <c r="AY42" i="21"/>
  <c r="AW42" i="21"/>
  <c r="AT42" i="21"/>
  <c r="BU42" i="21" s="1"/>
  <c r="BY42" i="21" s="1"/>
  <c r="CB42" i="21" s="1"/>
  <c r="AR42" i="21"/>
  <c r="AB42" i="21"/>
  <c r="W42" i="21"/>
  <c r="CF42" i="21" s="1"/>
  <c r="N42" i="21"/>
  <c r="L42" i="21"/>
  <c r="J42" i="21"/>
  <c r="CL41" i="21"/>
  <c r="CH41" i="21"/>
  <c r="CE41" i="21"/>
  <c r="BS41" i="21"/>
  <c r="BQ41" i="21"/>
  <c r="BN41" i="21"/>
  <c r="BL41" i="21"/>
  <c r="BI41" i="21"/>
  <c r="BG41" i="21"/>
  <c r="BD41" i="21"/>
  <c r="BB41" i="21"/>
  <c r="AY41" i="21"/>
  <c r="AW41" i="21"/>
  <c r="AT41" i="21"/>
  <c r="BU41" i="21" s="1"/>
  <c r="BY41" i="21" s="1"/>
  <c r="AR41" i="21"/>
  <c r="BT41" i="21" s="1"/>
  <c r="BV41" i="21" s="1"/>
  <c r="BW41" i="21" s="1"/>
  <c r="AB41" i="21"/>
  <c r="W41" i="21"/>
  <c r="N41" i="21"/>
  <c r="L41" i="21"/>
  <c r="J41" i="21"/>
  <c r="CL40" i="21"/>
  <c r="CH40" i="21"/>
  <c r="CF40" i="21"/>
  <c r="CE40" i="21"/>
  <c r="BS40" i="21"/>
  <c r="BQ40" i="21"/>
  <c r="BN40" i="21"/>
  <c r="BL40" i="21"/>
  <c r="BI40" i="21"/>
  <c r="BG40" i="21"/>
  <c r="BD40" i="21"/>
  <c r="BB40" i="21"/>
  <c r="AY40" i="21"/>
  <c r="AW40" i="21"/>
  <c r="AT40" i="21"/>
  <c r="AR40" i="21"/>
  <c r="BT40" i="21" s="1"/>
  <c r="BV40" i="21" s="1"/>
  <c r="AB40" i="21"/>
  <c r="W40" i="21"/>
  <c r="N40" i="21"/>
  <c r="L40" i="21"/>
  <c r="J40" i="21"/>
  <c r="CL39" i="21"/>
  <c r="CH39" i="21"/>
  <c r="CF39" i="21"/>
  <c r="CE39" i="21"/>
  <c r="BS39" i="21"/>
  <c r="BQ39" i="21"/>
  <c r="BN39" i="21"/>
  <c r="BL39" i="21"/>
  <c r="BI39" i="21"/>
  <c r="BG39" i="21"/>
  <c r="BD39" i="21"/>
  <c r="BB39" i="21"/>
  <c r="AY39" i="21"/>
  <c r="AW39" i="21"/>
  <c r="AT39" i="21"/>
  <c r="BU39" i="21" s="1"/>
  <c r="BY39" i="21" s="1"/>
  <c r="AR39" i="21"/>
  <c r="BT39" i="21" s="1"/>
  <c r="BV39" i="21" s="1"/>
  <c r="BW39" i="21" s="1"/>
  <c r="AB39" i="21"/>
  <c r="W39" i="21"/>
  <c r="CB39" i="21" s="1"/>
  <c r="N39" i="21"/>
  <c r="L39" i="21"/>
  <c r="J39" i="21"/>
  <c r="CL38" i="21"/>
  <c r="CH38" i="21"/>
  <c r="CE38" i="21"/>
  <c r="BS38" i="21"/>
  <c r="BQ38" i="21"/>
  <c r="BN38" i="21"/>
  <c r="BL38" i="21"/>
  <c r="BI38" i="21"/>
  <c r="BG38" i="21"/>
  <c r="BD38" i="21"/>
  <c r="BB38" i="21"/>
  <c r="AY38" i="21"/>
  <c r="AW38" i="21"/>
  <c r="AT38" i="21"/>
  <c r="BU38" i="21" s="1"/>
  <c r="BY38" i="21" s="1"/>
  <c r="CB38" i="21" s="1"/>
  <c r="AR38" i="21"/>
  <c r="BT38" i="21" s="1"/>
  <c r="BV38" i="21" s="1"/>
  <c r="AB38" i="21"/>
  <c r="W38" i="21"/>
  <c r="CF38" i="21" s="1"/>
  <c r="N38" i="21"/>
  <c r="L38" i="21"/>
  <c r="J38" i="21"/>
  <c r="CL37" i="21"/>
  <c r="CH37" i="21"/>
  <c r="CE37" i="21"/>
  <c r="BS37" i="21"/>
  <c r="BQ37" i="21"/>
  <c r="BN37" i="21"/>
  <c r="BL37" i="21"/>
  <c r="BI37" i="21"/>
  <c r="BG37" i="21"/>
  <c r="BD37" i="21"/>
  <c r="BB37" i="21"/>
  <c r="AY37" i="21"/>
  <c r="AW37" i="21"/>
  <c r="AT37" i="21"/>
  <c r="AR37" i="21"/>
  <c r="BT37" i="21" s="1"/>
  <c r="BV37" i="21" s="1"/>
  <c r="BW37" i="21" s="1"/>
  <c r="AB37" i="21"/>
  <c r="W37" i="21"/>
  <c r="CF37" i="21" s="1"/>
  <c r="N37" i="21"/>
  <c r="L37" i="21"/>
  <c r="J37" i="21"/>
  <c r="CL36" i="21"/>
  <c r="CH36" i="21"/>
  <c r="CE36" i="21"/>
  <c r="BS36" i="21"/>
  <c r="BQ36" i="21"/>
  <c r="BN36" i="21"/>
  <c r="BL36" i="21"/>
  <c r="BI36" i="21"/>
  <c r="BG36" i="21"/>
  <c r="BD36" i="21"/>
  <c r="BB36" i="21"/>
  <c r="AY36" i="21"/>
  <c r="AW36" i="21"/>
  <c r="AT36" i="21"/>
  <c r="BU36" i="21" s="1"/>
  <c r="BY36" i="21" s="1"/>
  <c r="AR36" i="21"/>
  <c r="BT36" i="21" s="1"/>
  <c r="BV36" i="21" s="1"/>
  <c r="BW36" i="21" s="1"/>
  <c r="AB36" i="21"/>
  <c r="W36" i="21"/>
  <c r="N36" i="21"/>
  <c r="L36" i="21"/>
  <c r="J36" i="21"/>
  <c r="CL35" i="21"/>
  <c r="CH35" i="21"/>
  <c r="CF35" i="21"/>
  <c r="CE35" i="21"/>
  <c r="BS35" i="21"/>
  <c r="BQ35" i="21"/>
  <c r="BN35" i="21"/>
  <c r="BL35" i="21"/>
  <c r="BI35" i="21"/>
  <c r="BG35" i="21"/>
  <c r="BD35" i="21"/>
  <c r="BB35" i="21"/>
  <c r="AY35" i="21"/>
  <c r="AW35" i="21"/>
  <c r="AT35" i="21"/>
  <c r="AR35" i="21"/>
  <c r="AB35" i="21"/>
  <c r="W35" i="21"/>
  <c r="N35" i="21"/>
  <c r="L35" i="21"/>
  <c r="J35" i="21"/>
  <c r="CL34" i="21"/>
  <c r="CH34" i="21"/>
  <c r="CF34" i="21"/>
  <c r="CE34" i="21"/>
  <c r="BS34" i="21"/>
  <c r="BQ34" i="21"/>
  <c r="BN34" i="21"/>
  <c r="BL34" i="21"/>
  <c r="BI34" i="21"/>
  <c r="BG34" i="21"/>
  <c r="BD34" i="21"/>
  <c r="BB34" i="21"/>
  <c r="AY34" i="21"/>
  <c r="AW34" i="21"/>
  <c r="AT34" i="21"/>
  <c r="BU34" i="21" s="1"/>
  <c r="BY34" i="21" s="1"/>
  <c r="AR34" i="21"/>
  <c r="BT34" i="21" s="1"/>
  <c r="BV34" i="21" s="1"/>
  <c r="BW34" i="21" s="1"/>
  <c r="AB34" i="21"/>
  <c r="W34" i="21"/>
  <c r="N34" i="21"/>
  <c r="L34" i="21"/>
  <c r="J34" i="21"/>
  <c r="CL33" i="21"/>
  <c r="CH33" i="21"/>
  <c r="CE33" i="21"/>
  <c r="BU33" i="21"/>
  <c r="BY33" i="21" s="1"/>
  <c r="BS33" i="21"/>
  <c r="BQ33" i="21"/>
  <c r="BN33" i="21"/>
  <c r="BL33" i="21"/>
  <c r="BI33" i="21"/>
  <c r="BG33" i="21"/>
  <c r="BD33" i="21"/>
  <c r="BB33" i="21"/>
  <c r="AY33" i="21"/>
  <c r="AW33" i="21"/>
  <c r="AT33" i="21"/>
  <c r="AR33" i="21"/>
  <c r="BT33" i="21" s="1"/>
  <c r="BV33" i="21" s="1"/>
  <c r="BW33" i="21" s="1"/>
  <c r="AB33" i="21"/>
  <c r="W33" i="21"/>
  <c r="CF33" i="21" s="1"/>
  <c r="N33" i="21"/>
  <c r="L33" i="21"/>
  <c r="J33" i="21"/>
  <c r="CL32" i="21"/>
  <c r="CH32" i="21"/>
  <c r="CF32" i="21"/>
  <c r="CE32" i="21"/>
  <c r="CB32" i="21"/>
  <c r="BS32" i="21"/>
  <c r="BQ32" i="21"/>
  <c r="BN32" i="21"/>
  <c r="BL32" i="21"/>
  <c r="BI32" i="21"/>
  <c r="BG32" i="21"/>
  <c r="BD32" i="21"/>
  <c r="BB32" i="21"/>
  <c r="AY32" i="21"/>
  <c r="AW32" i="21"/>
  <c r="AT32" i="21"/>
  <c r="BU32" i="21" s="1"/>
  <c r="BY32" i="21" s="1"/>
  <c r="AR32" i="21"/>
  <c r="BT32" i="21" s="1"/>
  <c r="BV32" i="21" s="1"/>
  <c r="BW32" i="21" s="1"/>
  <c r="AB32" i="21"/>
  <c r="W32" i="21"/>
  <c r="CA32" i="21" s="1"/>
  <c r="CG32" i="21" s="1"/>
  <c r="N32" i="21"/>
  <c r="L32" i="21"/>
  <c r="J32" i="21"/>
  <c r="CL31" i="21"/>
  <c r="CH31" i="21"/>
  <c r="CF31" i="21"/>
  <c r="CE31" i="21"/>
  <c r="BS31" i="21"/>
  <c r="BQ31" i="21"/>
  <c r="BN31" i="21"/>
  <c r="BL31" i="21"/>
  <c r="BI31" i="21"/>
  <c r="BG31" i="21"/>
  <c r="BD31" i="21"/>
  <c r="BB31" i="21"/>
  <c r="AY31" i="21"/>
  <c r="AW31" i="21"/>
  <c r="AT31" i="21"/>
  <c r="BU31" i="21" s="1"/>
  <c r="BY31" i="21" s="1"/>
  <c r="CB31" i="21" s="1"/>
  <c r="AR31" i="21"/>
  <c r="BT31" i="21" s="1"/>
  <c r="BV31" i="21" s="1"/>
  <c r="AB31" i="21"/>
  <c r="W31" i="21"/>
  <c r="N31" i="21"/>
  <c r="L31" i="21"/>
  <c r="J31" i="21"/>
  <c r="CL30" i="21"/>
  <c r="CH30" i="21"/>
  <c r="CE30" i="21"/>
  <c r="BS30" i="21"/>
  <c r="BQ30" i="21"/>
  <c r="BN30" i="21"/>
  <c r="BL30" i="21"/>
  <c r="BI30" i="21"/>
  <c r="BG30" i="21"/>
  <c r="BD30" i="21"/>
  <c r="BB30" i="21"/>
  <c r="AY30" i="21"/>
  <c r="AW30" i="21"/>
  <c r="AT30" i="21"/>
  <c r="AR30" i="21"/>
  <c r="BT30" i="21" s="1"/>
  <c r="BV30" i="21" s="1"/>
  <c r="BW30" i="21" s="1"/>
  <c r="AB30" i="21"/>
  <c r="W30" i="21"/>
  <c r="CF30" i="21" s="1"/>
  <c r="N30" i="21"/>
  <c r="L30" i="21"/>
  <c r="J30" i="21"/>
  <c r="CL29" i="21"/>
  <c r="CH29" i="21"/>
  <c r="CE29" i="21"/>
  <c r="BS29" i="21"/>
  <c r="BQ29" i="21"/>
  <c r="BN29" i="21"/>
  <c r="BL29" i="21"/>
  <c r="BI29" i="21"/>
  <c r="BG29" i="21"/>
  <c r="BD29" i="21"/>
  <c r="BB29" i="21"/>
  <c r="AY29" i="21"/>
  <c r="AW29" i="21"/>
  <c r="AT29" i="21"/>
  <c r="BU29" i="21" s="1"/>
  <c r="BY29" i="21" s="1"/>
  <c r="AR29" i="21"/>
  <c r="BT29" i="21" s="1"/>
  <c r="BV29" i="21" s="1"/>
  <c r="BW29" i="21" s="1"/>
  <c r="AB29" i="21"/>
  <c r="W29" i="21"/>
  <c r="N29" i="21"/>
  <c r="L29" i="21"/>
  <c r="J29" i="21"/>
  <c r="CL28" i="21"/>
  <c r="CH28" i="21"/>
  <c r="CF28" i="21"/>
  <c r="CE28" i="21"/>
  <c r="BS28" i="21"/>
  <c r="BQ28" i="21"/>
  <c r="BN28" i="21"/>
  <c r="BL28" i="21"/>
  <c r="BI28" i="21"/>
  <c r="BG28" i="21"/>
  <c r="BD28" i="21"/>
  <c r="BB28" i="21"/>
  <c r="AY28" i="21"/>
  <c r="AW28" i="21"/>
  <c r="AT28" i="21"/>
  <c r="AR28" i="21"/>
  <c r="AB28" i="21"/>
  <c r="W28" i="21"/>
  <c r="N28" i="21"/>
  <c r="L28" i="21"/>
  <c r="J28" i="21"/>
  <c r="CL27" i="21"/>
  <c r="CH27" i="21"/>
  <c r="CF27" i="21"/>
  <c r="CE27" i="21"/>
  <c r="BS27" i="21"/>
  <c r="BQ27" i="21"/>
  <c r="BN27" i="21"/>
  <c r="BL27" i="21"/>
  <c r="BI27" i="21"/>
  <c r="BG27" i="21"/>
  <c r="BD27" i="21"/>
  <c r="BB27" i="21"/>
  <c r="AY27" i="21"/>
  <c r="AW27" i="21"/>
  <c r="AT27" i="21"/>
  <c r="BU27" i="21" s="1"/>
  <c r="BY27" i="21" s="1"/>
  <c r="CB27" i="21" s="1"/>
  <c r="AR27" i="21"/>
  <c r="BT27" i="21" s="1"/>
  <c r="BV27" i="21" s="1"/>
  <c r="AB27" i="21"/>
  <c r="W27" i="21"/>
  <c r="N27" i="21"/>
  <c r="L27" i="21"/>
  <c r="J27" i="21"/>
  <c r="CL26" i="21"/>
  <c r="CH26" i="21"/>
  <c r="CE26" i="21"/>
  <c r="BS26" i="21"/>
  <c r="BQ26" i="21"/>
  <c r="BN26" i="21"/>
  <c r="BL26" i="21"/>
  <c r="BI26" i="21"/>
  <c r="BG26" i="21"/>
  <c r="BD26" i="21"/>
  <c r="BB26" i="21"/>
  <c r="AY26" i="21"/>
  <c r="AW26" i="21"/>
  <c r="AT26" i="21"/>
  <c r="BU26" i="21" s="1"/>
  <c r="BY26" i="21" s="1"/>
  <c r="CB26" i="21" s="1"/>
  <c r="AR26" i="21"/>
  <c r="AB26" i="21"/>
  <c r="W26" i="21"/>
  <c r="CF26" i="21" s="1"/>
  <c r="N26" i="21"/>
  <c r="L26" i="21"/>
  <c r="J26" i="21"/>
  <c r="CL25" i="21"/>
  <c r="CH25" i="21"/>
  <c r="CE25" i="21"/>
  <c r="BS25" i="21"/>
  <c r="BQ25" i="21"/>
  <c r="BN25" i="21"/>
  <c r="BL25" i="21"/>
  <c r="BI25" i="21"/>
  <c r="BG25" i="21"/>
  <c r="BD25" i="21"/>
  <c r="BB25" i="21"/>
  <c r="AY25" i="21"/>
  <c r="AW25" i="21"/>
  <c r="AT25" i="21"/>
  <c r="BU25" i="21" s="1"/>
  <c r="BY25" i="21" s="1"/>
  <c r="CB25" i="21" s="1"/>
  <c r="AR25" i="21"/>
  <c r="BT25" i="21" s="1"/>
  <c r="BV25" i="21" s="1"/>
  <c r="BW25" i="21" s="1"/>
  <c r="AB25" i="21"/>
  <c r="W25" i="21"/>
  <c r="CF25" i="21" s="1"/>
  <c r="N25" i="21"/>
  <c r="L25" i="21"/>
  <c r="J25" i="21"/>
  <c r="CL24" i="21"/>
  <c r="CH24" i="21"/>
  <c r="CE24" i="21"/>
  <c r="BS24" i="21"/>
  <c r="BQ24" i="21"/>
  <c r="BN24" i="21"/>
  <c r="BL24" i="21"/>
  <c r="BI24" i="21"/>
  <c r="BG24" i="21"/>
  <c r="BD24" i="21"/>
  <c r="BB24" i="21"/>
  <c r="AY24" i="21"/>
  <c r="AW24" i="21"/>
  <c r="AT24" i="21"/>
  <c r="BU24" i="21" s="1"/>
  <c r="BY24" i="21" s="1"/>
  <c r="AR24" i="21"/>
  <c r="BT24" i="21" s="1"/>
  <c r="BV24" i="21" s="1"/>
  <c r="BW24" i="21" s="1"/>
  <c r="AB24" i="21"/>
  <c r="W24" i="21"/>
  <c r="N24" i="21"/>
  <c r="L24" i="21"/>
  <c r="J24" i="21"/>
  <c r="CL23" i="21"/>
  <c r="CH23" i="21"/>
  <c r="CF23" i="21"/>
  <c r="CE23" i="21"/>
  <c r="CA23" i="21"/>
  <c r="CG23" i="21" s="1"/>
  <c r="BS23" i="21"/>
  <c r="BQ23" i="21"/>
  <c r="BN23" i="21"/>
  <c r="BL23" i="21"/>
  <c r="BI23" i="21"/>
  <c r="BG23" i="21"/>
  <c r="BD23" i="21"/>
  <c r="BB23" i="21"/>
  <c r="AY23" i="21"/>
  <c r="AW23" i="21"/>
  <c r="AT23" i="21"/>
  <c r="BU23" i="21" s="1"/>
  <c r="BY23" i="21" s="1"/>
  <c r="AR23" i="21"/>
  <c r="BT23" i="21" s="1"/>
  <c r="BV23" i="21" s="1"/>
  <c r="BW23" i="21" s="1"/>
  <c r="AB23" i="21"/>
  <c r="W23" i="21"/>
  <c r="CB23" i="21" s="1"/>
  <c r="N23" i="21"/>
  <c r="L23" i="21"/>
  <c r="J23" i="21"/>
  <c r="CL22" i="21"/>
  <c r="CH22" i="21"/>
  <c r="CF22" i="21"/>
  <c r="CE22" i="21"/>
  <c r="BS22" i="21"/>
  <c r="BQ22" i="21"/>
  <c r="BN22" i="21"/>
  <c r="BL22" i="21"/>
  <c r="BI22" i="21"/>
  <c r="BG22" i="21"/>
  <c r="BD22" i="21"/>
  <c r="BB22" i="21"/>
  <c r="AY22" i="21"/>
  <c r="AW22" i="21"/>
  <c r="AT22" i="21"/>
  <c r="BU22" i="21" s="1"/>
  <c r="BY22" i="21" s="1"/>
  <c r="AR22" i="21"/>
  <c r="BT22" i="21" s="1"/>
  <c r="BV22" i="21" s="1"/>
  <c r="BW22" i="21" s="1"/>
  <c r="AB22" i="21"/>
  <c r="W22" i="21"/>
  <c r="N22" i="21"/>
  <c r="L22" i="21"/>
  <c r="J22" i="21"/>
  <c r="CL21" i="21"/>
  <c r="CH21" i="21"/>
  <c r="CE21" i="21"/>
  <c r="BU21" i="21"/>
  <c r="BY21" i="21" s="1"/>
  <c r="BS21" i="21"/>
  <c r="BQ21" i="21"/>
  <c r="BN21" i="21"/>
  <c r="BL21" i="21"/>
  <c r="BI21" i="21"/>
  <c r="BG21" i="21"/>
  <c r="BD21" i="21"/>
  <c r="BB21" i="21"/>
  <c r="AY21" i="21"/>
  <c r="AW21" i="21"/>
  <c r="AT21" i="21"/>
  <c r="AR21" i="21"/>
  <c r="BT21" i="21" s="1"/>
  <c r="BV21" i="21" s="1"/>
  <c r="BW21" i="21" s="1"/>
  <c r="AB21" i="21"/>
  <c r="W21" i="21"/>
  <c r="CF21" i="21" s="1"/>
  <c r="N21" i="21"/>
  <c r="L21" i="21"/>
  <c r="J21" i="21"/>
  <c r="CL20" i="21"/>
  <c r="CH20" i="21"/>
  <c r="CF20" i="21"/>
  <c r="CE20" i="21"/>
  <c r="BS20" i="21"/>
  <c r="BQ20" i="21"/>
  <c r="BN20" i="21"/>
  <c r="BL20" i="21"/>
  <c r="BI20" i="21"/>
  <c r="BG20" i="21"/>
  <c r="BD20" i="21"/>
  <c r="BB20" i="21"/>
  <c r="AY20" i="21"/>
  <c r="AW20" i="21"/>
  <c r="AT20" i="21"/>
  <c r="BU20" i="21" s="1"/>
  <c r="BY20" i="21" s="1"/>
  <c r="CB20" i="21" s="1"/>
  <c r="AR20" i="21"/>
  <c r="BT20" i="21" s="1"/>
  <c r="BV20" i="21" s="1"/>
  <c r="BW20" i="21" s="1"/>
  <c r="AB20" i="21"/>
  <c r="W20" i="21"/>
  <c r="CA20" i="21" s="1"/>
  <c r="CG20" i="21" s="1"/>
  <c r="N20" i="21"/>
  <c r="L20" i="21"/>
  <c r="J20" i="21"/>
  <c r="CL19" i="21"/>
  <c r="CH19" i="21"/>
  <c r="CF19" i="21"/>
  <c r="CE19" i="21"/>
  <c r="BS19" i="21"/>
  <c r="BQ19" i="21"/>
  <c r="BN19" i="21"/>
  <c r="BL19" i="21"/>
  <c r="BI19" i="21"/>
  <c r="BG19" i="21"/>
  <c r="BD19" i="21"/>
  <c r="BB19" i="21"/>
  <c r="AY19" i="21"/>
  <c r="AW19" i="21"/>
  <c r="AT19" i="21"/>
  <c r="BU19" i="21" s="1"/>
  <c r="BY19" i="21" s="1"/>
  <c r="AR19" i="21"/>
  <c r="BT19" i="21" s="1"/>
  <c r="BV19" i="21" s="1"/>
  <c r="AB19" i="21"/>
  <c r="W19" i="21"/>
  <c r="N19" i="21"/>
  <c r="L19" i="21"/>
  <c r="J19" i="21"/>
  <c r="CL18" i="21"/>
  <c r="CH18" i="21"/>
  <c r="CE18" i="21"/>
  <c r="CB18" i="21"/>
  <c r="BS18" i="21"/>
  <c r="BQ18" i="21"/>
  <c r="BN18" i="21"/>
  <c r="BL18" i="21"/>
  <c r="BI18" i="21"/>
  <c r="BG18" i="21"/>
  <c r="BD18" i="21"/>
  <c r="BB18" i="21"/>
  <c r="AY18" i="21"/>
  <c r="AW18" i="21"/>
  <c r="AT18" i="21"/>
  <c r="BU18" i="21" s="1"/>
  <c r="BY18" i="21" s="1"/>
  <c r="AR18" i="21"/>
  <c r="AB18" i="21"/>
  <c r="W18" i="21"/>
  <c r="CF18" i="21" s="1"/>
  <c r="N18" i="21"/>
  <c r="L18" i="21"/>
  <c r="J18" i="21"/>
  <c r="CL17" i="21"/>
  <c r="CH17" i="21"/>
  <c r="CE17" i="21"/>
  <c r="BS17" i="21"/>
  <c r="BQ17" i="21"/>
  <c r="BN17" i="21"/>
  <c r="BL17" i="21"/>
  <c r="BI17" i="21"/>
  <c r="BG17" i="21"/>
  <c r="BD17" i="21"/>
  <c r="BB17" i="21"/>
  <c r="AY17" i="21"/>
  <c r="AW17" i="21"/>
  <c r="AT17" i="21"/>
  <c r="BU17" i="21" s="1"/>
  <c r="BY17" i="21" s="1"/>
  <c r="AR17" i="21"/>
  <c r="BT17" i="21" s="1"/>
  <c r="BV17" i="21" s="1"/>
  <c r="BW17" i="21" s="1"/>
  <c r="AB17" i="21"/>
  <c r="W17" i="21"/>
  <c r="N17" i="21"/>
  <c r="L17" i="21"/>
  <c r="J17" i="21"/>
  <c r="CL16" i="21"/>
  <c r="CH16" i="21"/>
  <c r="CF16" i="21"/>
  <c r="CE16" i="21"/>
  <c r="BS16" i="21"/>
  <c r="BQ16" i="21"/>
  <c r="BN16" i="21"/>
  <c r="BL16" i="21"/>
  <c r="BI16" i="21"/>
  <c r="BG16" i="21"/>
  <c r="BD16" i="21"/>
  <c r="BB16" i="21"/>
  <c r="AY16" i="21"/>
  <c r="AW16" i="21"/>
  <c r="AT16" i="21"/>
  <c r="AR16" i="21"/>
  <c r="BT16" i="21" s="1"/>
  <c r="BV16" i="21" s="1"/>
  <c r="BW16" i="21" s="1"/>
  <c r="AB16" i="21"/>
  <c r="W16" i="21"/>
  <c r="N16" i="21"/>
  <c r="L16" i="21"/>
  <c r="J16" i="21"/>
  <c r="CL15" i="21"/>
  <c r="CH15" i="21"/>
  <c r="CF15" i="21"/>
  <c r="CE15" i="21"/>
  <c r="BS15" i="21"/>
  <c r="BQ15" i="21"/>
  <c r="BN15" i="21"/>
  <c r="BL15" i="21"/>
  <c r="BI15" i="21"/>
  <c r="BG15" i="21"/>
  <c r="BD15" i="21"/>
  <c r="BB15" i="21"/>
  <c r="AY15" i="21"/>
  <c r="AW15" i="21"/>
  <c r="AT15" i="21"/>
  <c r="BU15" i="21" s="1"/>
  <c r="BY15" i="21" s="1"/>
  <c r="CB15" i="21" s="1"/>
  <c r="AR15" i="21"/>
  <c r="BT15" i="21" s="1"/>
  <c r="BV15" i="21" s="1"/>
  <c r="BW15" i="21" s="1"/>
  <c r="AB15" i="21"/>
  <c r="W15" i="21"/>
  <c r="CA15" i="21" s="1"/>
  <c r="CG15" i="21" s="1"/>
  <c r="N15" i="21"/>
  <c r="L15" i="21"/>
  <c r="J15" i="21"/>
  <c r="CL14" i="21"/>
  <c r="CH14" i="21"/>
  <c r="CE14" i="21"/>
  <c r="BS14" i="21"/>
  <c r="BQ14" i="21"/>
  <c r="BN14" i="21"/>
  <c r="BL14" i="21"/>
  <c r="BI14" i="21"/>
  <c r="BG14" i="21"/>
  <c r="BD14" i="21"/>
  <c r="BB14" i="21"/>
  <c r="AY14" i="21"/>
  <c r="AW14" i="21"/>
  <c r="AT14" i="21"/>
  <c r="BU14" i="21" s="1"/>
  <c r="BY14" i="21" s="1"/>
  <c r="CB14" i="21" s="1"/>
  <c r="AR14" i="21"/>
  <c r="BT14" i="21" s="1"/>
  <c r="BV14" i="21" s="1"/>
  <c r="AB14" i="21"/>
  <c r="W14" i="21"/>
  <c r="CF14" i="21" s="1"/>
  <c r="N14" i="21"/>
  <c r="L14" i="21"/>
  <c r="J14" i="21"/>
  <c r="CL13" i="21"/>
  <c r="CH13" i="21"/>
  <c r="CE13" i="21"/>
  <c r="BS13" i="21"/>
  <c r="BQ13" i="21"/>
  <c r="BN13" i="21"/>
  <c r="BL13" i="21"/>
  <c r="BI13" i="21"/>
  <c r="BG13" i="21"/>
  <c r="BD13" i="21"/>
  <c r="BB13" i="21"/>
  <c r="AY13" i="21"/>
  <c r="AW13" i="21"/>
  <c r="AT13" i="21"/>
  <c r="AR13" i="21"/>
  <c r="BT13" i="21" s="1"/>
  <c r="BV13" i="21" s="1"/>
  <c r="BW13" i="21" s="1"/>
  <c r="AB13" i="21"/>
  <c r="W13" i="21"/>
  <c r="CF13" i="21" s="1"/>
  <c r="N13" i="21"/>
  <c r="L13" i="21"/>
  <c r="J13" i="21"/>
  <c r="CL12" i="21"/>
  <c r="CH12" i="21"/>
  <c r="CE12" i="21"/>
  <c r="BS12" i="21"/>
  <c r="BQ12" i="21"/>
  <c r="BN12" i="21"/>
  <c r="BL12" i="21"/>
  <c r="BI12" i="21"/>
  <c r="BG12" i="21"/>
  <c r="BD12" i="21"/>
  <c r="BB12" i="21"/>
  <c r="AY12" i="21"/>
  <c r="AW12" i="21"/>
  <c r="AT12" i="21"/>
  <c r="BU12" i="21" s="1"/>
  <c r="BY12" i="21" s="1"/>
  <c r="AR12" i="21"/>
  <c r="BT12" i="21" s="1"/>
  <c r="BV12" i="21" s="1"/>
  <c r="BW12" i="21" s="1"/>
  <c r="AB12" i="21"/>
  <c r="W12" i="21"/>
  <c r="N12" i="21"/>
  <c r="L12" i="21"/>
  <c r="J12" i="21"/>
  <c r="CL11" i="21"/>
  <c r="CH11" i="21"/>
  <c r="CF11" i="21"/>
  <c r="CE11" i="21"/>
  <c r="BS11" i="21"/>
  <c r="BQ11" i="21"/>
  <c r="BN11" i="21"/>
  <c r="BL11" i="21"/>
  <c r="BI11" i="21"/>
  <c r="BG11" i="21"/>
  <c r="BD11" i="21"/>
  <c r="BB11" i="21"/>
  <c r="AY11" i="21"/>
  <c r="AW11" i="21"/>
  <c r="AT11" i="21"/>
  <c r="AR11" i="21"/>
  <c r="AB11" i="21"/>
  <c r="W11" i="21"/>
  <c r="N11" i="21"/>
  <c r="L11" i="21"/>
  <c r="J11" i="21"/>
  <c r="CL10" i="21"/>
  <c r="CH10" i="21"/>
  <c r="CF10" i="21"/>
  <c r="CE10" i="21"/>
  <c r="BS10" i="21"/>
  <c r="BQ10" i="21"/>
  <c r="BN10" i="21"/>
  <c r="BL10" i="21"/>
  <c r="BI10" i="21"/>
  <c r="BG10" i="21"/>
  <c r="BD10" i="21"/>
  <c r="BB10" i="21"/>
  <c r="AY10" i="21"/>
  <c r="AW10" i="21"/>
  <c r="AT10" i="21"/>
  <c r="BU10" i="21" s="1"/>
  <c r="BY10" i="21" s="1"/>
  <c r="AR10" i="21"/>
  <c r="BT10" i="21" s="1"/>
  <c r="BV10" i="21" s="1"/>
  <c r="BW10" i="21" s="1"/>
  <c r="AB10" i="21"/>
  <c r="W10" i="21"/>
  <c r="N10" i="21"/>
  <c r="L10" i="21"/>
  <c r="J10" i="21"/>
  <c r="CL9" i="21"/>
  <c r="CH9" i="21"/>
  <c r="CE9" i="21"/>
  <c r="BU9" i="21"/>
  <c r="BY9" i="21" s="1"/>
  <c r="BS9" i="21"/>
  <c r="BQ9" i="21"/>
  <c r="BN9" i="21"/>
  <c r="BL9" i="21"/>
  <c r="BI9" i="21"/>
  <c r="BG9" i="21"/>
  <c r="BD9" i="21"/>
  <c r="BB9" i="21"/>
  <c r="AY9" i="21"/>
  <c r="AW9" i="21"/>
  <c r="AT9" i="21"/>
  <c r="AR9" i="21"/>
  <c r="BT9" i="21" s="1"/>
  <c r="BV9" i="21" s="1"/>
  <c r="BW9" i="21" s="1"/>
  <c r="AB9" i="21"/>
  <c r="W9" i="21"/>
  <c r="N9" i="21"/>
  <c r="L9" i="21"/>
  <c r="J9" i="21"/>
  <c r="CL8" i="21"/>
  <c r="CH8" i="21"/>
  <c r="CF8" i="21"/>
  <c r="CE8" i="21"/>
  <c r="BS8" i="21"/>
  <c r="BQ8" i="21"/>
  <c r="BN8" i="21"/>
  <c r="BL8" i="21"/>
  <c r="BI8" i="21"/>
  <c r="BG8" i="21"/>
  <c r="BD8" i="21"/>
  <c r="BB8" i="21"/>
  <c r="AY8" i="21"/>
  <c r="AW8" i="21"/>
  <c r="AT8" i="21"/>
  <c r="AR8" i="21"/>
  <c r="BT8" i="21" s="1"/>
  <c r="BV8" i="21" s="1"/>
  <c r="BW8" i="21" s="1"/>
  <c r="AB8" i="21"/>
  <c r="W8" i="21"/>
  <c r="N8" i="21"/>
  <c r="L8" i="21"/>
  <c r="J8" i="21"/>
  <c r="CL7" i="21"/>
  <c r="CH7" i="21"/>
  <c r="CF7" i="21"/>
  <c r="CE7" i="21"/>
  <c r="BS7" i="21"/>
  <c r="BQ7" i="21"/>
  <c r="BN7" i="21"/>
  <c r="BL7" i="21"/>
  <c r="BI7" i="21"/>
  <c r="BG7" i="21"/>
  <c r="BD7" i="21"/>
  <c r="BB7" i="21"/>
  <c r="AY7" i="21"/>
  <c r="AW7" i="21"/>
  <c r="AT7" i="21"/>
  <c r="BU7" i="21" s="1"/>
  <c r="BY7" i="21" s="1"/>
  <c r="AR7" i="21"/>
  <c r="BT7" i="21" s="1"/>
  <c r="BV7" i="21" s="1"/>
  <c r="AB7" i="21"/>
  <c r="W7" i="21"/>
  <c r="CB7" i="21" s="1"/>
  <c r="N7" i="21"/>
  <c r="L7" i="21"/>
  <c r="J7" i="21"/>
  <c r="CL6" i="21"/>
  <c r="CH6" i="21"/>
  <c r="CE6" i="21"/>
  <c r="BU6" i="21"/>
  <c r="BY6" i="21" s="1"/>
  <c r="BS6" i="21"/>
  <c r="BQ6" i="21"/>
  <c r="BN6" i="21"/>
  <c r="BL6" i="21"/>
  <c r="BI6" i="21"/>
  <c r="BG6" i="21"/>
  <c r="BD6" i="21"/>
  <c r="BB6" i="21"/>
  <c r="AY6" i="21"/>
  <c r="AW6" i="21"/>
  <c r="AT6" i="21"/>
  <c r="AR6" i="21"/>
  <c r="BT6" i="21" s="1"/>
  <c r="BV6" i="21" s="1"/>
  <c r="BW6" i="21" s="1"/>
  <c r="AB6" i="21"/>
  <c r="W6" i="21"/>
  <c r="N6" i="21"/>
  <c r="L6" i="21"/>
  <c r="J6" i="21"/>
  <c r="CL5" i="21"/>
  <c r="CH5" i="21"/>
  <c r="CE5" i="21"/>
  <c r="BS5" i="21"/>
  <c r="BQ5" i="21"/>
  <c r="BN5" i="21"/>
  <c r="BL5" i="21"/>
  <c r="BI5" i="21"/>
  <c r="BG5" i="21"/>
  <c r="BD5" i="21"/>
  <c r="BB5" i="21"/>
  <c r="AY5" i="21"/>
  <c r="AW5" i="21"/>
  <c r="AT5" i="21"/>
  <c r="BU5" i="21" s="1"/>
  <c r="BY5" i="21" s="1"/>
  <c r="AR5" i="21"/>
  <c r="BT5" i="21" s="1"/>
  <c r="BV5" i="21" s="1"/>
  <c r="BW5" i="21" s="1"/>
  <c r="AB5" i="21"/>
  <c r="W5" i="21"/>
  <c r="N5" i="21"/>
  <c r="L5" i="21"/>
  <c r="J5" i="21"/>
  <c r="CL4" i="21"/>
  <c r="CH4" i="21"/>
  <c r="CF4" i="21"/>
  <c r="CE4" i="21"/>
  <c r="BS4" i="21"/>
  <c r="BQ4" i="21"/>
  <c r="BN4" i="21"/>
  <c r="BL4" i="21"/>
  <c r="BI4" i="21"/>
  <c r="BG4" i="21"/>
  <c r="BD4" i="21"/>
  <c r="BB4" i="21"/>
  <c r="AY4" i="21"/>
  <c r="AW4" i="21"/>
  <c r="AT4" i="21"/>
  <c r="BU4" i="21" s="1"/>
  <c r="BY4" i="21" s="1"/>
  <c r="CB4" i="21" s="1"/>
  <c r="AR4" i="21"/>
  <c r="AB4" i="21"/>
  <c r="W4" i="21"/>
  <c r="N4" i="21"/>
  <c r="L4" i="21"/>
  <c r="J4" i="21"/>
  <c r="R339" i="20"/>
  <c r="O339" i="20"/>
  <c r="M339" i="20"/>
  <c r="P339" i="20" s="1"/>
  <c r="R338" i="20"/>
  <c r="O338" i="20"/>
  <c r="M338" i="20"/>
  <c r="P338" i="20" s="1"/>
  <c r="R337" i="20"/>
  <c r="O337" i="20"/>
  <c r="M337" i="20"/>
  <c r="R336" i="20"/>
  <c r="P336" i="20"/>
  <c r="O336" i="20"/>
  <c r="M336" i="20"/>
  <c r="N336" i="20" s="1"/>
  <c r="R335" i="20"/>
  <c r="O335" i="20"/>
  <c r="M335" i="20"/>
  <c r="R334" i="20"/>
  <c r="P334" i="20"/>
  <c r="O334" i="20"/>
  <c r="N334" i="20"/>
  <c r="M334" i="20"/>
  <c r="R333" i="20"/>
  <c r="O333" i="20"/>
  <c r="M333" i="20"/>
  <c r="N333" i="20" s="1"/>
  <c r="R332" i="20"/>
  <c r="P332" i="20"/>
  <c r="O332" i="20"/>
  <c r="N332" i="20"/>
  <c r="M332" i="20"/>
  <c r="R331" i="20"/>
  <c r="P331" i="20"/>
  <c r="O331" i="20"/>
  <c r="N331" i="20"/>
  <c r="M331" i="20"/>
  <c r="R330" i="20"/>
  <c r="P330" i="20"/>
  <c r="O330" i="20"/>
  <c r="N330" i="20"/>
  <c r="M330" i="20"/>
  <c r="R329" i="20"/>
  <c r="P329" i="20"/>
  <c r="O329" i="20"/>
  <c r="N329" i="20"/>
  <c r="M329" i="20"/>
  <c r="R328" i="20"/>
  <c r="O328" i="20"/>
  <c r="N328" i="20"/>
  <c r="M328" i="20"/>
  <c r="P328" i="20" s="1"/>
  <c r="R327" i="20"/>
  <c r="O327" i="20"/>
  <c r="M327" i="20"/>
  <c r="P327" i="20" s="1"/>
  <c r="R326" i="20"/>
  <c r="O326" i="20"/>
  <c r="M326" i="20"/>
  <c r="P326" i="20" s="1"/>
  <c r="R325" i="20"/>
  <c r="O325" i="20"/>
  <c r="M325" i="20"/>
  <c r="R324" i="20"/>
  <c r="O324" i="20"/>
  <c r="M324" i="20"/>
  <c r="N324" i="20" s="1"/>
  <c r="R323" i="20"/>
  <c r="O323" i="20"/>
  <c r="M323" i="20"/>
  <c r="R322" i="20"/>
  <c r="P322" i="20"/>
  <c r="O322" i="20"/>
  <c r="N322" i="20"/>
  <c r="M322" i="20"/>
  <c r="R321" i="20"/>
  <c r="O321" i="20"/>
  <c r="M321" i="20"/>
  <c r="N321" i="20" s="1"/>
  <c r="R320" i="20"/>
  <c r="O320" i="20"/>
  <c r="M320" i="20"/>
  <c r="R319" i="20"/>
  <c r="P319" i="20"/>
  <c r="O319" i="20"/>
  <c r="N319" i="20"/>
  <c r="M319" i="20"/>
  <c r="R318" i="20"/>
  <c r="P318" i="20"/>
  <c r="O318" i="20"/>
  <c r="N318" i="20"/>
  <c r="M318" i="20"/>
  <c r="R317" i="20"/>
  <c r="P317" i="20"/>
  <c r="O317" i="20"/>
  <c r="N317" i="20"/>
  <c r="M317" i="20"/>
  <c r="R316" i="20"/>
  <c r="O316" i="20"/>
  <c r="N316" i="20"/>
  <c r="M316" i="20"/>
  <c r="P316" i="20" s="1"/>
  <c r="R315" i="20"/>
  <c r="O315" i="20"/>
  <c r="M315" i="20"/>
  <c r="P315" i="20" s="1"/>
  <c r="R314" i="20"/>
  <c r="O314" i="20"/>
  <c r="M314" i="20"/>
  <c r="P314" i="20" s="1"/>
  <c r="R313" i="20"/>
  <c r="O313" i="20"/>
  <c r="M313" i="20"/>
  <c r="R312" i="20"/>
  <c r="O312" i="20"/>
  <c r="M312" i="20"/>
  <c r="N312" i="20" s="1"/>
  <c r="R311" i="20"/>
  <c r="O311" i="20"/>
  <c r="M311" i="20"/>
  <c r="R310" i="20"/>
  <c r="P310" i="20"/>
  <c r="O310" i="20"/>
  <c r="N310" i="20"/>
  <c r="M310" i="20"/>
  <c r="R309" i="20"/>
  <c r="O309" i="20"/>
  <c r="M309" i="20"/>
  <c r="N309" i="20" s="1"/>
  <c r="R308" i="20"/>
  <c r="O308" i="20"/>
  <c r="N308" i="20"/>
  <c r="M308" i="20"/>
  <c r="P308" i="20" s="1"/>
  <c r="R307" i="20"/>
  <c r="P307" i="20"/>
  <c r="O307" i="20"/>
  <c r="N307" i="20"/>
  <c r="M307" i="20"/>
  <c r="R306" i="20"/>
  <c r="P306" i="20"/>
  <c r="O306" i="20"/>
  <c r="N306" i="20"/>
  <c r="M306" i="20"/>
  <c r="R305" i="20"/>
  <c r="P305" i="20"/>
  <c r="O305" i="20"/>
  <c r="N305" i="20"/>
  <c r="M305" i="20"/>
  <c r="R304" i="20"/>
  <c r="O304" i="20"/>
  <c r="N304" i="20"/>
  <c r="M304" i="20"/>
  <c r="P304" i="20" s="1"/>
  <c r="R303" i="20"/>
  <c r="O303" i="20"/>
  <c r="M303" i="20"/>
  <c r="P303" i="20" s="1"/>
  <c r="R302" i="20"/>
  <c r="O302" i="20"/>
  <c r="M302" i="20"/>
  <c r="P302" i="20" s="1"/>
  <c r="R301" i="20"/>
  <c r="O301" i="20"/>
  <c r="M301" i="20"/>
  <c r="R300" i="20"/>
  <c r="P300" i="20"/>
  <c r="O300" i="20"/>
  <c r="M300" i="20"/>
  <c r="N300" i="20" s="1"/>
  <c r="R299" i="20"/>
  <c r="O299" i="20"/>
  <c r="M299" i="20"/>
  <c r="R298" i="20"/>
  <c r="P298" i="20"/>
  <c r="O298" i="20"/>
  <c r="N298" i="20"/>
  <c r="M298" i="20"/>
  <c r="R297" i="20"/>
  <c r="P297" i="20"/>
  <c r="O297" i="20"/>
  <c r="M297" i="20"/>
  <c r="N297" i="20" s="1"/>
  <c r="R296" i="20"/>
  <c r="P296" i="20"/>
  <c r="O296" i="20"/>
  <c r="M296" i="20"/>
  <c r="N296" i="20" s="1"/>
  <c r="R295" i="20"/>
  <c r="P295" i="20"/>
  <c r="O295" i="20"/>
  <c r="N295" i="20"/>
  <c r="M295" i="20"/>
  <c r="R294" i="20"/>
  <c r="P294" i="20"/>
  <c r="O294" i="20"/>
  <c r="N294" i="20"/>
  <c r="M294" i="20"/>
  <c r="R293" i="20"/>
  <c r="P293" i="20"/>
  <c r="O293" i="20"/>
  <c r="N293" i="20"/>
  <c r="M293" i="20"/>
  <c r="R292" i="20"/>
  <c r="O292" i="20"/>
  <c r="N292" i="20"/>
  <c r="M292" i="20"/>
  <c r="P292" i="20" s="1"/>
  <c r="R291" i="20"/>
  <c r="O291" i="20"/>
  <c r="N291" i="20"/>
  <c r="M291" i="20"/>
  <c r="P291" i="20" s="1"/>
  <c r="R290" i="20"/>
  <c r="O290" i="20"/>
  <c r="M290" i="20"/>
  <c r="P290" i="20" s="1"/>
  <c r="R289" i="20"/>
  <c r="O289" i="20"/>
  <c r="M289" i="20"/>
  <c r="R288" i="20"/>
  <c r="O288" i="20"/>
  <c r="M288" i="20"/>
  <c r="R287" i="20"/>
  <c r="O287" i="20"/>
  <c r="M287" i="20"/>
  <c r="R286" i="20"/>
  <c r="O286" i="20"/>
  <c r="M286" i="20"/>
  <c r="P286" i="20" s="1"/>
  <c r="R285" i="20"/>
  <c r="O285" i="20"/>
  <c r="M285" i="20"/>
  <c r="R284" i="20"/>
  <c r="P284" i="20"/>
  <c r="O284" i="20"/>
  <c r="N284" i="20"/>
  <c r="M284" i="20"/>
  <c r="R283" i="20"/>
  <c r="P283" i="20"/>
  <c r="O283" i="20"/>
  <c r="N283" i="20"/>
  <c r="M283" i="20"/>
  <c r="R282" i="20"/>
  <c r="P282" i="20"/>
  <c r="O282" i="20"/>
  <c r="N282" i="20"/>
  <c r="M282" i="20"/>
  <c r="R281" i="20"/>
  <c r="P281" i="20"/>
  <c r="O281" i="20"/>
  <c r="N281" i="20"/>
  <c r="M281" i="20"/>
  <c r="R280" i="20"/>
  <c r="O280" i="20"/>
  <c r="N280" i="20"/>
  <c r="M280" i="20"/>
  <c r="P280" i="20" s="1"/>
  <c r="R279" i="20"/>
  <c r="O279" i="20"/>
  <c r="N279" i="20"/>
  <c r="M279" i="20"/>
  <c r="P279" i="20" s="1"/>
  <c r="R278" i="20"/>
  <c r="O278" i="20"/>
  <c r="M278" i="20"/>
  <c r="P278" i="20" s="1"/>
  <c r="R277" i="20"/>
  <c r="O277" i="20"/>
  <c r="M277" i="20"/>
  <c r="R276" i="20"/>
  <c r="P276" i="20"/>
  <c r="O276" i="20"/>
  <c r="M276" i="20"/>
  <c r="N276" i="20" s="1"/>
  <c r="R275" i="20"/>
  <c r="O275" i="20"/>
  <c r="M275" i="20"/>
  <c r="R274" i="20"/>
  <c r="O274" i="20"/>
  <c r="M274" i="20"/>
  <c r="P274" i="20" s="1"/>
  <c r="R273" i="20"/>
  <c r="P273" i="20"/>
  <c r="O273" i="20"/>
  <c r="M273" i="20"/>
  <c r="N273" i="20" s="1"/>
  <c r="R272" i="20"/>
  <c r="O272" i="20"/>
  <c r="M272" i="20"/>
  <c r="P272" i="20" s="1"/>
  <c r="R271" i="20"/>
  <c r="P271" i="20"/>
  <c r="O271" i="20"/>
  <c r="N271" i="20"/>
  <c r="M271" i="20"/>
  <c r="R270" i="20"/>
  <c r="P270" i="20"/>
  <c r="O270" i="20"/>
  <c r="N270" i="20"/>
  <c r="M270" i="20"/>
  <c r="R269" i="20"/>
  <c r="P269" i="20"/>
  <c r="O269" i="20"/>
  <c r="N269" i="20"/>
  <c r="M269" i="20"/>
  <c r="R268" i="20"/>
  <c r="O268" i="20"/>
  <c r="N268" i="20"/>
  <c r="M268" i="20"/>
  <c r="P268" i="20" s="1"/>
  <c r="R267" i="20"/>
  <c r="O267" i="20"/>
  <c r="M267" i="20"/>
  <c r="P267" i="20" s="1"/>
  <c r="R266" i="20"/>
  <c r="O266" i="20"/>
  <c r="M266" i="20"/>
  <c r="P266" i="20" s="1"/>
  <c r="R265" i="20"/>
  <c r="P265" i="20"/>
  <c r="O265" i="20"/>
  <c r="M265" i="20"/>
  <c r="N265" i="20" s="1"/>
  <c r="R264" i="20"/>
  <c r="P264" i="20"/>
  <c r="O264" i="20"/>
  <c r="M264" i="20"/>
  <c r="N264" i="20" s="1"/>
  <c r="R263" i="20"/>
  <c r="O263" i="20"/>
  <c r="N263" i="20"/>
  <c r="M263" i="20"/>
  <c r="P263" i="20" s="1"/>
  <c r="R262" i="20"/>
  <c r="P262" i="20"/>
  <c r="O262" i="20"/>
  <c r="N262" i="20"/>
  <c r="M262" i="20"/>
  <c r="R261" i="20"/>
  <c r="O261" i="20"/>
  <c r="M261" i="20"/>
  <c r="N261" i="20" s="1"/>
  <c r="R260" i="20"/>
  <c r="O260" i="20"/>
  <c r="M260" i="20"/>
  <c r="R259" i="20"/>
  <c r="P259" i="20"/>
  <c r="O259" i="20"/>
  <c r="N259" i="20"/>
  <c r="M259" i="20"/>
  <c r="R258" i="20"/>
  <c r="P258" i="20"/>
  <c r="O258" i="20"/>
  <c r="N258" i="20"/>
  <c r="M258" i="20"/>
  <c r="R257" i="20"/>
  <c r="P257" i="20"/>
  <c r="O257" i="20"/>
  <c r="N257" i="20"/>
  <c r="M257" i="20"/>
  <c r="R256" i="20"/>
  <c r="O256" i="20"/>
  <c r="M256" i="20"/>
  <c r="P256" i="20" s="1"/>
  <c r="R255" i="20"/>
  <c r="O255" i="20"/>
  <c r="M255" i="20"/>
  <c r="P255" i="20" s="1"/>
  <c r="R254" i="20"/>
  <c r="O254" i="20"/>
  <c r="N254" i="20"/>
  <c r="M254" i="20"/>
  <c r="P254" i="20" s="1"/>
  <c r="R253" i="20"/>
  <c r="O253" i="20"/>
  <c r="M253" i="20"/>
  <c r="P253" i="20" s="1"/>
  <c r="R252" i="20"/>
  <c r="O252" i="20"/>
  <c r="M252" i="20"/>
  <c r="P252" i="20" s="1"/>
  <c r="R251" i="20"/>
  <c r="P251" i="20"/>
  <c r="O251" i="20"/>
  <c r="N251" i="20"/>
  <c r="M251" i="20"/>
  <c r="R250" i="20"/>
  <c r="O250" i="20"/>
  <c r="M250" i="20"/>
  <c r="P250" i="20" s="1"/>
  <c r="R249" i="20"/>
  <c r="P249" i="20"/>
  <c r="O249" i="20"/>
  <c r="M249" i="20"/>
  <c r="N249" i="20" s="1"/>
  <c r="R248" i="20"/>
  <c r="O248" i="20"/>
  <c r="M248" i="20"/>
  <c r="P248" i="20" s="1"/>
  <c r="R247" i="20"/>
  <c r="O247" i="20"/>
  <c r="N247" i="20"/>
  <c r="M247" i="20"/>
  <c r="P247" i="20" s="1"/>
  <c r="R246" i="20"/>
  <c r="P246" i="20"/>
  <c r="O246" i="20"/>
  <c r="M246" i="20"/>
  <c r="N246" i="20" s="1"/>
  <c r="R245" i="20"/>
  <c r="O245" i="20"/>
  <c r="M245" i="20"/>
  <c r="R244" i="20"/>
  <c r="P244" i="20"/>
  <c r="O244" i="20"/>
  <c r="N244" i="20"/>
  <c r="M244" i="20"/>
  <c r="R243" i="20"/>
  <c r="P243" i="20"/>
  <c r="O243" i="20"/>
  <c r="N243" i="20"/>
  <c r="M243" i="20"/>
  <c r="R242" i="20"/>
  <c r="P242" i="20"/>
  <c r="O242" i="20"/>
  <c r="N242" i="20"/>
  <c r="M242" i="20"/>
  <c r="R241" i="20"/>
  <c r="O241" i="20"/>
  <c r="M241" i="20"/>
  <c r="P241" i="20" s="1"/>
  <c r="R240" i="20"/>
  <c r="O240" i="20"/>
  <c r="M240" i="20"/>
  <c r="P240" i="20" s="1"/>
  <c r="R239" i="20"/>
  <c r="P239" i="20"/>
  <c r="O239" i="20"/>
  <c r="N239" i="20"/>
  <c r="M239" i="20"/>
  <c r="R238" i="20"/>
  <c r="O238" i="20"/>
  <c r="M238" i="20"/>
  <c r="P238" i="20" s="1"/>
  <c r="R237" i="20"/>
  <c r="P237" i="20"/>
  <c r="O237" i="20"/>
  <c r="M237" i="20"/>
  <c r="N237" i="20" s="1"/>
  <c r="R236" i="20"/>
  <c r="O236" i="20"/>
  <c r="M236" i="20"/>
  <c r="P236" i="20" s="1"/>
  <c r="R235" i="20"/>
  <c r="O235" i="20"/>
  <c r="N235" i="20"/>
  <c r="M235" i="20"/>
  <c r="P235" i="20" s="1"/>
  <c r="R234" i="20"/>
  <c r="P234" i="20"/>
  <c r="O234" i="20"/>
  <c r="M234" i="20"/>
  <c r="N234" i="20" s="1"/>
  <c r="R233" i="20"/>
  <c r="O233" i="20"/>
  <c r="M233" i="20"/>
  <c r="R232" i="20"/>
  <c r="P232" i="20"/>
  <c r="O232" i="20"/>
  <c r="N232" i="20"/>
  <c r="M232" i="20"/>
  <c r="R231" i="20"/>
  <c r="P231" i="20"/>
  <c r="O231" i="20"/>
  <c r="N231" i="20"/>
  <c r="M231" i="20"/>
  <c r="R230" i="20"/>
  <c r="P230" i="20"/>
  <c r="O230" i="20"/>
  <c r="N230" i="20"/>
  <c r="M230" i="20"/>
  <c r="R229" i="20"/>
  <c r="O229" i="20"/>
  <c r="M229" i="20"/>
  <c r="P229" i="20" s="1"/>
  <c r="R228" i="20"/>
  <c r="O228" i="20"/>
  <c r="M228" i="20"/>
  <c r="P228" i="20" s="1"/>
  <c r="R227" i="20"/>
  <c r="P227" i="20"/>
  <c r="O227" i="20"/>
  <c r="N227" i="20"/>
  <c r="M227" i="20"/>
  <c r="R226" i="20"/>
  <c r="O226" i="20"/>
  <c r="M226" i="20"/>
  <c r="P226" i="20" s="1"/>
  <c r="R225" i="20"/>
  <c r="P225" i="20"/>
  <c r="O225" i="20"/>
  <c r="M225" i="20"/>
  <c r="N225" i="20" s="1"/>
  <c r="R224" i="20"/>
  <c r="O224" i="20"/>
  <c r="M224" i="20"/>
  <c r="P224" i="20" s="1"/>
  <c r="R223" i="20"/>
  <c r="O223" i="20"/>
  <c r="N223" i="20"/>
  <c r="M223" i="20"/>
  <c r="P223" i="20" s="1"/>
  <c r="R222" i="20"/>
  <c r="P222" i="20"/>
  <c r="O222" i="20"/>
  <c r="M222" i="20"/>
  <c r="N222" i="20" s="1"/>
  <c r="R221" i="20"/>
  <c r="O221" i="20"/>
  <c r="M221" i="20"/>
  <c r="R220" i="20"/>
  <c r="P220" i="20"/>
  <c r="O220" i="20"/>
  <c r="N220" i="20"/>
  <c r="M220" i="20"/>
  <c r="R219" i="20"/>
  <c r="P219" i="20"/>
  <c r="O219" i="20"/>
  <c r="N219" i="20"/>
  <c r="M219" i="20"/>
  <c r="R218" i="20"/>
  <c r="P218" i="20"/>
  <c r="O218" i="20"/>
  <c r="N218" i="20"/>
  <c r="M218" i="20"/>
  <c r="R217" i="20"/>
  <c r="O217" i="20"/>
  <c r="M217" i="20"/>
  <c r="P217" i="20" s="1"/>
  <c r="R216" i="20"/>
  <c r="O216" i="20"/>
  <c r="M216" i="20"/>
  <c r="P216" i="20" s="1"/>
  <c r="R215" i="20"/>
  <c r="P215" i="20"/>
  <c r="O215" i="20"/>
  <c r="N215" i="20"/>
  <c r="M215" i="20"/>
  <c r="R214" i="20"/>
  <c r="O214" i="20"/>
  <c r="M214" i="20"/>
  <c r="P214" i="20" s="1"/>
  <c r="R213" i="20"/>
  <c r="P213" i="20"/>
  <c r="O213" i="20"/>
  <c r="M213" i="20"/>
  <c r="N213" i="20" s="1"/>
  <c r="R212" i="20"/>
  <c r="O212" i="20"/>
  <c r="M212" i="20"/>
  <c r="P212" i="20" s="1"/>
  <c r="R211" i="20"/>
  <c r="O211" i="20"/>
  <c r="N211" i="20"/>
  <c r="M211" i="20"/>
  <c r="P211" i="20" s="1"/>
  <c r="R210" i="20"/>
  <c r="P210" i="20"/>
  <c r="O210" i="20"/>
  <c r="M210" i="20"/>
  <c r="N210" i="20" s="1"/>
  <c r="R209" i="20"/>
  <c r="O209" i="20"/>
  <c r="M209" i="20"/>
  <c r="R208" i="20"/>
  <c r="P208" i="20"/>
  <c r="O208" i="20"/>
  <c r="N208" i="20"/>
  <c r="M208" i="20"/>
  <c r="R207" i="20"/>
  <c r="P207" i="20"/>
  <c r="O207" i="20"/>
  <c r="N207" i="20"/>
  <c r="M207" i="20"/>
  <c r="R206" i="20"/>
  <c r="P206" i="20"/>
  <c r="O206" i="20"/>
  <c r="N206" i="20"/>
  <c r="M206" i="20"/>
  <c r="R205" i="20"/>
  <c r="O205" i="20"/>
  <c r="M205" i="20"/>
  <c r="P205" i="20" s="1"/>
  <c r="R204" i="20"/>
  <c r="O204" i="20"/>
  <c r="M204" i="20"/>
  <c r="P204" i="20" s="1"/>
  <c r="R203" i="20"/>
  <c r="P203" i="20"/>
  <c r="O203" i="20"/>
  <c r="N203" i="20"/>
  <c r="M203" i="20"/>
  <c r="R202" i="20"/>
  <c r="O202" i="20"/>
  <c r="M202" i="20"/>
  <c r="P202" i="20" s="1"/>
  <c r="R201" i="20"/>
  <c r="P201" i="20"/>
  <c r="O201" i="20"/>
  <c r="M201" i="20"/>
  <c r="N201" i="20" s="1"/>
  <c r="R200" i="20"/>
  <c r="O200" i="20"/>
  <c r="M200" i="20"/>
  <c r="P200" i="20" s="1"/>
  <c r="R199" i="20"/>
  <c r="O199" i="20"/>
  <c r="N199" i="20"/>
  <c r="M199" i="20"/>
  <c r="P199" i="20" s="1"/>
  <c r="R198" i="20"/>
  <c r="P198" i="20"/>
  <c r="O198" i="20"/>
  <c r="M198" i="20"/>
  <c r="N198" i="20" s="1"/>
  <c r="R197" i="20"/>
  <c r="O197" i="20"/>
  <c r="M197" i="20"/>
  <c r="R196" i="20"/>
  <c r="P196" i="20"/>
  <c r="O196" i="20"/>
  <c r="N196" i="20"/>
  <c r="M196" i="20"/>
  <c r="R195" i="20"/>
  <c r="P195" i="20"/>
  <c r="O195" i="20"/>
  <c r="N195" i="20"/>
  <c r="M195" i="20"/>
  <c r="R194" i="20"/>
  <c r="P194" i="20"/>
  <c r="O194" i="20"/>
  <c r="N194" i="20"/>
  <c r="M194" i="20"/>
  <c r="R193" i="20"/>
  <c r="O193" i="20"/>
  <c r="M193" i="20"/>
  <c r="P193" i="20" s="1"/>
  <c r="R192" i="20"/>
  <c r="O192" i="20"/>
  <c r="M192" i="20"/>
  <c r="P192" i="20" s="1"/>
  <c r="R191" i="20"/>
  <c r="P191" i="20"/>
  <c r="O191" i="20"/>
  <c r="N191" i="20"/>
  <c r="M191" i="20"/>
  <c r="R190" i="20"/>
  <c r="O190" i="20"/>
  <c r="M190" i="20"/>
  <c r="P190" i="20" s="1"/>
  <c r="R189" i="20"/>
  <c r="P189" i="20"/>
  <c r="O189" i="20"/>
  <c r="M189" i="20"/>
  <c r="N189" i="20" s="1"/>
  <c r="R188" i="20"/>
  <c r="O188" i="20"/>
  <c r="M188" i="20"/>
  <c r="P188" i="20" s="1"/>
  <c r="R187" i="20"/>
  <c r="O187" i="20"/>
  <c r="N187" i="20"/>
  <c r="M187" i="20"/>
  <c r="P187" i="20" s="1"/>
  <c r="R186" i="20"/>
  <c r="P186" i="20"/>
  <c r="O186" i="20"/>
  <c r="M186" i="20"/>
  <c r="N186" i="20" s="1"/>
  <c r="R185" i="20"/>
  <c r="O185" i="20"/>
  <c r="M185" i="20"/>
  <c r="R184" i="20"/>
  <c r="P184" i="20"/>
  <c r="O184" i="20"/>
  <c r="N184" i="20"/>
  <c r="M184" i="20"/>
  <c r="R183" i="20"/>
  <c r="P183" i="20"/>
  <c r="O183" i="20"/>
  <c r="N183" i="20"/>
  <c r="M183" i="20"/>
  <c r="R182" i="20"/>
  <c r="P182" i="20"/>
  <c r="O182" i="20"/>
  <c r="N182" i="20"/>
  <c r="M182" i="20"/>
  <c r="R181" i="20"/>
  <c r="O181" i="20"/>
  <c r="M181" i="20"/>
  <c r="P181" i="20" s="1"/>
  <c r="R180" i="20"/>
  <c r="O180" i="20"/>
  <c r="M180" i="20"/>
  <c r="P180" i="20" s="1"/>
  <c r="R179" i="20"/>
  <c r="P179" i="20"/>
  <c r="O179" i="20"/>
  <c r="N179" i="20"/>
  <c r="M179" i="20"/>
  <c r="R178" i="20"/>
  <c r="O178" i="20"/>
  <c r="M178" i="20"/>
  <c r="P178" i="20" s="1"/>
  <c r="R177" i="20"/>
  <c r="P177" i="20"/>
  <c r="O177" i="20"/>
  <c r="M177" i="20"/>
  <c r="N177" i="20" s="1"/>
  <c r="R176" i="20"/>
  <c r="O176" i="20"/>
  <c r="M176" i="20"/>
  <c r="P176" i="20" s="1"/>
  <c r="R175" i="20"/>
  <c r="O175" i="20"/>
  <c r="N175" i="20"/>
  <c r="M175" i="20"/>
  <c r="P175" i="20" s="1"/>
  <c r="R174" i="20"/>
  <c r="P174" i="20"/>
  <c r="O174" i="20"/>
  <c r="M174" i="20"/>
  <c r="N174" i="20" s="1"/>
  <c r="R173" i="20"/>
  <c r="O173" i="20"/>
  <c r="M173" i="20"/>
  <c r="R172" i="20"/>
  <c r="P172" i="20"/>
  <c r="O172" i="20"/>
  <c r="N172" i="20"/>
  <c r="M172" i="20"/>
  <c r="R171" i="20"/>
  <c r="P171" i="20"/>
  <c r="O171" i="20"/>
  <c r="N171" i="20"/>
  <c r="M171" i="20"/>
  <c r="R170" i="20"/>
  <c r="P170" i="20"/>
  <c r="O170" i="20"/>
  <c r="N170" i="20"/>
  <c r="M170" i="20"/>
  <c r="R169" i="20"/>
  <c r="O169" i="20"/>
  <c r="M169" i="20"/>
  <c r="P169" i="20" s="1"/>
  <c r="R168" i="20"/>
  <c r="O168" i="20"/>
  <c r="M168" i="20"/>
  <c r="P168" i="20" s="1"/>
  <c r="R167" i="20"/>
  <c r="P167" i="20"/>
  <c r="O167" i="20"/>
  <c r="N167" i="20"/>
  <c r="M167" i="20"/>
  <c r="R166" i="20"/>
  <c r="O166" i="20"/>
  <c r="M166" i="20"/>
  <c r="P166" i="20" s="1"/>
  <c r="P165" i="20"/>
  <c r="O165" i="20"/>
  <c r="N165" i="20"/>
  <c r="M165" i="20"/>
  <c r="R164" i="20"/>
  <c r="O164" i="20"/>
  <c r="M164" i="20"/>
  <c r="P164" i="20" s="1"/>
  <c r="R163" i="20"/>
  <c r="O163" i="20"/>
  <c r="M163" i="20"/>
  <c r="P163" i="20" s="1"/>
  <c r="R162" i="20"/>
  <c r="P162" i="20"/>
  <c r="O162" i="20"/>
  <c r="N162" i="20"/>
  <c r="M162" i="20"/>
  <c r="R161" i="20"/>
  <c r="O161" i="20"/>
  <c r="M161" i="20"/>
  <c r="P161" i="20" s="1"/>
  <c r="R160" i="20"/>
  <c r="P160" i="20"/>
  <c r="O160" i="20"/>
  <c r="M160" i="20"/>
  <c r="N160" i="20" s="1"/>
  <c r="R159" i="20"/>
  <c r="O159" i="20"/>
  <c r="M159" i="20"/>
  <c r="P159" i="20" s="1"/>
  <c r="R158" i="20"/>
  <c r="O158" i="20"/>
  <c r="N158" i="20"/>
  <c r="M158" i="20"/>
  <c r="P158" i="20" s="1"/>
  <c r="R157" i="20"/>
  <c r="P157" i="20"/>
  <c r="O157" i="20"/>
  <c r="M157" i="20"/>
  <c r="N157" i="20" s="1"/>
  <c r="R156" i="20"/>
  <c r="O156" i="20"/>
  <c r="M156" i="20"/>
  <c r="R155" i="20"/>
  <c r="P155" i="20"/>
  <c r="O155" i="20"/>
  <c r="N155" i="20"/>
  <c r="M155" i="20"/>
  <c r="R154" i="20"/>
  <c r="P154" i="20"/>
  <c r="O154" i="20"/>
  <c r="N154" i="20"/>
  <c r="M154" i="20"/>
  <c r="R153" i="20"/>
  <c r="P153" i="20"/>
  <c r="O153" i="20"/>
  <c r="N153" i="20"/>
  <c r="M153" i="20"/>
  <c r="R152" i="20"/>
  <c r="O152" i="20"/>
  <c r="M152" i="20"/>
  <c r="P152" i="20" s="1"/>
  <c r="R151" i="20"/>
  <c r="O151" i="20"/>
  <c r="M151" i="20"/>
  <c r="P151" i="20" s="1"/>
  <c r="R150" i="20"/>
  <c r="P150" i="20"/>
  <c r="O150" i="20"/>
  <c r="N150" i="20"/>
  <c r="M150" i="20"/>
  <c r="R149" i="20"/>
  <c r="O149" i="20"/>
  <c r="M149" i="20"/>
  <c r="P149" i="20" s="1"/>
  <c r="R148" i="20"/>
  <c r="P148" i="20"/>
  <c r="O148" i="20"/>
  <c r="M148" i="20"/>
  <c r="N148" i="20" s="1"/>
  <c r="R147" i="20"/>
  <c r="O147" i="20"/>
  <c r="M147" i="20"/>
  <c r="P147" i="20" s="1"/>
  <c r="R146" i="20"/>
  <c r="O146" i="20"/>
  <c r="N146" i="20"/>
  <c r="M146" i="20"/>
  <c r="P146" i="20" s="1"/>
  <c r="R145" i="20"/>
  <c r="P145" i="20"/>
  <c r="O145" i="20"/>
  <c r="M145" i="20"/>
  <c r="N145" i="20" s="1"/>
  <c r="R144" i="20"/>
  <c r="O144" i="20"/>
  <c r="M144" i="20"/>
  <c r="R143" i="20"/>
  <c r="P143" i="20"/>
  <c r="O143" i="20"/>
  <c r="N143" i="20"/>
  <c r="M143" i="20"/>
  <c r="R142" i="20"/>
  <c r="P142" i="20"/>
  <c r="O142" i="20"/>
  <c r="N142" i="20"/>
  <c r="M142" i="20"/>
  <c r="R141" i="20"/>
  <c r="P141" i="20"/>
  <c r="O141" i="20"/>
  <c r="N141" i="20"/>
  <c r="M141" i="20"/>
  <c r="R140" i="20"/>
  <c r="O140" i="20"/>
  <c r="M140" i="20"/>
  <c r="P140" i="20" s="1"/>
  <c r="R139" i="20"/>
  <c r="O139" i="20"/>
  <c r="M139" i="20"/>
  <c r="P139" i="20" s="1"/>
  <c r="R138" i="20"/>
  <c r="P138" i="20"/>
  <c r="O138" i="20"/>
  <c r="N138" i="20"/>
  <c r="M138" i="20"/>
  <c r="R137" i="20"/>
  <c r="O137" i="20"/>
  <c r="M137" i="20"/>
  <c r="P137" i="20" s="1"/>
  <c r="R136" i="20"/>
  <c r="P136" i="20"/>
  <c r="O136" i="20"/>
  <c r="M136" i="20"/>
  <c r="N136" i="20" s="1"/>
  <c r="R135" i="20"/>
  <c r="O135" i="20"/>
  <c r="M135" i="20"/>
  <c r="P135" i="20" s="1"/>
  <c r="R134" i="20"/>
  <c r="O134" i="20"/>
  <c r="N134" i="20"/>
  <c r="M134" i="20"/>
  <c r="P134" i="20" s="1"/>
  <c r="R133" i="20"/>
  <c r="P133" i="20"/>
  <c r="O133" i="20"/>
  <c r="M133" i="20"/>
  <c r="N133" i="20" s="1"/>
  <c r="R132" i="20"/>
  <c r="O132" i="20"/>
  <c r="M132" i="20"/>
  <c r="R131" i="20"/>
  <c r="P131" i="20"/>
  <c r="O131" i="20"/>
  <c r="N131" i="20"/>
  <c r="M131" i="20"/>
  <c r="R130" i="20"/>
  <c r="P130" i="20"/>
  <c r="O130" i="20"/>
  <c r="N130" i="20"/>
  <c r="M130" i="20"/>
  <c r="R129" i="20"/>
  <c r="P129" i="20"/>
  <c r="O129" i="20"/>
  <c r="N129" i="20"/>
  <c r="M129" i="20"/>
  <c r="R128" i="20"/>
  <c r="O128" i="20"/>
  <c r="M128" i="20"/>
  <c r="P128" i="20" s="1"/>
  <c r="R127" i="20"/>
  <c r="O127" i="20"/>
  <c r="M127" i="20"/>
  <c r="P127" i="20" s="1"/>
  <c r="R126" i="20"/>
  <c r="P126" i="20"/>
  <c r="O126" i="20"/>
  <c r="N126" i="20"/>
  <c r="M126" i="20"/>
  <c r="R125" i="20"/>
  <c r="P125" i="20"/>
  <c r="O125" i="20"/>
  <c r="M125" i="20"/>
  <c r="N125" i="20" s="1"/>
  <c r="R124" i="20"/>
  <c r="P124" i="20"/>
  <c r="O124" i="20"/>
  <c r="M124" i="20"/>
  <c r="N124" i="20" s="1"/>
  <c r="R123" i="20"/>
  <c r="O123" i="20"/>
  <c r="M123" i="20"/>
  <c r="P123" i="20" s="1"/>
  <c r="R122" i="20"/>
  <c r="O122" i="20"/>
  <c r="N122" i="20"/>
  <c r="M122" i="20"/>
  <c r="P122" i="20" s="1"/>
  <c r="R121" i="20"/>
  <c r="P121" i="20"/>
  <c r="O121" i="20"/>
  <c r="M121" i="20"/>
  <c r="N121" i="20" s="1"/>
  <c r="R120" i="20"/>
  <c r="O120" i="20"/>
  <c r="M120" i="20"/>
  <c r="R119" i="20"/>
  <c r="P119" i="20"/>
  <c r="O119" i="20"/>
  <c r="N119" i="20"/>
  <c r="M119" i="20"/>
  <c r="R118" i="20"/>
  <c r="P118" i="20"/>
  <c r="O118" i="20"/>
  <c r="N118" i="20"/>
  <c r="M118" i="20"/>
  <c r="R117" i="20"/>
  <c r="P117" i="20"/>
  <c r="O117" i="20"/>
  <c r="N117" i="20"/>
  <c r="M117" i="20"/>
  <c r="R116" i="20"/>
  <c r="O116" i="20"/>
  <c r="M116" i="20"/>
  <c r="P116" i="20" s="1"/>
  <c r="R115" i="20"/>
  <c r="O115" i="20"/>
  <c r="N115" i="20"/>
  <c r="M115" i="20"/>
  <c r="P115" i="20" s="1"/>
  <c r="R114" i="20"/>
  <c r="P114" i="20"/>
  <c r="O114" i="20"/>
  <c r="N114" i="20"/>
  <c r="M114" i="20"/>
  <c r="R113" i="20"/>
  <c r="P113" i="20"/>
  <c r="O113" i="20"/>
  <c r="M113" i="20"/>
  <c r="N113" i="20" s="1"/>
  <c r="R112" i="20"/>
  <c r="P112" i="20"/>
  <c r="O112" i="20"/>
  <c r="M112" i="20"/>
  <c r="N112" i="20" s="1"/>
  <c r="R111" i="20"/>
  <c r="O111" i="20"/>
  <c r="M111" i="20"/>
  <c r="P111" i="20" s="1"/>
  <c r="R110" i="20"/>
  <c r="O110" i="20"/>
  <c r="N110" i="20"/>
  <c r="M110" i="20"/>
  <c r="P110" i="20" s="1"/>
  <c r="R109" i="20"/>
  <c r="P109" i="20"/>
  <c r="O109" i="20"/>
  <c r="M109" i="20"/>
  <c r="N109" i="20" s="1"/>
  <c r="R108" i="20"/>
  <c r="O108" i="20"/>
  <c r="M108" i="20"/>
  <c r="R107" i="20"/>
  <c r="P107" i="20"/>
  <c r="O107" i="20"/>
  <c r="N107" i="20"/>
  <c r="M107" i="20"/>
  <c r="R106" i="20"/>
  <c r="P106" i="20"/>
  <c r="O106" i="20"/>
  <c r="N106" i="20"/>
  <c r="M106" i="20"/>
  <c r="R105" i="20"/>
  <c r="P105" i="20"/>
  <c r="O105" i="20"/>
  <c r="N105" i="20"/>
  <c r="M105" i="20"/>
  <c r="R104" i="20"/>
  <c r="O104" i="20"/>
  <c r="M104" i="20"/>
  <c r="P104" i="20" s="1"/>
  <c r="R103" i="20"/>
  <c r="O103" i="20"/>
  <c r="M103" i="20"/>
  <c r="P103" i="20" s="1"/>
  <c r="R102" i="20"/>
  <c r="P102" i="20"/>
  <c r="O102" i="20"/>
  <c r="N102" i="20"/>
  <c r="M102" i="20"/>
  <c r="R101" i="20"/>
  <c r="P101" i="20"/>
  <c r="O101" i="20"/>
  <c r="M101" i="20"/>
  <c r="N101" i="20" s="1"/>
  <c r="R100" i="20"/>
  <c r="P100" i="20"/>
  <c r="O100" i="20"/>
  <c r="M100" i="20"/>
  <c r="N100" i="20" s="1"/>
  <c r="R99" i="20"/>
  <c r="O99" i="20"/>
  <c r="M99" i="20"/>
  <c r="P99" i="20" s="1"/>
  <c r="R98" i="20"/>
  <c r="O98" i="20"/>
  <c r="N98" i="20"/>
  <c r="M98" i="20"/>
  <c r="P98" i="20" s="1"/>
  <c r="R97" i="20"/>
  <c r="P97" i="20"/>
  <c r="O97" i="20"/>
  <c r="M97" i="20"/>
  <c r="N97" i="20" s="1"/>
  <c r="R96" i="20"/>
  <c r="O96" i="20"/>
  <c r="M96" i="20"/>
  <c r="R95" i="20"/>
  <c r="P95" i="20"/>
  <c r="O95" i="20"/>
  <c r="N95" i="20"/>
  <c r="M95" i="20"/>
  <c r="R94" i="20"/>
  <c r="P94" i="20"/>
  <c r="O94" i="20"/>
  <c r="N94" i="20"/>
  <c r="M94" i="20"/>
  <c r="R93" i="20"/>
  <c r="P93" i="20"/>
  <c r="O93" i="20"/>
  <c r="N93" i="20"/>
  <c r="M93" i="20"/>
  <c r="R92" i="20"/>
  <c r="O92" i="20"/>
  <c r="M92" i="20"/>
  <c r="P92" i="20" s="1"/>
  <c r="R91" i="20"/>
  <c r="O91" i="20"/>
  <c r="N91" i="20"/>
  <c r="M91" i="20"/>
  <c r="P91" i="20" s="1"/>
  <c r="R90" i="20"/>
  <c r="P90" i="20"/>
  <c r="O90" i="20"/>
  <c r="N90" i="20"/>
  <c r="M90" i="20"/>
  <c r="R89" i="20"/>
  <c r="P89" i="20"/>
  <c r="O89" i="20"/>
  <c r="M89" i="20"/>
  <c r="N89" i="20" s="1"/>
  <c r="R88" i="20"/>
  <c r="P88" i="20"/>
  <c r="O88" i="20"/>
  <c r="M88" i="20"/>
  <c r="N88" i="20" s="1"/>
  <c r="R87" i="20"/>
  <c r="O87" i="20"/>
  <c r="M87" i="20"/>
  <c r="P87" i="20" s="1"/>
  <c r="R86" i="20"/>
  <c r="O86" i="20"/>
  <c r="N86" i="20"/>
  <c r="M86" i="20"/>
  <c r="P86" i="20" s="1"/>
  <c r="R85" i="20"/>
  <c r="P85" i="20"/>
  <c r="O85" i="20"/>
  <c r="M85" i="20"/>
  <c r="N85" i="20" s="1"/>
  <c r="R84" i="20"/>
  <c r="O84" i="20"/>
  <c r="M84" i="20"/>
  <c r="R83" i="20"/>
  <c r="P83" i="20"/>
  <c r="O83" i="20"/>
  <c r="N83" i="20"/>
  <c r="M83" i="20"/>
  <c r="R82" i="20"/>
  <c r="P82" i="20"/>
  <c r="O82" i="20"/>
  <c r="N82" i="20"/>
  <c r="M82" i="20"/>
  <c r="R81" i="20"/>
  <c r="P81" i="20"/>
  <c r="O81" i="20"/>
  <c r="N81" i="20"/>
  <c r="M81" i="20"/>
  <c r="R80" i="20"/>
  <c r="O80" i="20"/>
  <c r="M80" i="20"/>
  <c r="P80" i="20" s="1"/>
  <c r="R79" i="20"/>
  <c r="O79" i="20"/>
  <c r="N79" i="20"/>
  <c r="M79" i="20"/>
  <c r="P79" i="20" s="1"/>
  <c r="R78" i="20"/>
  <c r="P78" i="20"/>
  <c r="O78" i="20"/>
  <c r="N78" i="20"/>
  <c r="M78" i="20"/>
  <c r="R77" i="20"/>
  <c r="P77" i="20"/>
  <c r="O77" i="20"/>
  <c r="M77" i="20"/>
  <c r="N77" i="20" s="1"/>
  <c r="R76" i="20"/>
  <c r="P76" i="20"/>
  <c r="O76" i="20"/>
  <c r="M76" i="20"/>
  <c r="N76" i="20" s="1"/>
  <c r="R75" i="20"/>
  <c r="O75" i="20"/>
  <c r="M75" i="20"/>
  <c r="P75" i="20" s="1"/>
  <c r="R74" i="20"/>
  <c r="O74" i="20"/>
  <c r="N74" i="20"/>
  <c r="M74" i="20"/>
  <c r="P74" i="20" s="1"/>
  <c r="R73" i="20"/>
  <c r="P73" i="20"/>
  <c r="O73" i="20"/>
  <c r="M73" i="20"/>
  <c r="N73" i="20" s="1"/>
  <c r="R72" i="20"/>
  <c r="O72" i="20"/>
  <c r="M72" i="20"/>
  <c r="R71" i="20"/>
  <c r="P71" i="20"/>
  <c r="O71" i="20"/>
  <c r="N71" i="20"/>
  <c r="M71" i="20"/>
  <c r="R70" i="20"/>
  <c r="P70" i="20"/>
  <c r="O70" i="20"/>
  <c r="N70" i="20"/>
  <c r="M70" i="20"/>
  <c r="R69" i="20"/>
  <c r="P69" i="20"/>
  <c r="O69" i="20"/>
  <c r="N69" i="20"/>
  <c r="M69" i="20"/>
  <c r="R68" i="20"/>
  <c r="O68" i="20"/>
  <c r="M68" i="20"/>
  <c r="P68" i="20" s="1"/>
  <c r="R67" i="20"/>
  <c r="O67" i="20"/>
  <c r="M67" i="20"/>
  <c r="P67" i="20" s="1"/>
  <c r="R66" i="20"/>
  <c r="P66" i="20"/>
  <c r="O66" i="20"/>
  <c r="N66" i="20"/>
  <c r="M66" i="20"/>
  <c r="R65" i="20"/>
  <c r="P65" i="20"/>
  <c r="O65" i="20"/>
  <c r="M65" i="20"/>
  <c r="N65" i="20" s="1"/>
  <c r="R64" i="20"/>
  <c r="P64" i="20"/>
  <c r="O64" i="20"/>
  <c r="M64" i="20"/>
  <c r="N64" i="20" s="1"/>
  <c r="R63" i="20"/>
  <c r="O63" i="20"/>
  <c r="M63" i="20"/>
  <c r="P63" i="20" s="1"/>
  <c r="R62" i="20"/>
  <c r="O62" i="20"/>
  <c r="N62" i="20"/>
  <c r="M62" i="20"/>
  <c r="P62" i="20" s="1"/>
  <c r="R61" i="20"/>
  <c r="P61" i="20"/>
  <c r="O61" i="20"/>
  <c r="M61" i="20"/>
  <c r="N61" i="20" s="1"/>
  <c r="R60" i="20"/>
  <c r="O60" i="20"/>
  <c r="M60" i="20"/>
  <c r="R59" i="20"/>
  <c r="P59" i="20"/>
  <c r="O59" i="20"/>
  <c r="N59" i="20"/>
  <c r="M59" i="20"/>
  <c r="R58" i="20"/>
  <c r="P58" i="20"/>
  <c r="O58" i="20"/>
  <c r="N58" i="20"/>
  <c r="M58" i="20"/>
  <c r="R57" i="20"/>
  <c r="P57" i="20"/>
  <c r="O57" i="20"/>
  <c r="N57" i="20"/>
  <c r="M57" i="20"/>
  <c r="R56" i="20"/>
  <c r="O56" i="20"/>
  <c r="M56" i="20"/>
  <c r="P56" i="20" s="1"/>
  <c r="R55" i="20"/>
  <c r="O55" i="20"/>
  <c r="M55" i="20"/>
  <c r="P55" i="20" s="1"/>
  <c r="R54" i="20"/>
  <c r="P54" i="20"/>
  <c r="O54" i="20"/>
  <c r="N54" i="20"/>
  <c r="M54" i="20"/>
  <c r="R53" i="20"/>
  <c r="P53" i="20"/>
  <c r="O53" i="20"/>
  <c r="M53" i="20"/>
  <c r="N53" i="20" s="1"/>
  <c r="R52" i="20"/>
  <c r="P52" i="20"/>
  <c r="O52" i="20"/>
  <c r="M52" i="20"/>
  <c r="N52" i="20" s="1"/>
  <c r="R51" i="20"/>
  <c r="O51" i="20"/>
  <c r="M51" i="20"/>
  <c r="P51" i="20" s="1"/>
  <c r="R50" i="20"/>
  <c r="O50" i="20"/>
  <c r="N50" i="20"/>
  <c r="M50" i="20"/>
  <c r="P50" i="20" s="1"/>
  <c r="R49" i="20"/>
  <c r="P49" i="20"/>
  <c r="O49" i="20"/>
  <c r="M49" i="20"/>
  <c r="N49" i="20" s="1"/>
  <c r="R48" i="20"/>
  <c r="O48" i="20"/>
  <c r="M48" i="20"/>
  <c r="R47" i="20"/>
  <c r="P47" i="20"/>
  <c r="O47" i="20"/>
  <c r="N47" i="20"/>
  <c r="M47" i="20"/>
  <c r="R46" i="20"/>
  <c r="P46" i="20"/>
  <c r="O46" i="20"/>
  <c r="N46" i="20"/>
  <c r="M46" i="20"/>
  <c r="R45" i="20"/>
  <c r="P45" i="20"/>
  <c r="O45" i="20"/>
  <c r="N45" i="20"/>
  <c r="M45" i="20"/>
  <c r="R44" i="20"/>
  <c r="O44" i="20"/>
  <c r="M44" i="20"/>
  <c r="P44" i="20" s="1"/>
  <c r="R43" i="20"/>
  <c r="O43" i="20"/>
  <c r="M43" i="20"/>
  <c r="R42" i="20"/>
  <c r="P42" i="20"/>
  <c r="O42" i="20"/>
  <c r="N42" i="20"/>
  <c r="M42" i="20"/>
  <c r="R41" i="20"/>
  <c r="P41" i="20"/>
  <c r="O41" i="20"/>
  <c r="M41" i="20"/>
  <c r="N41" i="20" s="1"/>
  <c r="R40" i="20"/>
  <c r="P40" i="20"/>
  <c r="O40" i="20"/>
  <c r="M40" i="20"/>
  <c r="N40" i="20" s="1"/>
  <c r="R39" i="20"/>
  <c r="O39" i="20"/>
  <c r="M39" i="20"/>
  <c r="P39" i="20" s="1"/>
  <c r="R38" i="20"/>
  <c r="O38" i="20"/>
  <c r="N38" i="20"/>
  <c r="M38" i="20"/>
  <c r="P38" i="20" s="1"/>
  <c r="R37" i="20"/>
  <c r="P37" i="20"/>
  <c r="O37" i="20"/>
  <c r="M37" i="20"/>
  <c r="N37" i="20" s="1"/>
  <c r="R36" i="20"/>
  <c r="O36" i="20"/>
  <c r="M36" i="20"/>
  <c r="R35" i="20"/>
  <c r="P35" i="20"/>
  <c r="O35" i="20"/>
  <c r="N35" i="20"/>
  <c r="M35" i="20"/>
  <c r="R34" i="20"/>
  <c r="P34" i="20"/>
  <c r="O34" i="20"/>
  <c r="N34" i="20"/>
  <c r="M34" i="20"/>
  <c r="R33" i="20"/>
  <c r="P33" i="20"/>
  <c r="O33" i="20"/>
  <c r="N33" i="20"/>
  <c r="M33" i="20"/>
  <c r="R32" i="20"/>
  <c r="O32" i="20"/>
  <c r="M32" i="20"/>
  <c r="P32" i="20" s="1"/>
  <c r="R31" i="20"/>
  <c r="O31" i="20"/>
  <c r="N31" i="20"/>
  <c r="M31" i="20"/>
  <c r="P31" i="20" s="1"/>
  <c r="R30" i="20"/>
  <c r="P30" i="20"/>
  <c r="O30" i="20"/>
  <c r="N30" i="20"/>
  <c r="M30" i="20"/>
  <c r="R29" i="20"/>
  <c r="P29" i="20"/>
  <c r="O29" i="20"/>
  <c r="M29" i="20"/>
  <c r="N29" i="20" s="1"/>
  <c r="R28" i="20"/>
  <c r="P28" i="20"/>
  <c r="O28" i="20"/>
  <c r="M28" i="20"/>
  <c r="N28" i="20" s="1"/>
  <c r="R27" i="20"/>
  <c r="O27" i="20"/>
  <c r="M27" i="20"/>
  <c r="P27" i="20" s="1"/>
  <c r="R26" i="20"/>
  <c r="O26" i="20"/>
  <c r="N26" i="20"/>
  <c r="M26" i="20"/>
  <c r="P26" i="20" s="1"/>
  <c r="R25" i="20"/>
  <c r="P25" i="20"/>
  <c r="O25" i="20"/>
  <c r="M25" i="20"/>
  <c r="N25" i="20" s="1"/>
  <c r="R24" i="20"/>
  <c r="O24" i="20"/>
  <c r="M24" i="20"/>
  <c r="R23" i="20"/>
  <c r="P23" i="20"/>
  <c r="O23" i="20"/>
  <c r="N23" i="20"/>
  <c r="M23" i="20"/>
  <c r="R22" i="20"/>
  <c r="P22" i="20"/>
  <c r="O22" i="20"/>
  <c r="N22" i="20"/>
  <c r="M22" i="20"/>
  <c r="R21" i="20"/>
  <c r="P21" i="20"/>
  <c r="O21" i="20"/>
  <c r="N21" i="20"/>
  <c r="M21" i="20"/>
  <c r="R20" i="20"/>
  <c r="O20" i="20"/>
  <c r="M20" i="20"/>
  <c r="P20" i="20" s="1"/>
  <c r="R19" i="20"/>
  <c r="O19" i="20"/>
  <c r="N19" i="20"/>
  <c r="M19" i="20"/>
  <c r="P19" i="20" s="1"/>
  <c r="R18" i="20"/>
  <c r="P18" i="20"/>
  <c r="O18" i="20"/>
  <c r="N18" i="20"/>
  <c r="M18" i="20"/>
  <c r="R17" i="20"/>
  <c r="P17" i="20"/>
  <c r="O17" i="20"/>
  <c r="M17" i="20"/>
  <c r="N17" i="20" s="1"/>
  <c r="R16" i="20"/>
  <c r="P16" i="20"/>
  <c r="O16" i="20"/>
  <c r="M16" i="20"/>
  <c r="N16" i="20" s="1"/>
  <c r="R15" i="20"/>
  <c r="O15" i="20"/>
  <c r="M15" i="20"/>
  <c r="P15" i="20" s="1"/>
  <c r="R14" i="20"/>
  <c r="O14" i="20"/>
  <c r="N14" i="20"/>
  <c r="M14" i="20"/>
  <c r="P14" i="20" s="1"/>
  <c r="R13" i="20"/>
  <c r="P13" i="20"/>
  <c r="O13" i="20"/>
  <c r="M13" i="20"/>
  <c r="N13" i="20" s="1"/>
  <c r="R12" i="20"/>
  <c r="O12" i="20"/>
  <c r="M12" i="20"/>
  <c r="R11" i="20"/>
  <c r="P11" i="20"/>
  <c r="O11" i="20"/>
  <c r="N11" i="20"/>
  <c r="M11" i="20"/>
  <c r="R10" i="20"/>
  <c r="P10" i="20"/>
  <c r="O10" i="20"/>
  <c r="N10" i="20"/>
  <c r="M10" i="20"/>
  <c r="R9" i="20"/>
  <c r="P9" i="20"/>
  <c r="O9" i="20"/>
  <c r="N9" i="20"/>
  <c r="M9" i="20"/>
  <c r="R8" i="20"/>
  <c r="O8" i="20"/>
  <c r="M8" i="20"/>
  <c r="P8" i="20" s="1"/>
  <c r="R7" i="20"/>
  <c r="O7" i="20"/>
  <c r="M7" i="20"/>
  <c r="P7" i="20" s="1"/>
  <c r="R6" i="20"/>
  <c r="P6" i="20"/>
  <c r="O6" i="20"/>
  <c r="N6" i="20"/>
  <c r="M6" i="20"/>
  <c r="R5" i="20"/>
  <c r="P5" i="20"/>
  <c r="O5" i="20"/>
  <c r="M5" i="20"/>
  <c r="N5" i="20" s="1"/>
  <c r="R4" i="20"/>
  <c r="P4" i="20"/>
  <c r="O4" i="20"/>
  <c r="M4" i="20"/>
  <c r="N4" i="20" s="1"/>
  <c r="B44" i="18"/>
  <c r="B40" i="18"/>
  <c r="CA320" i="21" l="1"/>
  <c r="CG320" i="21" s="1"/>
  <c r="BW320" i="21"/>
  <c r="P173" i="20"/>
  <c r="N173" i="20"/>
  <c r="P185" i="20"/>
  <c r="N185" i="20"/>
  <c r="CA327" i="21"/>
  <c r="CG327" i="21" s="1"/>
  <c r="BW327" i="21"/>
  <c r="CA163" i="21"/>
  <c r="CG163" i="21" s="1"/>
  <c r="BW163" i="21"/>
  <c r="CA100" i="21"/>
  <c r="CG100" i="21" s="1"/>
  <c r="BW100" i="21"/>
  <c r="P60" i="20"/>
  <c r="N60" i="20"/>
  <c r="P72" i="20"/>
  <c r="N72" i="20"/>
  <c r="P245" i="20"/>
  <c r="N245" i="20"/>
  <c r="P233" i="20"/>
  <c r="N233" i="20"/>
  <c r="CA40" i="21"/>
  <c r="CG40" i="21" s="1"/>
  <c r="BW40" i="21"/>
  <c r="P221" i="20"/>
  <c r="N221" i="20"/>
  <c r="P43" i="20"/>
  <c r="N43" i="20"/>
  <c r="P209" i="20"/>
  <c r="N209" i="20"/>
  <c r="P197" i="20"/>
  <c r="N197" i="20"/>
  <c r="P84" i="20"/>
  <c r="N84" i="20"/>
  <c r="N285" i="20"/>
  <c r="P285" i="20"/>
  <c r="CA31" i="21"/>
  <c r="CG31" i="21" s="1"/>
  <c r="BW31" i="21"/>
  <c r="CA43" i="21"/>
  <c r="CG43" i="21" s="1"/>
  <c r="BW43" i="21"/>
  <c r="N55" i="20"/>
  <c r="P96" i="20"/>
  <c r="N96" i="20"/>
  <c r="CA7" i="21"/>
  <c r="CG7" i="21" s="1"/>
  <c r="BW7" i="21"/>
  <c r="CA19" i="21"/>
  <c r="CG19" i="21" s="1"/>
  <c r="BW19" i="21"/>
  <c r="N67" i="20"/>
  <c r="P108" i="20"/>
  <c r="N108" i="20"/>
  <c r="N168" i="20"/>
  <c r="N180" i="20"/>
  <c r="N192" i="20"/>
  <c r="N204" i="20"/>
  <c r="N216" i="20"/>
  <c r="N228" i="20"/>
  <c r="N240" i="20"/>
  <c r="N252" i="20"/>
  <c r="CF6" i="21"/>
  <c r="CB6" i="21"/>
  <c r="CA6" i="21"/>
  <c r="CG6" i="21" s="1"/>
  <c r="P120" i="20"/>
  <c r="N120" i="20"/>
  <c r="BW92" i="21"/>
  <c r="CA92" i="21"/>
  <c r="CG92" i="21" s="1"/>
  <c r="CA182" i="21"/>
  <c r="CG182" i="21" s="1"/>
  <c r="BW182" i="21"/>
  <c r="P132" i="20"/>
  <c r="N132" i="20"/>
  <c r="P144" i="20"/>
  <c r="N144" i="20"/>
  <c r="P156" i="20"/>
  <c r="N156" i="20"/>
  <c r="P320" i="20"/>
  <c r="N320" i="20"/>
  <c r="CA38" i="21"/>
  <c r="CG38" i="21" s="1"/>
  <c r="BW38" i="21"/>
  <c r="CA88" i="21"/>
  <c r="CG88" i="21" s="1"/>
  <c r="BW88" i="21"/>
  <c r="BW99" i="21"/>
  <c r="CA99" i="21"/>
  <c r="CG99" i="21" s="1"/>
  <c r="N103" i="20"/>
  <c r="CA14" i="21"/>
  <c r="CG14" i="21" s="1"/>
  <c r="BW14" i="21"/>
  <c r="BT26" i="21"/>
  <c r="BV26" i="21" s="1"/>
  <c r="CF114" i="21"/>
  <c r="CA114" i="21"/>
  <c r="CG114" i="21" s="1"/>
  <c r="P12" i="20"/>
  <c r="N12" i="20"/>
  <c r="P311" i="20"/>
  <c r="N311" i="20"/>
  <c r="CF5" i="21"/>
  <c r="CA5" i="21"/>
  <c r="CG5" i="21" s="1"/>
  <c r="CB5" i="21"/>
  <c r="P24" i="20"/>
  <c r="N24" i="20"/>
  <c r="N127" i="20"/>
  <c r="N139" i="20"/>
  <c r="N151" i="20"/>
  <c r="N163" i="20"/>
  <c r="CA25" i="21"/>
  <c r="CG25" i="21" s="1"/>
  <c r="BW60" i="21"/>
  <c r="BW68" i="21"/>
  <c r="CA68" i="21"/>
  <c r="CG68" i="21" s="1"/>
  <c r="BW146" i="21"/>
  <c r="CA146" i="21"/>
  <c r="CG146" i="21" s="1"/>
  <c r="P36" i="20"/>
  <c r="N36" i="20"/>
  <c r="N303" i="20"/>
  <c r="CA64" i="21"/>
  <c r="CG64" i="21" s="1"/>
  <c r="BW64" i="21"/>
  <c r="N7" i="20"/>
  <c r="P48" i="20"/>
  <c r="N48" i="20"/>
  <c r="P260" i="20"/>
  <c r="N260" i="20"/>
  <c r="N288" i="20"/>
  <c r="P288" i="20"/>
  <c r="P337" i="20"/>
  <c r="N337" i="20"/>
  <c r="CF24" i="21"/>
  <c r="CB24" i="21"/>
  <c r="CA24" i="21"/>
  <c r="CG24" i="21" s="1"/>
  <c r="CA48" i="21"/>
  <c r="CG48" i="21" s="1"/>
  <c r="BW48" i="21"/>
  <c r="P299" i="20"/>
  <c r="N299" i="20"/>
  <c r="CA8" i="21"/>
  <c r="CG8" i="21" s="1"/>
  <c r="CA16" i="21"/>
  <c r="CG16" i="21" s="1"/>
  <c r="CF17" i="21"/>
  <c r="CB17" i="21"/>
  <c r="CA17" i="21"/>
  <c r="CG17" i="21" s="1"/>
  <c r="CF41" i="21"/>
  <c r="CB41" i="21"/>
  <c r="CA41" i="21"/>
  <c r="CG41" i="21" s="1"/>
  <c r="CF54" i="21"/>
  <c r="CA54" i="21"/>
  <c r="CG54" i="21" s="1"/>
  <c r="CA76" i="21"/>
  <c r="CG76" i="21" s="1"/>
  <c r="BW76" i="21"/>
  <c r="CA83" i="21"/>
  <c r="CG83" i="21" s="1"/>
  <c r="BW83" i="21"/>
  <c r="BW111" i="21"/>
  <c r="CA111" i="21"/>
  <c r="CG111" i="21" s="1"/>
  <c r="CA127" i="21"/>
  <c r="CG127" i="21" s="1"/>
  <c r="BW127" i="21"/>
  <c r="CA131" i="21"/>
  <c r="CG131" i="21" s="1"/>
  <c r="BW131" i="21"/>
  <c r="CA334" i="21"/>
  <c r="CG334" i="21" s="1"/>
  <c r="BW334" i="21"/>
  <c r="P277" i="20"/>
  <c r="N277" i="20"/>
  <c r="BU8" i="21"/>
  <c r="BY8" i="21" s="1"/>
  <c r="CB8" i="21" s="1"/>
  <c r="BU16" i="21"/>
  <c r="BY16" i="21" s="1"/>
  <c r="CB16" i="21" s="1"/>
  <c r="BU40" i="21"/>
  <c r="BY40" i="21" s="1"/>
  <c r="CB40" i="21" s="1"/>
  <c r="CB51" i="21"/>
  <c r="BT52" i="21"/>
  <c r="BV52" i="21" s="1"/>
  <c r="BT70" i="21"/>
  <c r="BV70" i="21" s="1"/>
  <c r="BW70" i="21" s="1"/>
  <c r="BW75" i="21"/>
  <c r="CA75" i="21"/>
  <c r="CG75" i="21" s="1"/>
  <c r="CA87" i="21"/>
  <c r="CG87" i="21" s="1"/>
  <c r="BW118" i="21"/>
  <c r="CA118" i="21"/>
  <c r="CG118" i="21" s="1"/>
  <c r="N137" i="20"/>
  <c r="N149" i="20"/>
  <c r="N161" i="20"/>
  <c r="N166" i="20"/>
  <c r="N178" i="20"/>
  <c r="N190" i="20"/>
  <c r="N202" i="20"/>
  <c r="N214" i="20"/>
  <c r="N226" i="20"/>
  <c r="N238" i="20"/>
  <c r="N250" i="20"/>
  <c r="N255" i="20"/>
  <c r="N274" i="20"/>
  <c r="N315" i="20"/>
  <c r="P323" i="20"/>
  <c r="N323" i="20"/>
  <c r="BT4" i="21"/>
  <c r="BV4" i="21" s="1"/>
  <c r="BW4" i="21" s="1"/>
  <c r="CB22" i="21"/>
  <c r="CA22" i="21"/>
  <c r="CG22" i="21" s="1"/>
  <c r="CB46" i="21"/>
  <c r="CA46" i="21"/>
  <c r="CG46" i="21" s="1"/>
  <c r="BU52" i="21"/>
  <c r="BY52" i="21" s="1"/>
  <c r="CB52" i="21" s="1"/>
  <c r="CB113" i="21"/>
  <c r="CA202" i="21"/>
  <c r="CG202" i="21" s="1"/>
  <c r="BW202" i="21"/>
  <c r="CA220" i="21"/>
  <c r="CG220" i="21" s="1"/>
  <c r="P289" i="20"/>
  <c r="N289" i="20"/>
  <c r="CA86" i="21"/>
  <c r="CG86" i="21" s="1"/>
  <c r="CF98" i="21"/>
  <c r="CB98" i="21"/>
  <c r="CA98" i="21"/>
  <c r="CG98" i="21" s="1"/>
  <c r="N15" i="20"/>
  <c r="N27" i="20"/>
  <c r="N39" i="20"/>
  <c r="N51" i="20"/>
  <c r="N63" i="20"/>
  <c r="N75" i="20"/>
  <c r="N87" i="20"/>
  <c r="N99" i="20"/>
  <c r="N111" i="20"/>
  <c r="N123" i="20"/>
  <c r="N135" i="20"/>
  <c r="N147" i="20"/>
  <c r="N159" i="20"/>
  <c r="N176" i="20"/>
  <c r="N188" i="20"/>
  <c r="N200" i="20"/>
  <c r="N212" i="20"/>
  <c r="N224" i="20"/>
  <c r="N236" i="20"/>
  <c r="N248" i="20"/>
  <c r="N286" i="20"/>
  <c r="N327" i="20"/>
  <c r="P335" i="20"/>
  <c r="N335" i="20"/>
  <c r="CF29" i="21"/>
  <c r="CB29" i="21"/>
  <c r="CA29" i="21"/>
  <c r="CG29" i="21" s="1"/>
  <c r="BU30" i="21"/>
  <c r="BY30" i="21" s="1"/>
  <c r="CB30" i="21" s="1"/>
  <c r="CA30" i="21"/>
  <c r="CG30" i="21" s="1"/>
  <c r="CA67" i="21"/>
  <c r="CG67" i="21" s="1"/>
  <c r="CF85" i="21"/>
  <c r="CB85" i="21"/>
  <c r="CA85" i="21"/>
  <c r="CG85" i="21" s="1"/>
  <c r="CA148" i="21"/>
  <c r="CG148" i="21" s="1"/>
  <c r="BW148" i="21"/>
  <c r="N8" i="20"/>
  <c r="N20" i="20"/>
  <c r="N32" i="20"/>
  <c r="N44" i="20"/>
  <c r="N56" i="20"/>
  <c r="N68" i="20"/>
  <c r="N80" i="20"/>
  <c r="N92" i="20"/>
  <c r="N104" i="20"/>
  <c r="N116" i="20"/>
  <c r="N128" i="20"/>
  <c r="N140" i="20"/>
  <c r="N152" i="20"/>
  <c r="N164" i="20"/>
  <c r="N169" i="20"/>
  <c r="N181" i="20"/>
  <c r="N193" i="20"/>
  <c r="N205" i="20"/>
  <c r="N217" i="20"/>
  <c r="N229" i="20"/>
  <c r="N241" i="20"/>
  <c r="N253" i="20"/>
  <c r="N272" i="20"/>
  <c r="P301" i="20"/>
  <c r="N301" i="20"/>
  <c r="P309" i="20"/>
  <c r="P312" i="20"/>
  <c r="CA13" i="21"/>
  <c r="CG13" i="21" s="1"/>
  <c r="CA37" i="21"/>
  <c r="CG37" i="21" s="1"/>
  <c r="BW56" i="21"/>
  <c r="CA56" i="21"/>
  <c r="CG56" i="21" s="1"/>
  <c r="CA104" i="21"/>
  <c r="CG104" i="21" s="1"/>
  <c r="N256" i="20"/>
  <c r="N267" i="20"/>
  <c r="P275" i="20"/>
  <c r="N275" i="20"/>
  <c r="N339" i="20"/>
  <c r="CF12" i="21"/>
  <c r="CB12" i="21"/>
  <c r="CA12" i="21"/>
  <c r="CG12" i="21" s="1"/>
  <c r="BU13" i="21"/>
  <c r="BY13" i="21" s="1"/>
  <c r="CB13" i="21" s="1"/>
  <c r="CB19" i="21"/>
  <c r="BT28" i="21"/>
  <c r="BV28" i="21" s="1"/>
  <c r="BW28" i="21" s="1"/>
  <c r="CB35" i="21"/>
  <c r="CF36" i="21"/>
  <c r="CB36" i="21"/>
  <c r="CA36" i="21"/>
  <c r="CG36" i="21" s="1"/>
  <c r="BU37" i="21"/>
  <c r="BY37" i="21" s="1"/>
  <c r="CB37" i="21" s="1"/>
  <c r="BT62" i="21"/>
  <c r="BV62" i="21" s="1"/>
  <c r="CA63" i="21"/>
  <c r="CG63" i="21" s="1"/>
  <c r="P261" i="20"/>
  <c r="P313" i="20"/>
  <c r="N313" i="20"/>
  <c r="P321" i="20"/>
  <c r="P324" i="20"/>
  <c r="BU28" i="21"/>
  <c r="BY28" i="21" s="1"/>
  <c r="CB28" i="21" s="1"/>
  <c r="CA50" i="21"/>
  <c r="CG50" i="21" s="1"/>
  <c r="BW50" i="21"/>
  <c r="CF55" i="21"/>
  <c r="CB55" i="21"/>
  <c r="CA55" i="21"/>
  <c r="CG55" i="21" s="1"/>
  <c r="CF61" i="21"/>
  <c r="CB61" i="21"/>
  <c r="CA61" i="21"/>
  <c r="CG61" i="21" s="1"/>
  <c r="CA112" i="21"/>
  <c r="CG112" i="21" s="1"/>
  <c r="BW112" i="21"/>
  <c r="CF115" i="21"/>
  <c r="CA115" i="21"/>
  <c r="CG115" i="21" s="1"/>
  <c r="CA123" i="21"/>
  <c r="CG123" i="21" s="1"/>
  <c r="CF123" i="21"/>
  <c r="BW155" i="21"/>
  <c r="BW196" i="21"/>
  <c r="CA196" i="21"/>
  <c r="CG196" i="21" s="1"/>
  <c r="CA204" i="21"/>
  <c r="CG204" i="21" s="1"/>
  <c r="BW204" i="21"/>
  <c r="P287" i="20"/>
  <c r="N287" i="20"/>
  <c r="CB10" i="21"/>
  <c r="CA10" i="21"/>
  <c r="CG10" i="21" s="1"/>
  <c r="BT11" i="21"/>
  <c r="BV11" i="21" s="1"/>
  <c r="CA27" i="21"/>
  <c r="CG27" i="21" s="1"/>
  <c r="BW27" i="21"/>
  <c r="CB34" i="21"/>
  <c r="CA34" i="21"/>
  <c r="CG34" i="21" s="1"/>
  <c r="BT35" i="21"/>
  <c r="BV35" i="21" s="1"/>
  <c r="BW80" i="21"/>
  <c r="CA80" i="21"/>
  <c r="CG80" i="21" s="1"/>
  <c r="CB83" i="21"/>
  <c r="BW84" i="21"/>
  <c r="CA192" i="21"/>
  <c r="CG192" i="21" s="1"/>
  <c r="BW192" i="21"/>
  <c r="BW240" i="21"/>
  <c r="CA240" i="21"/>
  <c r="CG240" i="21" s="1"/>
  <c r="P325" i="20"/>
  <c r="N325" i="20"/>
  <c r="P333" i="20"/>
  <c r="CF9" i="21"/>
  <c r="CB9" i="21"/>
  <c r="CA9" i="21"/>
  <c r="CG9" i="21" s="1"/>
  <c r="BU11" i="21"/>
  <c r="BY11" i="21" s="1"/>
  <c r="CB11" i="21" s="1"/>
  <c r="BT18" i="21"/>
  <c r="BV18" i="21" s="1"/>
  <c r="BU35" i="21"/>
  <c r="BY35" i="21" s="1"/>
  <c r="BT42" i="21"/>
  <c r="BV42" i="21" s="1"/>
  <c r="BU73" i="21"/>
  <c r="BY73" i="21" s="1"/>
  <c r="BT102" i="21"/>
  <c r="BV102" i="21" s="1"/>
  <c r="BW102" i="21" s="1"/>
  <c r="BT139" i="21"/>
  <c r="BV139" i="21" s="1"/>
  <c r="BT183" i="21"/>
  <c r="BV183" i="21" s="1"/>
  <c r="CB47" i="21"/>
  <c r="CA49" i="21"/>
  <c r="CG49" i="21" s="1"/>
  <c r="BU54" i="21"/>
  <c r="BY54" i="21" s="1"/>
  <c r="CB54" i="21" s="1"/>
  <c r="BU61" i="21"/>
  <c r="BY61" i="21" s="1"/>
  <c r="CF79" i="21"/>
  <c r="CB79" i="21"/>
  <c r="BT82" i="21"/>
  <c r="BV82" i="21" s="1"/>
  <c r="BW82" i="21" s="1"/>
  <c r="BU84" i="21"/>
  <c r="BY84" i="21" s="1"/>
  <c r="CB84" i="21" s="1"/>
  <c r="BU85" i="21"/>
  <c r="BY85" i="21" s="1"/>
  <c r="CB95" i="21"/>
  <c r="CF97" i="21"/>
  <c r="CB97" i="21"/>
  <c r="CA97" i="21"/>
  <c r="CG97" i="21" s="1"/>
  <c r="CB112" i="21"/>
  <c r="BU115" i="21"/>
  <c r="BY115" i="21" s="1"/>
  <c r="CB115" i="21" s="1"/>
  <c r="BU123" i="21"/>
  <c r="BY123" i="21" s="1"/>
  <c r="CB123" i="21" s="1"/>
  <c r="CF145" i="21"/>
  <c r="CB145" i="21"/>
  <c r="CA145" i="21"/>
  <c r="CG145" i="21" s="1"/>
  <c r="BW190" i="21"/>
  <c r="CA21" i="21"/>
  <c r="CG21" i="21" s="1"/>
  <c r="CA33" i="21"/>
  <c r="CG33" i="21" s="1"/>
  <c r="CA45" i="21"/>
  <c r="CG45" i="21" s="1"/>
  <c r="CB56" i="21"/>
  <c r="CF78" i="21"/>
  <c r="CA78" i="21"/>
  <c r="CG78" i="21" s="1"/>
  <c r="BT113" i="21"/>
  <c r="BV113" i="21" s="1"/>
  <c r="BW113" i="21" s="1"/>
  <c r="BU114" i="21"/>
  <c r="BY114" i="21" s="1"/>
  <c r="CB114" i="21" s="1"/>
  <c r="CF121" i="21"/>
  <c r="CA121" i="21"/>
  <c r="CG121" i="21" s="1"/>
  <c r="CA189" i="21"/>
  <c r="CG189" i="21" s="1"/>
  <c r="CB21" i="21"/>
  <c r="CB33" i="21"/>
  <c r="CB45" i="21"/>
  <c r="CB77" i="21"/>
  <c r="BT79" i="21"/>
  <c r="BV79" i="21" s="1"/>
  <c r="BU80" i="21"/>
  <c r="BY80" i="21" s="1"/>
  <c r="CB80" i="21" s="1"/>
  <c r="CA93" i="21"/>
  <c r="CG93" i="21" s="1"/>
  <c r="BT95" i="21"/>
  <c r="BV95" i="21" s="1"/>
  <c r="BW95" i="21" s="1"/>
  <c r="BT96" i="21"/>
  <c r="BV96" i="21" s="1"/>
  <c r="BT97" i="21"/>
  <c r="BV97" i="21" s="1"/>
  <c r="BW97" i="21" s="1"/>
  <c r="BU113" i="21"/>
  <c r="BY113" i="21" s="1"/>
  <c r="CA260" i="21"/>
  <c r="CG260" i="21" s="1"/>
  <c r="BW260" i="21"/>
  <c r="CA308" i="21"/>
  <c r="CG308" i="21" s="1"/>
  <c r="BW308" i="21"/>
  <c r="CA57" i="21"/>
  <c r="CG57" i="21" s="1"/>
  <c r="CB76" i="21"/>
  <c r="CF91" i="21"/>
  <c r="CB107" i="21"/>
  <c r="CF109" i="21"/>
  <c r="CB109" i="21"/>
  <c r="CA110" i="21"/>
  <c r="CG110" i="21" s="1"/>
  <c r="CB121" i="21"/>
  <c r="CB128" i="21"/>
  <c r="CA153" i="21"/>
  <c r="CG153" i="21" s="1"/>
  <c r="BW153" i="21"/>
  <c r="BW158" i="21"/>
  <c r="CA158" i="21"/>
  <c r="CG158" i="21" s="1"/>
  <c r="BW184" i="21"/>
  <c r="CA184" i="21"/>
  <c r="CG184" i="21" s="1"/>
  <c r="BT77" i="21"/>
  <c r="BV77" i="21" s="1"/>
  <c r="BW77" i="21" s="1"/>
  <c r="BU78" i="21"/>
  <c r="BY78" i="21" s="1"/>
  <c r="CB78" i="21" s="1"/>
  <c r="CF90" i="21"/>
  <c r="CA90" i="21"/>
  <c r="CG90" i="21" s="1"/>
  <c r="N266" i="20"/>
  <c r="N278" i="20"/>
  <c r="N290" i="20"/>
  <c r="N302" i="20"/>
  <c r="N314" i="20"/>
  <c r="N326" i="20"/>
  <c r="N338" i="20"/>
  <c r="CB49" i="21"/>
  <c r="CF58" i="21"/>
  <c r="BU77" i="21"/>
  <c r="BY77" i="21" s="1"/>
  <c r="CB89" i="21"/>
  <c r="BT91" i="21"/>
  <c r="BV91" i="21" s="1"/>
  <c r="BU92" i="21"/>
  <c r="BY92" i="21" s="1"/>
  <c r="CB92" i="21" s="1"/>
  <c r="CA105" i="21"/>
  <c r="CG105" i="21" s="1"/>
  <c r="BT108" i="21"/>
  <c r="BV108" i="21" s="1"/>
  <c r="BT109" i="21"/>
  <c r="BV109" i="21" s="1"/>
  <c r="BW109" i="21" s="1"/>
  <c r="BT119" i="21"/>
  <c r="BV119" i="21" s="1"/>
  <c r="CB133" i="21"/>
  <c r="CA133" i="21"/>
  <c r="CG133" i="21" s="1"/>
  <c r="BT134" i="21"/>
  <c r="BV134" i="21" s="1"/>
  <c r="BW168" i="21"/>
  <c r="CA168" i="21"/>
  <c r="CG168" i="21" s="1"/>
  <c r="CB59" i="21"/>
  <c r="CB71" i="21"/>
  <c r="CF73" i="21"/>
  <c r="CB73" i="21"/>
  <c r="CA73" i="21"/>
  <c r="CG73" i="21" s="1"/>
  <c r="CA74" i="21"/>
  <c r="CG74" i="21" s="1"/>
  <c r="CB88" i="21"/>
  <c r="BU91" i="21"/>
  <c r="BY91" i="21" s="1"/>
  <c r="CB91" i="21" s="1"/>
  <c r="CF103" i="21"/>
  <c r="CB103" i="21"/>
  <c r="CF117" i="21"/>
  <c r="CB117" i="21"/>
  <c r="CA117" i="21"/>
  <c r="CG117" i="21" s="1"/>
  <c r="BU119" i="21"/>
  <c r="BY119" i="21" s="1"/>
  <c r="CB119" i="21" s="1"/>
  <c r="CF128" i="21"/>
  <c r="BU138" i="21"/>
  <c r="BY138" i="21" s="1"/>
  <c r="CB138" i="21" s="1"/>
  <c r="CA138" i="21"/>
  <c r="CG138" i="21" s="1"/>
  <c r="CA39" i="21"/>
  <c r="CG39" i="21" s="1"/>
  <c r="CF49" i="21"/>
  <c r="CB50" i="21"/>
  <c r="CA51" i="21"/>
  <c r="CG51" i="21" s="1"/>
  <c r="BT58" i="21"/>
  <c r="BV58" i="21" s="1"/>
  <c r="BW58" i="21" s="1"/>
  <c r="CF66" i="21"/>
  <c r="CA66" i="21"/>
  <c r="CG66" i="21" s="1"/>
  <c r="CF67" i="21"/>
  <c r="CB67" i="21"/>
  <c r="CB68" i="21"/>
  <c r="CA69" i="21"/>
  <c r="CG69" i="21" s="1"/>
  <c r="CF70" i="21"/>
  <c r="CA70" i="21"/>
  <c r="CG70" i="21" s="1"/>
  <c r="BU74" i="21"/>
  <c r="BY74" i="21" s="1"/>
  <c r="CB74" i="21"/>
  <c r="BT89" i="21"/>
  <c r="BV89" i="21" s="1"/>
  <c r="BW89" i="21" s="1"/>
  <c r="BU90" i="21"/>
  <c r="BY90" i="21" s="1"/>
  <c r="CB90" i="21" s="1"/>
  <c r="CF102" i="21"/>
  <c r="CB102" i="21"/>
  <c r="CA102" i="21"/>
  <c r="CG102" i="21" s="1"/>
  <c r="CF137" i="21"/>
  <c r="CB137" i="21"/>
  <c r="CA137" i="21"/>
  <c r="CG137" i="21" s="1"/>
  <c r="BW201" i="21"/>
  <c r="CF265" i="21"/>
  <c r="CB265" i="21"/>
  <c r="CA265" i="21"/>
  <c r="CG265" i="21" s="1"/>
  <c r="CA272" i="21"/>
  <c r="CG272" i="21" s="1"/>
  <c r="BW272" i="21"/>
  <c r="CA279" i="21"/>
  <c r="CG279" i="21" s="1"/>
  <c r="BW279" i="21"/>
  <c r="CB53" i="21"/>
  <c r="CA53" i="21"/>
  <c r="CG53" i="21" s="1"/>
  <c r="BT59" i="21"/>
  <c r="BV59" i="21" s="1"/>
  <c r="CB60" i="21"/>
  <c r="CB64" i="21"/>
  <c r="CB65" i="21"/>
  <c r="BT71" i="21"/>
  <c r="BV71" i="21" s="1"/>
  <c r="BT72" i="21"/>
  <c r="BV72" i="21" s="1"/>
  <c r="BT73" i="21"/>
  <c r="BV73" i="21" s="1"/>
  <c r="BW73" i="21" s="1"/>
  <c r="BU89" i="21"/>
  <c r="BY89" i="21" s="1"/>
  <c r="CB101" i="21"/>
  <c r="BT103" i="21"/>
  <c r="BV103" i="21" s="1"/>
  <c r="BU104" i="21"/>
  <c r="BY104" i="21" s="1"/>
  <c r="CB104" i="21" s="1"/>
  <c r="BT124" i="21"/>
  <c r="BV124" i="21" s="1"/>
  <c r="CF132" i="21"/>
  <c r="CB132" i="21"/>
  <c r="CA132" i="21"/>
  <c r="CG132" i="21" s="1"/>
  <c r="CF133" i="21"/>
  <c r="CA151" i="21"/>
  <c r="CG151" i="21" s="1"/>
  <c r="BW151" i="21"/>
  <c r="BT126" i="21"/>
  <c r="BV126" i="21" s="1"/>
  <c r="CB135" i="21"/>
  <c r="CF149" i="21"/>
  <c r="CB149" i="21"/>
  <c r="CA149" i="21"/>
  <c r="CG149" i="21" s="1"/>
  <c r="BT150" i="21"/>
  <c r="BV150" i="21" s="1"/>
  <c r="CA165" i="21"/>
  <c r="CG165" i="21" s="1"/>
  <c r="BW165" i="21"/>
  <c r="BU182" i="21"/>
  <c r="BY182" i="21" s="1"/>
  <c r="CB182" i="21" s="1"/>
  <c r="CF203" i="21"/>
  <c r="CA203" i="21"/>
  <c r="CG203" i="21" s="1"/>
  <c r="BW208" i="21"/>
  <c r="CA208" i="21"/>
  <c r="CG208" i="21" s="1"/>
  <c r="CB236" i="21"/>
  <c r="CA236" i="21"/>
  <c r="CG236" i="21" s="1"/>
  <c r="CF236" i="21"/>
  <c r="CA248" i="21"/>
  <c r="CG248" i="21" s="1"/>
  <c r="BW248" i="21"/>
  <c r="CA65" i="21"/>
  <c r="CG65" i="21" s="1"/>
  <c r="CA77" i="21"/>
  <c r="CG77" i="21" s="1"/>
  <c r="CA89" i="21"/>
  <c r="CG89" i="21" s="1"/>
  <c r="CA101" i="21"/>
  <c r="CG101" i="21" s="1"/>
  <c r="CA113" i="21"/>
  <c r="CG113" i="21" s="1"/>
  <c r="BT117" i="21"/>
  <c r="BV117" i="21" s="1"/>
  <c r="BW117" i="21" s="1"/>
  <c r="BU121" i="21"/>
  <c r="BY121" i="21" s="1"/>
  <c r="BT136" i="21"/>
  <c r="BV136" i="21" s="1"/>
  <c r="CA164" i="21"/>
  <c r="CG164" i="21" s="1"/>
  <c r="BU181" i="21"/>
  <c r="BY181" i="21" s="1"/>
  <c r="CB181" i="21" s="1"/>
  <c r="CF239" i="21"/>
  <c r="CB239" i="21"/>
  <c r="CA239" i="21"/>
  <c r="CG239" i="21" s="1"/>
  <c r="CF243" i="21"/>
  <c r="CB243" i="21"/>
  <c r="CA243" i="21"/>
  <c r="CG243" i="21" s="1"/>
  <c r="CA255" i="21"/>
  <c r="CG255" i="21" s="1"/>
  <c r="BW255" i="21"/>
  <c r="CA291" i="21"/>
  <c r="CG291" i="21" s="1"/>
  <c r="BW291" i="21"/>
  <c r="CA82" i="21"/>
  <c r="CG82" i="21" s="1"/>
  <c r="CA94" i="21"/>
  <c r="CG94" i="21" s="1"/>
  <c r="CA106" i="21"/>
  <c r="CG106" i="21" s="1"/>
  <c r="BU136" i="21"/>
  <c r="BY136" i="21" s="1"/>
  <c r="CB136" i="21" s="1"/>
  <c r="BT149" i="21"/>
  <c r="BV149" i="21" s="1"/>
  <c r="BW149" i="21" s="1"/>
  <c r="CF161" i="21"/>
  <c r="CB161" i="21"/>
  <c r="CA161" i="21"/>
  <c r="CG161" i="21" s="1"/>
  <c r="BT162" i="21"/>
  <c r="BV162" i="21" s="1"/>
  <c r="CB169" i="21"/>
  <c r="CF169" i="21"/>
  <c r="CA169" i="21"/>
  <c r="CG169" i="21" s="1"/>
  <c r="CA175" i="21"/>
  <c r="CG175" i="21" s="1"/>
  <c r="BU180" i="21"/>
  <c r="BY180" i="21" s="1"/>
  <c r="CB180" i="21" s="1"/>
  <c r="CG180" i="21"/>
  <c r="CA186" i="21"/>
  <c r="CG186" i="21" s="1"/>
  <c r="CF195" i="21"/>
  <c r="CB195" i="21"/>
  <c r="CA195" i="21"/>
  <c r="CG195" i="21" s="1"/>
  <c r="BU212" i="21"/>
  <c r="BY212" i="21" s="1"/>
  <c r="CB212" i="21" s="1"/>
  <c r="BT219" i="21"/>
  <c r="BV219" i="21" s="1"/>
  <c r="BW179" i="21"/>
  <c r="CA179" i="21"/>
  <c r="CG179" i="21" s="1"/>
  <c r="BW228" i="21"/>
  <c r="CA228" i="21"/>
  <c r="CG228" i="21" s="1"/>
  <c r="CF231" i="21"/>
  <c r="CB231" i="21"/>
  <c r="CA231" i="21"/>
  <c r="CG231" i="21" s="1"/>
  <c r="CF246" i="21"/>
  <c r="CA246" i="21"/>
  <c r="CG246" i="21" s="1"/>
  <c r="CB246" i="21"/>
  <c r="BT160" i="21"/>
  <c r="BV160" i="21" s="1"/>
  <c r="BT173" i="21"/>
  <c r="BV173" i="21" s="1"/>
  <c r="BW173" i="21" s="1"/>
  <c r="CF194" i="21"/>
  <c r="CB194" i="21"/>
  <c r="BU200" i="21"/>
  <c r="BY200" i="21" s="1"/>
  <c r="BT216" i="21"/>
  <c r="BV216" i="21" s="1"/>
  <c r="BU217" i="21"/>
  <c r="BY217" i="21" s="1"/>
  <c r="CB217" i="21" s="1"/>
  <c r="CB224" i="21"/>
  <c r="CA224" i="21"/>
  <c r="CG224" i="21" s="1"/>
  <c r="CF224" i="21"/>
  <c r="CF238" i="21"/>
  <c r="CB238" i="21"/>
  <c r="CA238" i="21"/>
  <c r="CG238" i="21" s="1"/>
  <c r="BW254" i="21"/>
  <c r="CA254" i="21"/>
  <c r="CG254" i="21" s="1"/>
  <c r="CA339" i="21"/>
  <c r="CG339" i="21" s="1"/>
  <c r="BW339" i="21"/>
  <c r="BT128" i="21"/>
  <c r="BV128" i="21" s="1"/>
  <c r="BW128" i="21" s="1"/>
  <c r="CF144" i="21"/>
  <c r="CA144" i="21"/>
  <c r="CG144" i="21" s="1"/>
  <c r="CF178" i="21"/>
  <c r="CB178" i="21"/>
  <c r="CA178" i="21"/>
  <c r="CG178" i="21" s="1"/>
  <c r="CF227" i="21"/>
  <c r="CB227" i="21"/>
  <c r="CA227" i="21"/>
  <c r="CG227" i="21" s="1"/>
  <c r="CA107" i="21"/>
  <c r="CG107" i="21" s="1"/>
  <c r="CA122" i="21"/>
  <c r="CG122" i="21" s="1"/>
  <c r="BT129" i="21"/>
  <c r="BV129" i="21" s="1"/>
  <c r="CA130" i="21"/>
  <c r="CG130" i="21" s="1"/>
  <c r="CB142" i="21"/>
  <c r="CA142" i="21"/>
  <c r="CG142" i="21" s="1"/>
  <c r="BU145" i="21"/>
  <c r="BY145" i="21" s="1"/>
  <c r="BT172" i="21"/>
  <c r="BV172" i="21" s="1"/>
  <c r="CA215" i="21"/>
  <c r="CG215" i="21" s="1"/>
  <c r="CB120" i="21"/>
  <c r="CA120" i="21"/>
  <c r="CG120" i="21" s="1"/>
  <c r="CB122" i="21"/>
  <c r="BT143" i="21"/>
  <c r="BV143" i="21" s="1"/>
  <c r="CF156" i="21"/>
  <c r="CB156" i="21"/>
  <c r="CA156" i="21"/>
  <c r="CG156" i="21" s="1"/>
  <c r="CA157" i="21"/>
  <c r="CG157" i="21" s="1"/>
  <c r="BW167" i="21"/>
  <c r="CF171" i="21"/>
  <c r="CB171" i="21"/>
  <c r="CA171" i="21"/>
  <c r="CG171" i="21" s="1"/>
  <c r="CB193" i="21"/>
  <c r="CA193" i="21"/>
  <c r="CG193" i="21" s="1"/>
  <c r="CF193" i="21"/>
  <c r="CA116" i="21"/>
  <c r="CG116" i="21" s="1"/>
  <c r="BU124" i="21"/>
  <c r="BY124" i="21" s="1"/>
  <c r="CB124" i="21" s="1"/>
  <c r="CF125" i="21"/>
  <c r="CA125" i="21"/>
  <c r="CG125" i="21" s="1"/>
  <c r="CA140" i="21"/>
  <c r="CG140" i="21" s="1"/>
  <c r="BT141" i="21"/>
  <c r="BV141" i="21" s="1"/>
  <c r="BU143" i="21"/>
  <c r="BY143" i="21" s="1"/>
  <c r="CB143" i="21" s="1"/>
  <c r="BU144" i="21"/>
  <c r="BY144" i="21" s="1"/>
  <c r="CB144" i="21" s="1"/>
  <c r="CB154" i="21"/>
  <c r="CA154" i="21"/>
  <c r="CG154" i="21" s="1"/>
  <c r="BU157" i="21"/>
  <c r="BY157" i="21" s="1"/>
  <c r="CB157" i="21"/>
  <c r="BU166" i="21"/>
  <c r="BY166" i="21" s="1"/>
  <c r="CB166" i="21" s="1"/>
  <c r="BU178" i="21"/>
  <c r="BY178" i="21" s="1"/>
  <c r="CA214" i="21"/>
  <c r="CG214" i="21" s="1"/>
  <c r="CA222" i="21"/>
  <c r="CG222" i="21" s="1"/>
  <c r="CB237" i="21"/>
  <c r="CF237" i="21"/>
  <c r="CA237" i="21"/>
  <c r="CG237" i="21" s="1"/>
  <c r="CF170" i="21"/>
  <c r="CB176" i="21"/>
  <c r="CA176" i="21"/>
  <c r="CG176" i="21" s="1"/>
  <c r="CA187" i="21"/>
  <c r="CG187" i="21" s="1"/>
  <c r="BU193" i="21"/>
  <c r="BY193" i="21" s="1"/>
  <c r="BT194" i="21"/>
  <c r="BV194" i="21" s="1"/>
  <c r="BW194" i="21" s="1"/>
  <c r="CA205" i="21"/>
  <c r="CG205" i="21" s="1"/>
  <c r="CF226" i="21"/>
  <c r="CB226" i="21"/>
  <c r="BT235" i="21"/>
  <c r="BV235" i="21" s="1"/>
  <c r="BT242" i="21"/>
  <c r="BV242" i="21" s="1"/>
  <c r="BW242" i="21" s="1"/>
  <c r="BT243" i="21"/>
  <c r="BV243" i="21" s="1"/>
  <c r="BW243" i="21" s="1"/>
  <c r="CA244" i="21"/>
  <c r="CG244" i="21" s="1"/>
  <c r="CA296" i="21"/>
  <c r="CG296" i="21" s="1"/>
  <c r="BW296" i="21"/>
  <c r="CA332" i="21"/>
  <c r="CG332" i="21" s="1"/>
  <c r="BW332" i="21"/>
  <c r="CF206" i="21"/>
  <c r="CB206" i="21"/>
  <c r="CF207" i="21"/>
  <c r="CB207" i="21"/>
  <c r="CA284" i="21"/>
  <c r="CG284" i="21" s="1"/>
  <c r="BW284" i="21"/>
  <c r="CA315" i="21"/>
  <c r="CG315" i="21" s="1"/>
  <c r="BW315" i="21"/>
  <c r="CF318" i="21"/>
  <c r="CB318" i="21"/>
  <c r="CA318" i="21"/>
  <c r="CG318" i="21" s="1"/>
  <c r="CB134" i="21"/>
  <c r="CB146" i="21"/>
  <c r="CB158" i="21"/>
  <c r="CH165" i="21"/>
  <c r="BU170" i="21"/>
  <c r="BY170" i="21" s="1"/>
  <c r="CB170" i="21" s="1"/>
  <c r="BT177" i="21"/>
  <c r="BV177" i="21" s="1"/>
  <c r="BW177" i="21" s="1"/>
  <c r="CB188" i="21"/>
  <c r="BU196" i="21"/>
  <c r="BY196" i="21" s="1"/>
  <c r="CB196" i="21" s="1"/>
  <c r="BU205" i="21"/>
  <c r="BY205" i="21" s="1"/>
  <c r="CB205" i="21" s="1"/>
  <c r="BT206" i="21"/>
  <c r="BV206" i="21" s="1"/>
  <c r="BW206" i="21" s="1"/>
  <c r="BT207" i="21"/>
  <c r="BV207" i="21" s="1"/>
  <c r="BW207" i="21" s="1"/>
  <c r="BU225" i="21"/>
  <c r="BY225" i="21" s="1"/>
  <c r="CB225" i="21" s="1"/>
  <c r="BU226" i="21"/>
  <c r="BY226" i="21" s="1"/>
  <c r="BT250" i="21"/>
  <c r="BV250" i="21" s="1"/>
  <c r="BW250" i="21" s="1"/>
  <c r="BU251" i="21"/>
  <c r="BY251" i="21" s="1"/>
  <c r="CB251" i="21" s="1"/>
  <c r="BU264" i="21"/>
  <c r="BY264" i="21" s="1"/>
  <c r="CA267" i="21"/>
  <c r="CG267" i="21" s="1"/>
  <c r="BW267" i="21"/>
  <c r="CF270" i="21"/>
  <c r="CB270" i="21"/>
  <c r="CA270" i="21"/>
  <c r="CG270" i="21" s="1"/>
  <c r="BW295" i="21"/>
  <c r="CA295" i="21"/>
  <c r="CG295" i="21" s="1"/>
  <c r="CA303" i="21"/>
  <c r="CG303" i="21" s="1"/>
  <c r="BW303" i="21"/>
  <c r="BW307" i="21"/>
  <c r="CA307" i="21"/>
  <c r="CG307" i="21" s="1"/>
  <c r="CH167" i="21"/>
  <c r="BU177" i="21"/>
  <c r="BY177" i="21" s="1"/>
  <c r="CA225" i="21"/>
  <c r="CG225" i="21" s="1"/>
  <c r="CA226" i="21"/>
  <c r="CG226" i="21" s="1"/>
  <c r="CA335" i="21"/>
  <c r="CG335" i="21" s="1"/>
  <c r="BW335" i="21"/>
  <c r="BU171" i="21"/>
  <c r="BY171" i="21" s="1"/>
  <c r="CA177" i="21"/>
  <c r="CG177" i="21" s="1"/>
  <c r="BT188" i="21"/>
  <c r="BV188" i="21" s="1"/>
  <c r="BW188" i="21" s="1"/>
  <c r="BT199" i="21"/>
  <c r="BV199" i="21" s="1"/>
  <c r="BW199" i="21" s="1"/>
  <c r="CA207" i="21"/>
  <c r="CG207" i="21" s="1"/>
  <c r="CB216" i="21"/>
  <c r="CA287" i="21"/>
  <c r="CG287" i="21" s="1"/>
  <c r="BW287" i="21"/>
  <c r="CA302" i="21"/>
  <c r="CG302" i="21" s="1"/>
  <c r="CA317" i="21"/>
  <c r="CG317" i="21" s="1"/>
  <c r="CA326" i="21"/>
  <c r="CG326" i="21" s="1"/>
  <c r="CA166" i="21"/>
  <c r="CG166" i="21" s="1"/>
  <c r="CA170" i="21"/>
  <c r="CG170" i="21" s="1"/>
  <c r="BU172" i="21"/>
  <c r="BY172" i="21" s="1"/>
  <c r="CB172" i="21" s="1"/>
  <c r="CF176" i="21"/>
  <c r="CB177" i="21"/>
  <c r="CA181" i="21"/>
  <c r="CG181" i="21" s="1"/>
  <c r="BT189" i="21"/>
  <c r="BV189" i="21" s="1"/>
  <c r="BW189" i="21" s="1"/>
  <c r="CB200" i="21"/>
  <c r="CA200" i="21"/>
  <c r="CG200" i="21" s="1"/>
  <c r="CF205" i="21"/>
  <c r="BT212" i="21"/>
  <c r="BV212" i="21" s="1"/>
  <c r="BW212" i="21" s="1"/>
  <c r="CF225" i="21"/>
  <c r="CA269" i="21"/>
  <c r="CG269" i="21" s="1"/>
  <c r="CA278" i="21"/>
  <c r="CG278" i="21" s="1"/>
  <c r="CA135" i="21"/>
  <c r="CG135" i="21" s="1"/>
  <c r="CA147" i="21"/>
  <c r="CG147" i="21" s="1"/>
  <c r="CA159" i="21"/>
  <c r="CG159" i="21" s="1"/>
  <c r="CA174" i="21"/>
  <c r="CG174" i="21" s="1"/>
  <c r="CF182" i="21"/>
  <c r="BU189" i="21"/>
  <c r="BY189" i="21" s="1"/>
  <c r="CB189" i="21" s="1"/>
  <c r="CB192" i="21"/>
  <c r="BT213" i="21"/>
  <c r="BV213" i="21" s="1"/>
  <c r="CF218" i="21"/>
  <c r="CB218" i="21"/>
  <c r="CA218" i="21"/>
  <c r="CG218" i="21" s="1"/>
  <c r="CF219" i="21"/>
  <c r="CB219" i="21"/>
  <c r="CG333" i="21"/>
  <c r="BT166" i="21"/>
  <c r="BV166" i="21" s="1"/>
  <c r="BW166" i="21" s="1"/>
  <c r="CB168" i="21"/>
  <c r="CF183" i="21"/>
  <c r="CB183" i="21"/>
  <c r="BT200" i="21"/>
  <c r="BV200" i="21" s="1"/>
  <c r="BW200" i="21" s="1"/>
  <c r="BU213" i="21"/>
  <c r="BY213" i="21" s="1"/>
  <c r="CB213" i="21" s="1"/>
  <c r="BU214" i="21"/>
  <c r="BY214" i="21" s="1"/>
  <c r="CB214" i="21" s="1"/>
  <c r="CA221" i="21"/>
  <c r="CG221" i="21" s="1"/>
  <c r="CF247" i="21"/>
  <c r="CB247" i="21"/>
  <c r="CG285" i="21"/>
  <c r="CA293" i="21"/>
  <c r="CG293" i="21" s="1"/>
  <c r="CF313" i="21"/>
  <c r="CB313" i="21"/>
  <c r="CA313" i="21"/>
  <c r="CG313" i="21" s="1"/>
  <c r="BT329" i="21"/>
  <c r="BV329" i="21" s="1"/>
  <c r="CA230" i="21"/>
  <c r="CG230" i="21" s="1"/>
  <c r="CA242" i="21"/>
  <c r="CG242" i="21" s="1"/>
  <c r="BT247" i="21"/>
  <c r="BV247" i="21" s="1"/>
  <c r="CA257" i="21"/>
  <c r="CG257" i="21" s="1"/>
  <c r="CF258" i="21"/>
  <c r="CB258" i="21"/>
  <c r="CA258" i="21"/>
  <c r="CG258" i="21" s="1"/>
  <c r="BT259" i="21"/>
  <c r="BV259" i="21" s="1"/>
  <c r="BT269" i="21"/>
  <c r="BV269" i="21" s="1"/>
  <c r="BW269" i="21" s="1"/>
  <c r="CA275" i="21"/>
  <c r="CG275" i="21" s="1"/>
  <c r="BW275" i="21"/>
  <c r="CF301" i="21"/>
  <c r="CB301" i="21"/>
  <c r="CA301" i="21"/>
  <c r="CG301" i="21" s="1"/>
  <c r="CF306" i="21"/>
  <c r="CB306" i="21"/>
  <c r="CA306" i="21"/>
  <c r="CG306" i="21" s="1"/>
  <c r="BU307" i="21"/>
  <c r="BY307" i="21" s="1"/>
  <c r="CB307" i="21" s="1"/>
  <c r="BT317" i="21"/>
  <c r="BV317" i="21" s="1"/>
  <c r="BW317" i="21" s="1"/>
  <c r="CA323" i="21"/>
  <c r="CG323" i="21" s="1"/>
  <c r="BW323" i="21"/>
  <c r="AS62" i="48"/>
  <c r="AS67" i="48"/>
  <c r="AS124" i="48"/>
  <c r="CB230" i="21"/>
  <c r="CB242" i="21"/>
  <c r="CB256" i="21"/>
  <c r="BU259" i="21"/>
  <c r="BY259" i="21" s="1"/>
  <c r="CB259" i="21" s="1"/>
  <c r="CB263" i="21"/>
  <c r="BT264" i="21"/>
  <c r="BV264" i="21" s="1"/>
  <c r="BW264" i="21" s="1"/>
  <c r="CB268" i="21"/>
  <c r="BU269" i="21"/>
  <c r="BY269" i="21" s="1"/>
  <c r="CB269" i="21" s="1"/>
  <c r="BT274" i="21"/>
  <c r="BV274" i="21" s="1"/>
  <c r="BW274" i="21" s="1"/>
  <c r="CA290" i="21"/>
  <c r="CG290" i="21" s="1"/>
  <c r="CA305" i="21"/>
  <c r="CG305" i="21" s="1"/>
  <c r="CB311" i="21"/>
  <c r="BT312" i="21"/>
  <c r="BV312" i="21" s="1"/>
  <c r="BW312" i="21" s="1"/>
  <c r="CB316" i="21"/>
  <c r="BU317" i="21"/>
  <c r="BY317" i="21" s="1"/>
  <c r="CB317" i="21" s="1"/>
  <c r="BT322" i="21"/>
  <c r="BV322" i="21" s="1"/>
  <c r="BW322" i="21" s="1"/>
  <c r="CA338" i="21"/>
  <c r="CG338" i="21" s="1"/>
  <c r="CA173" i="21"/>
  <c r="CG173" i="21" s="1"/>
  <c r="CA185" i="21"/>
  <c r="CG185" i="21" s="1"/>
  <c r="CA197" i="21"/>
  <c r="CG197" i="21" s="1"/>
  <c r="CA209" i="21"/>
  <c r="CG209" i="21" s="1"/>
  <c r="CA233" i="21"/>
  <c r="CG233" i="21" s="1"/>
  <c r="BT256" i="21"/>
  <c r="BV256" i="21" s="1"/>
  <c r="BW256" i="21" s="1"/>
  <c r="BU257" i="21"/>
  <c r="BY257" i="21" s="1"/>
  <c r="CB257" i="21" s="1"/>
  <c r="CA263" i="21"/>
  <c r="CG263" i="21" s="1"/>
  <c r="BW263" i="21"/>
  <c r="CF289" i="21"/>
  <c r="CB289" i="21"/>
  <c r="CA289" i="21"/>
  <c r="CG289" i="21" s="1"/>
  <c r="CF294" i="21"/>
  <c r="CB294" i="21"/>
  <c r="CA294" i="21"/>
  <c r="CG294" i="21" s="1"/>
  <c r="BT305" i="21"/>
  <c r="BV305" i="21" s="1"/>
  <c r="BW305" i="21" s="1"/>
  <c r="CA311" i="21"/>
  <c r="CG311" i="21" s="1"/>
  <c r="BW311" i="21"/>
  <c r="CF337" i="21"/>
  <c r="CB337" i="21"/>
  <c r="CA337" i="21"/>
  <c r="CG337" i="21" s="1"/>
  <c r="AT73" i="48"/>
  <c r="CF253" i="21"/>
  <c r="BU254" i="21"/>
  <c r="BY254" i="21" s="1"/>
  <c r="CB254" i="21" s="1"/>
  <c r="BU278" i="21"/>
  <c r="BY278" i="21" s="1"/>
  <c r="CB278" i="21" s="1"/>
  <c r="BT283" i="21"/>
  <c r="BV283" i="21" s="1"/>
  <c r="CB298" i="21"/>
  <c r="BU326" i="21"/>
  <c r="BY326" i="21" s="1"/>
  <c r="CB326" i="21" s="1"/>
  <c r="BT331" i="21"/>
  <c r="BV331" i="21" s="1"/>
  <c r="CF252" i="21"/>
  <c r="CB252" i="21"/>
  <c r="CA252" i="21"/>
  <c r="CG252" i="21" s="1"/>
  <c r="CA261" i="21"/>
  <c r="CG261" i="21" s="1"/>
  <c r="CF277" i="21"/>
  <c r="CB277" i="21"/>
  <c r="CA277" i="21"/>
  <c r="CG277" i="21" s="1"/>
  <c r="CF282" i="21"/>
  <c r="CB282" i="21"/>
  <c r="CA282" i="21"/>
  <c r="CG282" i="21" s="1"/>
  <c r="BU283" i="21"/>
  <c r="BY283" i="21" s="1"/>
  <c r="BT293" i="21"/>
  <c r="BV293" i="21" s="1"/>
  <c r="BW293" i="21" s="1"/>
  <c r="CA299" i="21"/>
  <c r="CG299" i="21" s="1"/>
  <c r="BW299" i="21"/>
  <c r="CF325" i="21"/>
  <c r="CB325" i="21"/>
  <c r="CA325" i="21"/>
  <c r="CG325" i="21" s="1"/>
  <c r="CF330" i="21"/>
  <c r="CB330" i="21"/>
  <c r="CA330" i="21"/>
  <c r="CG330" i="21" s="1"/>
  <c r="BU331" i="21"/>
  <c r="BY331" i="21" s="1"/>
  <c r="AT72" i="48"/>
  <c r="AS78" i="48"/>
  <c r="AS88" i="48"/>
  <c r="CA217" i="21"/>
  <c r="CG217" i="21" s="1"/>
  <c r="CA229" i="21"/>
  <c r="CG229" i="21" s="1"/>
  <c r="CA241" i="21"/>
  <c r="CG241" i="21" s="1"/>
  <c r="CB250" i="21"/>
  <c r="CA253" i="21"/>
  <c r="CG253" i="21" s="1"/>
  <c r="CA266" i="21"/>
  <c r="CG266" i="21" s="1"/>
  <c r="CA281" i="21"/>
  <c r="CG281" i="21" s="1"/>
  <c r="CB287" i="21"/>
  <c r="BT288" i="21"/>
  <c r="BV288" i="21" s="1"/>
  <c r="BW288" i="21" s="1"/>
  <c r="CB292" i="21"/>
  <c r="BU293" i="21"/>
  <c r="BY293" i="21" s="1"/>
  <c r="CB293" i="21" s="1"/>
  <c r="BT298" i="21"/>
  <c r="BV298" i="21" s="1"/>
  <c r="BW298" i="21" s="1"/>
  <c r="CA314" i="21"/>
  <c r="CG314" i="21" s="1"/>
  <c r="CB335" i="21"/>
  <c r="BT336" i="21"/>
  <c r="BV336" i="21" s="1"/>
  <c r="BW336" i="21" s="1"/>
  <c r="AT90" i="48"/>
  <c r="AT94" i="48"/>
  <c r="AT98" i="48"/>
  <c r="CA245" i="21"/>
  <c r="CG245" i="21" s="1"/>
  <c r="CA249" i="21"/>
  <c r="CG249" i="21" s="1"/>
  <c r="BU253" i="21"/>
  <c r="BY253" i="21" s="1"/>
  <c r="CB253" i="21" s="1"/>
  <c r="BU266" i="21"/>
  <c r="BY266" i="21" s="1"/>
  <c r="CB266" i="21" s="1"/>
  <c r="BT271" i="21"/>
  <c r="BV271" i="21" s="1"/>
  <c r="CB286" i="21"/>
  <c r="BU288" i="21"/>
  <c r="BY288" i="21" s="1"/>
  <c r="CA297" i="21"/>
  <c r="CG297" i="21" s="1"/>
  <c r="BU336" i="21"/>
  <c r="BY336" i="21" s="1"/>
  <c r="CB336" i="21" s="1"/>
  <c r="AS64" i="48"/>
  <c r="AT75" i="48"/>
  <c r="AS136" i="48"/>
  <c r="CF249" i="21"/>
  <c r="CF261" i="21"/>
  <c r="CA264" i="21"/>
  <c r="CG264" i="21" s="1"/>
  <c r="CB271" i="21"/>
  <c r="CF273" i="21"/>
  <c r="CA276" i="21"/>
  <c r="CG276" i="21" s="1"/>
  <c r="CB283" i="21"/>
  <c r="CF285" i="21"/>
  <c r="CB295" i="21"/>
  <c r="CF297" i="21"/>
  <c r="CA300" i="21"/>
  <c r="CG300" i="21" s="1"/>
  <c r="CF309" i="21"/>
  <c r="CA312" i="21"/>
  <c r="CG312" i="21" s="1"/>
  <c r="CB319" i="21"/>
  <c r="CF321" i="21"/>
  <c r="CA324" i="21"/>
  <c r="CG324" i="21" s="1"/>
  <c r="CB331" i="21"/>
  <c r="CF333" i="21"/>
  <c r="AS91" i="48"/>
  <c r="AS95" i="48"/>
  <c r="AS99" i="48"/>
  <c r="AT119" i="48"/>
  <c r="AT131" i="48"/>
  <c r="CB264" i="21"/>
  <c r="CB276" i="21"/>
  <c r="CB288" i="21"/>
  <c r="CB300" i="21"/>
  <c r="CB312" i="21"/>
  <c r="CB324" i="21"/>
  <c r="AS63" i="48"/>
  <c r="AT89" i="48"/>
  <c r="AT93" i="48"/>
  <c r="AT97" i="48"/>
  <c r="CA262" i="21"/>
  <c r="CG262" i="21" s="1"/>
  <c r="CA274" i="21"/>
  <c r="CG274" i="21" s="1"/>
  <c r="CA286" i="21"/>
  <c r="CG286" i="21" s="1"/>
  <c r="CA298" i="21"/>
  <c r="CG298" i="21" s="1"/>
  <c r="CA310" i="21"/>
  <c r="CG310" i="21" s="1"/>
  <c r="AT122" i="48"/>
  <c r="AT134" i="48"/>
  <c r="CB262" i="21"/>
  <c r="AS61" i="48"/>
  <c r="AS73" i="48"/>
  <c r="AS85" i="48"/>
  <c r="AS90" i="48"/>
  <c r="AS94" i="48"/>
  <c r="AS98" i="48"/>
  <c r="AT118" i="48"/>
  <c r="AT92" i="48"/>
  <c r="AT96" i="48"/>
  <c r="AT100" i="48"/>
  <c r="AT142" i="48"/>
  <c r="AS126" i="48"/>
  <c r="AS172" i="48"/>
  <c r="AS69" i="48"/>
  <c r="AT86" i="48"/>
  <c r="AT91" i="48"/>
  <c r="AT95" i="48"/>
  <c r="AT99" i="48"/>
  <c r="CA268" i="21"/>
  <c r="CG268" i="21" s="1"/>
  <c r="CA280" i="21"/>
  <c r="CG280" i="21" s="1"/>
  <c r="CA292" i="21"/>
  <c r="CG292" i="21" s="1"/>
  <c r="CA304" i="21"/>
  <c r="CG304" i="21" s="1"/>
  <c r="CA316" i="21"/>
  <c r="CG316" i="21" s="1"/>
  <c r="CA328" i="21"/>
  <c r="CG328" i="21" s="1"/>
  <c r="AT120" i="48"/>
  <c r="AT132" i="48"/>
  <c r="AT85" i="48"/>
  <c r="AS92" i="48"/>
  <c r="AS96" i="48"/>
  <c r="AS100" i="48"/>
  <c r="AT144" i="48"/>
  <c r="AS277" i="48"/>
  <c r="AT213" i="48"/>
  <c r="AT216" i="48"/>
  <c r="AS209" i="48"/>
  <c r="AS261" i="48"/>
  <c r="AS222" i="48"/>
  <c r="AS231" i="48"/>
  <c r="AS239" i="48"/>
  <c r="AT214" i="48"/>
  <c r="AS272" i="48"/>
  <c r="AS215" i="48"/>
  <c r="AT218" i="48"/>
  <c r="AS221" i="48"/>
  <c r="AS264" i="48"/>
  <c r="AS288" i="48"/>
  <c r="AS238" i="48"/>
  <c r="AS250" i="48"/>
  <c r="AS262" i="48"/>
  <c r="AS286" i="48"/>
  <c r="AS237" i="48"/>
  <c r="AS248" i="48"/>
  <c r="AS260" i="48"/>
  <c r="AS236" i="48"/>
  <c r="AS247" i="48"/>
  <c r="AS259" i="48"/>
  <c r="AS270" i="48"/>
  <c r="AS276" i="48"/>
  <c r="AS283" i="48"/>
  <c r="AS211" i="48"/>
  <c r="AS223" i="48"/>
  <c r="AS235" i="48"/>
  <c r="AS246" i="48"/>
  <c r="AS258" i="48"/>
  <c r="AS282" i="48"/>
  <c r="AS234" i="48"/>
  <c r="AS245" i="48"/>
  <c r="AS257" i="48"/>
  <c r="AS269" i="48"/>
  <c r="AS275" i="48"/>
  <c r="AS281" i="48"/>
  <c r="AS233" i="48"/>
  <c r="AS244" i="48"/>
  <c r="AS256" i="48"/>
  <c r="AS268" i="48"/>
  <c r="AS292" i="48"/>
  <c r="AS280" i="48"/>
  <c r="AS291" i="48"/>
  <c r="AS242" i="48"/>
  <c r="AS254" i="48"/>
  <c r="AS266" i="48"/>
  <c r="AS290" i="48"/>
  <c r="AS218" i="48"/>
  <c r="AS230" i="48"/>
  <c r="AS241" i="48"/>
  <c r="AS253" i="48"/>
  <c r="AS265" i="48"/>
  <c r="AS273" i="48"/>
  <c r="AS279" i="48"/>
  <c r="AS289" i="48"/>
  <c r="BW103" i="21" l="1"/>
  <c r="CA103" i="21"/>
  <c r="CG103" i="21" s="1"/>
  <c r="CA336" i="21"/>
  <c r="CG336" i="21" s="1"/>
  <c r="CA288" i="21"/>
  <c r="CG288" i="21" s="1"/>
  <c r="CA250" i="21"/>
  <c r="CG250" i="21" s="1"/>
  <c r="BW219" i="21"/>
  <c r="CA219" i="21"/>
  <c r="CG219" i="21" s="1"/>
  <c r="BW162" i="21"/>
  <c r="CA162" i="21"/>
  <c r="CG162" i="21" s="1"/>
  <c r="CA71" i="21"/>
  <c r="CG71" i="21" s="1"/>
  <c r="BW71" i="21"/>
  <c r="BW119" i="21"/>
  <c r="CA119" i="21"/>
  <c r="CG119" i="21" s="1"/>
  <c r="BW213" i="21"/>
  <c r="CA213" i="21"/>
  <c r="CG213" i="21" s="1"/>
  <c r="CA206" i="21"/>
  <c r="CG206" i="21" s="1"/>
  <c r="CA141" i="21"/>
  <c r="CG141" i="21" s="1"/>
  <c r="BW141" i="21"/>
  <c r="CA28" i="21"/>
  <c r="CG28" i="21" s="1"/>
  <c r="CA235" i="21"/>
  <c r="CG235" i="21" s="1"/>
  <c r="BW235" i="21"/>
  <c r="CA160" i="21"/>
  <c r="CG160" i="21" s="1"/>
  <c r="BW160" i="21"/>
  <c r="CA322" i="21"/>
  <c r="CG322" i="21" s="1"/>
  <c r="BW247" i="21"/>
  <c r="CA247" i="21"/>
  <c r="CG247" i="21" s="1"/>
  <c r="CA52" i="21"/>
  <c r="CG52" i="21" s="1"/>
  <c r="BW52" i="21"/>
  <c r="CA256" i="21"/>
  <c r="CG256" i="21" s="1"/>
  <c r="BW59" i="21"/>
  <c r="CA59" i="21"/>
  <c r="CG59" i="21" s="1"/>
  <c r="CA96" i="21"/>
  <c r="CG96" i="21" s="1"/>
  <c r="BW96" i="21"/>
  <c r="BW271" i="21"/>
  <c r="CA271" i="21"/>
  <c r="CG271" i="21" s="1"/>
  <c r="CA329" i="21"/>
  <c r="CG329" i="21" s="1"/>
  <c r="BW329" i="21"/>
  <c r="BW150" i="21"/>
  <c r="CA150" i="21"/>
  <c r="CG150" i="21" s="1"/>
  <c r="CA124" i="21"/>
  <c r="CG124" i="21" s="1"/>
  <c r="BW124" i="21"/>
  <c r="BW35" i="21"/>
  <c r="CA35" i="21"/>
  <c r="CG35" i="21" s="1"/>
  <c r="CA26" i="21"/>
  <c r="CG26" i="21" s="1"/>
  <c r="BW26" i="21"/>
  <c r="CA108" i="21"/>
  <c r="CG108" i="21" s="1"/>
  <c r="BW108" i="21"/>
  <c r="BW331" i="21"/>
  <c r="CA331" i="21"/>
  <c r="CG331" i="21" s="1"/>
  <c r="BW129" i="21"/>
  <c r="CA129" i="21"/>
  <c r="CG129" i="21" s="1"/>
  <c r="BW91" i="21"/>
  <c r="CA91" i="21"/>
  <c r="CG91" i="21" s="1"/>
  <c r="BW79" i="21"/>
  <c r="CA79" i="21"/>
  <c r="CG79" i="21" s="1"/>
  <c r="BW172" i="21"/>
  <c r="CA172" i="21"/>
  <c r="CG172" i="21" s="1"/>
  <c r="CA212" i="21"/>
  <c r="CG212" i="21" s="1"/>
  <c r="CA199" i="21"/>
  <c r="CG199" i="21" s="1"/>
  <c r="BW143" i="21"/>
  <c r="CA143" i="21"/>
  <c r="CG143" i="21" s="1"/>
  <c r="CA128" i="21"/>
  <c r="CG128" i="21" s="1"/>
  <c r="CA139" i="21"/>
  <c r="CG139" i="21" s="1"/>
  <c r="BW139" i="21"/>
  <c r="BW216" i="21"/>
  <c r="CA216" i="21"/>
  <c r="CG216" i="21" s="1"/>
  <c r="BW183" i="21"/>
  <c r="CA183" i="21"/>
  <c r="CG183" i="21" s="1"/>
  <c r="BW283" i="21"/>
  <c r="CA283" i="21"/>
  <c r="CG283" i="21" s="1"/>
  <c r="BW259" i="21"/>
  <c r="CA259" i="21"/>
  <c r="CG259" i="21" s="1"/>
  <c r="CA95" i="21"/>
  <c r="CG95" i="21" s="1"/>
  <c r="CA194" i="21"/>
  <c r="CG194" i="21" s="1"/>
  <c r="CA136" i="21"/>
  <c r="CG136" i="21" s="1"/>
  <c r="BW136" i="21"/>
  <c r="CA134" i="21"/>
  <c r="CG134" i="21" s="1"/>
  <c r="BW134" i="21"/>
  <c r="CA58" i="21"/>
  <c r="CG58" i="21" s="1"/>
  <c r="BW18" i="21"/>
  <c r="CA18" i="21"/>
  <c r="CG18" i="21" s="1"/>
  <c r="CA188" i="21"/>
  <c r="CG188" i="21" s="1"/>
  <c r="BW126" i="21"/>
  <c r="CA126" i="21"/>
  <c r="CG126" i="21" s="1"/>
  <c r="BW11" i="21"/>
  <c r="CA11" i="21"/>
  <c r="CG11" i="21" s="1"/>
  <c r="BW62" i="21"/>
  <c r="CA62" i="21"/>
  <c r="CG62" i="21" s="1"/>
  <c r="CA4" i="21"/>
  <c r="CG4" i="21" s="1"/>
  <c r="CA72" i="21"/>
  <c r="CG72" i="21" s="1"/>
  <c r="BW72" i="21"/>
  <c r="CA109" i="21"/>
  <c r="CG109" i="21" s="1"/>
  <c r="BW42" i="21"/>
  <c r="CA42" i="21"/>
  <c r="CG42" i="21" s="1"/>
</calcChain>
</file>

<file path=xl/sharedStrings.xml><?xml version="1.0" encoding="utf-8"?>
<sst xmlns="http://schemas.openxmlformats.org/spreadsheetml/2006/main" count="7011" uniqueCount="389">
  <si>
    <t>CONFIGURACIÓN SEGURIDAD SOCIAL · 2026</t>
  </si>
  <si>
    <t>Parámetro</t>
  </si>
  <si>
    <t>Empresa</t>
  </si>
  <si>
    <t>Trabajador</t>
  </si>
  <si>
    <t>Total</t>
  </si>
  <si>
    <t>Aplicación</t>
  </si>
  <si>
    <t>Fuente</t>
  </si>
  <si>
    <t>Contingencias comunes</t>
  </si>
  <si>
    <t>Base CC hasta tope máximo</t>
  </si>
  <si>
    <t>https://www.seg-social.es/</t>
  </si>
  <si>
    <t>Desempleo · indefinido</t>
  </si>
  <si>
    <t>Contratos indefinidos (incluye tiempo parcial)</t>
  </si>
  <si>
    <t>https://www.boe.es/eli/es/o/2026/03/30/pjc297</t>
  </si>
  <si>
    <t>Desempleo · temporal</t>
  </si>
  <si>
    <t>Duración determinada</t>
  </si>
  <si>
    <t>FOGASA</t>
  </si>
  <si>
    <t>A cargo de empresa</t>
  </si>
  <si>
    <t>Formación profesional</t>
  </si>
  <si>
    <t>Base desempleo/FP</t>
  </si>
  <si>
    <t>MEI</t>
  </si>
  <si>
    <t>Base contingencias comunes</t>
  </si>
  <si>
    <t>AT/EP</t>
  </si>
  <si>
    <t>EDITAR según CNAE/ocupación; a cargo de empresa</t>
  </si>
  <si>
    <t>Límite / solidaridad</t>
  </si>
  <si>
    <t>Valor</t>
  </si>
  <si>
    <t>Base máxima mensual</t>
  </si>
  <si>
    <t>https://www.boe.es/buscar/act.php?id=BOE-A-2026-2548</t>
  </si>
  <si>
    <t>Solidaridad tramo 1 · límite</t>
  </si>
  <si>
    <t>Solidaridad tramo 2 · límite</t>
  </si>
  <si>
    <t>Solidaridad T1 empresa</t>
  </si>
  <si>
    <t>Solidaridad T1 trabajador</t>
  </si>
  <si>
    <t>Solidaridad T2 empresa</t>
  </si>
  <si>
    <t>Solidaridad T2 trabajador</t>
  </si>
  <si>
    <t>Solidaridad T3 empresa</t>
  </si>
  <si>
    <t>Solidaridad T3 trabajador</t>
  </si>
  <si>
    <t>NOTAS DE USO</t>
  </si>
  <si>
    <t>• La lactancia se registra como situación informativa y, por defecto, no reduce salario ni cotización.</t>
  </si>
  <si>
    <t>• Para jornadas parciales, la remuneración se ajusta con el % de jornada. Conviene revisar bases mínimas por hora según grupo y horas reales.</t>
  </si>
  <si>
    <t>• El tipo AT/EP depende de la actividad/ocupación. Hasta que se complete, la cuota empresarial será inferior a la real en ese componente.</t>
  </si>
  <si>
    <t>NACIMIENTO Y CUIDADO DEL MENOR · CRITERIOS DEL MODELO</t>
  </si>
  <si>
    <t>• La hoja mensual normaliza el mes a 30 días. Los cuatro tramos deben sumar exactamente 30.</t>
  </si>
  <si>
    <t>• En disfrute parcial, la base de cotización suma la BR proporcional al descanso y la remuneración cotizable proporcional al trabajo.</t>
  </si>
  <si>
    <t>• La BR diaria puede introducirse manualmente; si queda a 0, el modelo usará una estimación y avisará para validarla.</t>
  </si>
  <si>
    <t>• Las 6 semanas inmediatamente posteriores al parto son obligatorias y a jornada completa; los períodos posteriores pueden ser parciales previo acuerdo.</t>
  </si>
  <si>
    <t>https://www.boe.es/eli/es/rdl/2025/07/29/9/dof/spa/html</t>
  </si>
  <si>
    <t>MODELO 14 PAGAS · COTIZACIÓN Y PRESTACIÓN NCM A 12 MESES</t>
  </si>
  <si>
    <t>Nº pagas empresa</t>
  </si>
  <si>
    <t>12 ordinarias + 2 extraordinarias</t>
  </si>
  <si>
    <t>Nº pagas extraordinarias</t>
  </si>
  <si>
    <t>Editable si cambiase la estructura retributiva</t>
  </si>
  <si>
    <t>Meses de prorrateo SS / BR</t>
  </si>
  <si>
    <t>Pagas extra y otros conceptos superiores al mes se prorratean en 12 meses</t>
  </si>
  <si>
    <t>https://www.seg-social.es/wps/portal/wss/internet/PortalEducativo/Profesores/Unidad6/PESS602/PESS605/PESS606</t>
  </si>
  <si>
    <t>Factor mensual prorrata extras</t>
  </si>
  <si>
    <t>Pagas extra / 12 meses</t>
  </si>
  <si>
    <t>Prestación NCM sobre BR</t>
  </si>
  <si>
    <t>100 % de la base reguladora proporcional al descanso</t>
  </si>
  <si>
    <t>https://www.seg-social.es/wps/portal/wss/internet/Trabajadores/PrestacionesPensionesTrabajadores/6b96a085-4dc0-47af-b2cb-97e00716791e/b81500fc-66c0-44eb-a512-429063d25d8b</t>
  </si>
  <si>
    <t>IRPF prestación NCM</t>
  </si>
  <si>
    <t>Prestación pública exenta de IRPF</t>
  </si>
  <si>
    <t>https://www.boe.es/eli/es/l/2006/11/28/35/con/20250103</t>
  </si>
  <si>
    <t>Mantener devengo extra durante NCM</t>
  </si>
  <si>
    <t>0 = no; 1 = sí. Revisar convenio/pacto de empresa</t>
  </si>
  <si>
    <t>Base máxima mensual 2026</t>
  </si>
  <si>
    <t>Tope usado para la BR automática</t>
  </si>
  <si>
    <t>Criterio cálculo NCM</t>
  </si>
  <si>
    <t>NCM parcial: se introduce la BR mensual NCM real en VARIABLES_2026. La hoja calcula BR diaria = BR mensual / 30 y la aplica a los días equivalentes de descanso. La base de nómina queda limitada por el hueco hasta la base máxima mensual después de la base NCM.</t>
  </si>
  <si>
    <t>BR mensual = salario ordinario + prorrata extras; prestación = BR diaria × días equivalentes descanso</t>
  </si>
  <si>
    <t>Solidaridad en NCM parcial</t>
  </si>
  <si>
    <t>Se aplica a la retribución de la parte trabajada. La base correspondiente al descanso NCM se mantiene separada; el bloque AB queda solo como simulación comparativa.</t>
  </si>
  <si>
    <t>https://www.seg-social.es/descarga/es/Datos_remitir_cotizacion_L00</t>
  </si>
  <si>
    <t>MAESTRO DE EMPLEADOS · DATOS RETRIBUTIVOS</t>
  </si>
  <si>
    <t>ID</t>
  </si>
  <si>
    <t>Nombre</t>
  </si>
  <si>
    <t>NIF</t>
  </si>
  <si>
    <t>Año nac.</t>
  </si>
  <si>
    <t>Fecha antigüedad</t>
  </si>
  <si>
    <t>IRPF</t>
  </si>
  <si>
    <t>Jornada habitual</t>
  </si>
  <si>
    <t>Tipo contrato</t>
  </si>
  <si>
    <t>Grupo cot.</t>
  </si>
  <si>
    <t>AT/EP %</t>
  </si>
  <si>
    <t>Sueldo base mensual 100%</t>
  </si>
  <si>
    <t>Seg. trabajador exento IRPF</t>
  </si>
  <si>
    <t>Seg. trabajador sujeto IRPF</t>
  </si>
  <si>
    <t>Seg. familia exento IRPF</t>
  </si>
  <si>
    <t>Seg. familia sujeto IRPF</t>
  </si>
  <si>
    <t>Complemento fijo</t>
  </si>
  <si>
    <t>Activo</t>
  </si>
  <si>
    <t>Base devengo paga extra mensual 100%</t>
  </si>
  <si>
    <t>Bonus resultados 2026 (€)</t>
  </si>
  <si>
    <t>TRABAJADOR 1</t>
  </si>
  <si>
    <t>00010001U</t>
  </si>
  <si>
    <t>Antigüedad</t>
  </si>
  <si>
    <t>Bruto</t>
  </si>
  <si>
    <t>Neto</t>
  </si>
  <si>
    <t>TRABAJADOR 2</t>
  </si>
  <si>
    <t>00010002U</t>
  </si>
  <si>
    <t>TRABAJADOR 3</t>
  </si>
  <si>
    <t>00010003U</t>
  </si>
  <si>
    <t>TRABAJADOR 4</t>
  </si>
  <si>
    <t>00010004U</t>
  </si>
  <si>
    <t>TRABAJADOR 5</t>
  </si>
  <si>
    <t>00010005U</t>
  </si>
  <si>
    <t>TRABAJADOR 6</t>
  </si>
  <si>
    <t>00010006U</t>
  </si>
  <si>
    <t>TRABAJADOR 7</t>
  </si>
  <si>
    <t>00010007U</t>
  </si>
  <si>
    <t>TRABAJADOR 8</t>
  </si>
  <si>
    <t>00010008U</t>
  </si>
  <si>
    <t>TRABAJADOR 9</t>
  </si>
  <si>
    <t>00010009U</t>
  </si>
  <si>
    <t>TRABAJADOR 10</t>
  </si>
  <si>
    <t>00010010U</t>
  </si>
  <si>
    <t>TRABAJADOR 11</t>
  </si>
  <si>
    <t>00010011U</t>
  </si>
  <si>
    <t>TRABAJADOR 12</t>
  </si>
  <si>
    <t>00010012U</t>
  </si>
  <si>
    <t>TRABAJADOR 13</t>
  </si>
  <si>
    <t>00010013U</t>
  </si>
  <si>
    <t>TRABAJADOR 14</t>
  </si>
  <si>
    <t>00010014U</t>
  </si>
  <si>
    <t>TRABAJADOR 15</t>
  </si>
  <si>
    <t>00010015U</t>
  </si>
  <si>
    <t>TRABAJADOR 16</t>
  </si>
  <si>
    <t>00010016U</t>
  </si>
  <si>
    <t>TRABAJADOR 17</t>
  </si>
  <si>
    <t>00010017U</t>
  </si>
  <si>
    <t>TRABAJADOR 18</t>
  </si>
  <si>
    <t>00010018U</t>
  </si>
  <si>
    <t>TRABAJADOR 19</t>
  </si>
  <si>
    <t>00010019U</t>
  </si>
  <si>
    <t>TRABAJADOR 20</t>
  </si>
  <si>
    <t>00010020U</t>
  </si>
  <si>
    <t>TRABAJADOR 21</t>
  </si>
  <si>
    <t>00010021U</t>
  </si>
  <si>
    <t>TRABAJADOR 22</t>
  </si>
  <si>
    <t>00010022U</t>
  </si>
  <si>
    <t>TRABAJADOR 23</t>
  </si>
  <si>
    <t>00010023U</t>
  </si>
  <si>
    <t>TRABAJADOR 24</t>
  </si>
  <si>
    <t>Indefinido</t>
  </si>
  <si>
    <t>Sí</t>
  </si>
  <si>
    <t>00010024U</t>
  </si>
  <si>
    <t>VARIABLES Y CASUÍSTICAS POR PERÍODO · 2026</t>
  </si>
  <si>
    <t>IDENTIFICACIÓN</t>
  </si>
  <si>
    <t>DISTRIBUCIÓN DEL MES · SIEMPRE 30 DÍAS</t>
  </si>
  <si>
    <t>CONTROLES AUTOMÁTICOS</t>
  </si>
  <si>
    <t>SITUACIÓN / AJUSTES</t>
  </si>
  <si>
    <t>Empleado</t>
  </si>
  <si>
    <t>Período</t>
  </si>
  <si>
    <t>Fecha</t>
  </si>
  <si>
    <t>Tipo período</t>
  </si>
  <si>
    <t>Días T1</t>
  </si>
  <si>
    <t>% trabajo T1</t>
  </si>
  <si>
    <t>Días T2</t>
  </si>
  <si>
    <t>% trabajo T2</t>
  </si>
  <si>
    <t>Días T3</t>
  </si>
  <si>
    <t>% trabajo T3</t>
  </si>
  <si>
    <t>Días T4</t>
  </si>
  <si>
    <t>% trabajo T4</t>
  </si>
  <si>
    <t>Total días</t>
  </si>
  <si>
    <t>% jornada equivalente</t>
  </si>
  <si>
    <t>Días equiv. descanso NCM</t>
  </si>
  <si>
    <t>Control 30 días</t>
  </si>
  <si>
    <t>Situación</t>
  </si>
  <si>
    <t>BR diaria NCM calculada (€)</t>
  </si>
  <si>
    <t>Ajuste bruto (€)</t>
  </si>
  <si>
    <t>Ajuste base SS (€)</t>
  </si>
  <si>
    <t>Ajuste base IRPF (€)</t>
  </si>
  <si>
    <t>Observaciones</t>
  </si>
  <si>
    <t>BR mensual NCM (€)</t>
  </si>
  <si>
    <t>Gratificación voluntaria excepcional (€)</t>
  </si>
  <si>
    <t>ENE</t>
  </si>
  <si>
    <t>Mensual</t>
  </si>
  <si>
    <t>Normal</t>
  </si>
  <si>
    <t>FEB</t>
  </si>
  <si>
    <t>MAR</t>
  </si>
  <si>
    <t>ABR</t>
  </si>
  <si>
    <t>MAY</t>
  </si>
  <si>
    <t>JUN</t>
  </si>
  <si>
    <t>EXTRA JUL</t>
  </si>
  <si>
    <t>Extra</t>
  </si>
  <si>
    <t>JUL</t>
  </si>
  <si>
    <t>AGO</t>
  </si>
  <si>
    <t>SEP</t>
  </si>
  <si>
    <t>OCT</t>
  </si>
  <si>
    <t>NOV</t>
  </si>
  <si>
    <t>EXTRA DIC</t>
  </si>
  <si>
    <t>DIC</t>
  </si>
  <si>
    <t>Nacimiento/cuidado menor</t>
  </si>
  <si>
    <t>BR mensual NCM 4.909,20 € inferida del caso conciliado de septiembre. Sustituir por la BR mensual oficial cuando se disponga de ella.</t>
  </si>
  <si>
    <t>CÁLCULO RETRIBUTIVO Y SEGURIDAD SOCIAL · 2026</t>
  </si>
  <si>
    <t>COTIZACIÓN SOLIDARIDAD APLICADA · RETRIBUCIÓN PARTE TRABAJADA (Z)</t>
  </si>
  <si>
    <t>SIMULACIÓN COMPARATIVA · BASE TEÓRICA TOTAL (AB, INCLUYE NCM)</t>
  </si>
  <si>
    <t>Tipo</t>
  </si>
  <si>
    <t>% antigüedad</t>
  </si>
  <si>
    <t>Bruto ordinario 100% (14 pagas)</t>
  </si>
  <si>
    <t>Prorrata mensual 2 extras (base devengo)</t>
  </si>
  <si>
    <t>Equiv. mensual 12 pagas</t>
  </si>
  <si>
    <t>BR diaria NCM usada</t>
  </si>
  <si>
    <t>BR mensual NCM aplicada</t>
  </si>
  <si>
    <t>% descanso NCM</t>
  </si>
  <si>
    <t>Base sueldo</t>
  </si>
  <si>
    <t>Seg. trab. exento</t>
  </si>
  <si>
    <t>Seg. trab. sujeto</t>
  </si>
  <si>
    <t>Seg. fam. exento</t>
  </si>
  <si>
    <t>Seg. fam. sujeto</t>
  </si>
  <si>
    <t>Compl. fijo</t>
  </si>
  <si>
    <t>Ajuste bruto</t>
  </si>
  <si>
    <t>Bruto empresa</t>
  </si>
  <si>
    <t>Prorrata extras trabajo</t>
  </si>
  <si>
    <t>Ajuste base SS</t>
  </si>
  <si>
    <t>Base SS trabajo teórica (sin tope)</t>
  </si>
  <si>
    <t>Base SS descanso NCM</t>
  </si>
  <si>
    <t>Base SS teórica total (trabajo + NCM)</t>
  </si>
  <si>
    <t>Base SS trabajador nómina (aplicada)</t>
  </si>
  <si>
    <t>Ajuste base IRPF</t>
  </si>
  <si>
    <t>Base IRPF</t>
  </si>
  <si>
    <t>CC trabajador nómina</t>
  </si>
  <si>
    <t>CC empresa</t>
  </si>
  <si>
    <t>Desemp. trabajador nómina</t>
  </si>
  <si>
    <t>Desemp. empresa</t>
  </si>
  <si>
    <t>FOGASA empresa</t>
  </si>
  <si>
    <t>FP trabajador nómina</t>
  </si>
  <si>
    <t>FP empresa</t>
  </si>
  <si>
    <t>MEI trabajador nómina</t>
  </si>
  <si>
    <t>MEI empresa</t>
  </si>
  <si>
    <t>AT/EP empresa</t>
  </si>
  <si>
    <t>Base solidaridad T1 [Z]</t>
  </si>
  <si>
    <t>% solidaridad T1 trabajador [Z]</t>
  </si>
  <si>
    <t>Cuota solidaridad T1 trabajador [Z]</t>
  </si>
  <si>
    <t>% solidaridad T1 empresa [Z]</t>
  </si>
  <si>
    <t>Cuota solidaridad T1 empresa [Z]</t>
  </si>
  <si>
    <t>Base solidaridad T2 [Z]</t>
  </si>
  <si>
    <t>% solidaridad T2 trabajador [Z]</t>
  </si>
  <si>
    <t>Cuota solidaridad T2 trabajador [Z]</t>
  </si>
  <si>
    <t>% solidaridad T2 empresa [Z]</t>
  </si>
  <si>
    <t>Cuota solidaridad T2 empresa [Z]</t>
  </si>
  <si>
    <t>Base solidaridad T3 [Z]</t>
  </si>
  <si>
    <t>% solidaridad T3 trabajador [Z]</t>
  </si>
  <si>
    <t>Cuota solidaridad T3 trabajador [Z]</t>
  </si>
  <si>
    <t>% solidaridad T3 empresa [Z]</t>
  </si>
  <si>
    <t>Cuota solidaridad T3 empresa [Z]</t>
  </si>
  <si>
    <t>Base solidaridad T1 [AB]</t>
  </si>
  <si>
    <t>% solidaridad T1 trabajador [AB]</t>
  </si>
  <si>
    <t>Cuota solidaridad T1 trabajador [AB]</t>
  </si>
  <si>
    <t>% solidaridad T1 empresa [AB]</t>
  </si>
  <si>
    <t>Cuota solidaridad T1 empresa [AB]</t>
  </si>
  <si>
    <t>Base solidaridad T2 [AB]</t>
  </si>
  <si>
    <t>% solidaridad T2 trabajador [AB]</t>
  </si>
  <si>
    <t>Cuota solidaridad T2 trabajador [AB]</t>
  </si>
  <si>
    <t>% solidaridad T2 empresa [AB]</t>
  </si>
  <si>
    <t>Cuota solidaridad T2 empresa [AB]</t>
  </si>
  <si>
    <t>Base solidaridad T3 [AB]</t>
  </si>
  <si>
    <t>% solidaridad T3 trabajador [AB]</t>
  </si>
  <si>
    <t>Cuota solidaridad T3 trabajador [AB]</t>
  </si>
  <si>
    <t>% solidaridad T3 empresa [AB]</t>
  </si>
  <si>
    <t>Cuota solidaridad T3 empresa [AB]</t>
  </si>
  <si>
    <t>Solidaridad trabajador TOTAL</t>
  </si>
  <si>
    <t>Solidaridad empresa TOTAL</t>
  </si>
  <si>
    <t>SS trabajador nómina</t>
  </si>
  <si>
    <t>SS trabajador TOTAL</t>
  </si>
  <si>
    <t>SS trabajador vía INSS</t>
  </si>
  <si>
    <t>SS empresa total</t>
  </si>
  <si>
    <t>IRPF empresa</t>
  </si>
  <si>
    <t>Neto empresa</t>
  </si>
  <si>
    <t>Coste empresa</t>
  </si>
  <si>
    <t>Prestación INSS bruta</t>
  </si>
  <si>
    <t>IRPF INSS</t>
  </si>
  <si>
    <t>Neto INSS</t>
  </si>
  <si>
    <t>Bruto total empresa + INSS</t>
  </si>
  <si>
    <t>Neto total empresa + INSS</t>
  </si>
  <si>
    <t>Diferencia teórica vs BR aplicada</t>
  </si>
  <si>
    <t>Aviso</t>
  </si>
  <si>
    <t>Control general</t>
  </si>
  <si>
    <t>Control BR NCM</t>
  </si>
  <si>
    <t>Control 14/12</t>
  </si>
  <si>
    <t>OK</t>
  </si>
  <si>
    <t>REGULARIZACIÓN DE COTIZACIONES POR BONUS · 2026</t>
  </si>
  <si>
    <t>El bonus anual se distribuye entre 12 nóminas ordinarias; las pagas extraordinarias quedan excluidas. La lógica replica la regularización 2025 y aplica los tipos y límites vigentes de CONFIG_SS_2026.</t>
  </si>
  <si>
    <t>IDENTIFICACIÓN / BONUS</t>
  </si>
  <si>
    <t>BASE RETRIBUTIVA</t>
  </si>
  <si>
    <t>TRAMO ORDINARIO · BASE MÁXIMA</t>
  </si>
  <si>
    <t>SOLIDARIDAD · T1 / T2 / T3</t>
  </si>
  <si>
    <t>TRABAJADOR · REGULARIZACIÓN</t>
  </si>
  <si>
    <t>EMPRESA · REGULARIZACIÓN</t>
  </si>
  <si>
    <t>TOTAL / CONTROL</t>
  </si>
  <si>
    <t>Bonus anual (€)</t>
  </si>
  <si>
    <t>Bonus mensual imputado (€)</t>
  </si>
  <si>
    <t>Base trabajo cotizada [Z]</t>
  </si>
  <si>
    <t>Base trabajo con bonus</t>
  </si>
  <si>
    <t>Base descanso NCM [AA]</t>
  </si>
  <si>
    <t>Base ordinaria trabajador cotizada [AC]</t>
  </si>
  <si>
    <t>Base ordinaria trabajador correcta</t>
  </si>
  <si>
    <t>Dif. base ordinaria trabajador</t>
  </si>
  <si>
    <t>Base ordinaria empresa cotizada</t>
  </si>
  <si>
    <t>Base ordinaria empresa correcta</t>
  </si>
  <si>
    <t>Dif. base ordinaria empresa</t>
  </si>
  <si>
    <t>Base solidaridad T1 cotizada</t>
  </si>
  <si>
    <t>Base solidaridad T1 correcta</t>
  </si>
  <si>
    <t>Dif. base T1</t>
  </si>
  <si>
    <t>Base solidaridad T2 cotizada</t>
  </si>
  <si>
    <t>Base solidaridad T2 correcta</t>
  </si>
  <si>
    <t>Dif. base T2</t>
  </si>
  <si>
    <t>Base solidaridad T3 cotizada</t>
  </si>
  <si>
    <t>Base solidaridad T3 correcta</t>
  </si>
  <si>
    <t>Dif. base T3</t>
  </si>
  <si>
    <t>CC trabajador pendiente</t>
  </si>
  <si>
    <t>Desempleo trabajador pendiente</t>
  </si>
  <si>
    <t>FP trabajador pendiente</t>
  </si>
  <si>
    <t>MEI trabajador pendiente</t>
  </si>
  <si>
    <t>Solidaridad T1 trabajador pendiente</t>
  </si>
  <si>
    <t>Solidaridad T2 trabajador pendiente</t>
  </si>
  <si>
    <t>Solidaridad T3 trabajador pendiente</t>
  </si>
  <si>
    <t>SS trabajador cotizada</t>
  </si>
  <si>
    <t>SS trabajador correcta</t>
  </si>
  <si>
    <t>SS trabajador pendiente</t>
  </si>
  <si>
    <t>CC empresa pendiente</t>
  </si>
  <si>
    <t>Desempleo empresa pendiente</t>
  </si>
  <si>
    <t>FOGASA empresa pendiente</t>
  </si>
  <si>
    <t>FP empresa pendiente</t>
  </si>
  <si>
    <t>MEI empresa pendiente</t>
  </si>
  <si>
    <t>AT/EP empresa pendiente</t>
  </si>
  <si>
    <t>Solidaridad T1 empresa pendiente</t>
  </si>
  <si>
    <t>Solidaridad T2 empresa pendiente</t>
  </si>
  <si>
    <t>Solidaridad T3 empresa pendiente</t>
  </si>
  <si>
    <t>SS empresa cotizada</t>
  </si>
  <si>
    <t>SS empresa correcta</t>
  </si>
  <si>
    <t>SS empresa pendiente</t>
  </si>
  <si>
    <t>Total pendiente SS</t>
  </si>
  <si>
    <t>Control</t>
  </si>
  <si>
    <t>FICHA INDIVIDUAL DE RETRIBUCIÓN · 2026</t>
  </si>
  <si>
    <t>RESUMEN ANUAL</t>
  </si>
  <si>
    <t>Año nacimiento</t>
  </si>
  <si>
    <t>Bruto anual</t>
  </si>
  <si>
    <t>SS trabajador</t>
  </si>
  <si>
    <t>Neto anual</t>
  </si>
  <si>
    <t>SS empresa</t>
  </si>
  <si>
    <t>Jornada</t>
  </si>
  <si>
    <t>TOTAL ANUAL</t>
  </si>
  <si>
    <t>Bonus anual</t>
  </si>
  <si>
    <t>Bonus mensual imputado</t>
  </si>
  <si>
    <t>Pendiente total anual</t>
  </si>
  <si>
    <t>Bonus mes</t>
  </si>
  <si>
    <t>Base actual</t>
  </si>
  <si>
    <t>Base con bonus</t>
  </si>
  <si>
    <t>SS trab. cotizada</t>
  </si>
  <si>
    <t>SS trab. correcta</t>
  </si>
  <si>
    <t>Pend. trab.</t>
  </si>
  <si>
    <t>Pend. empresa</t>
  </si>
  <si>
    <t>Pendiente total</t>
  </si>
  <si>
    <t>TOTAL</t>
  </si>
  <si>
    <t>EMPRESA vs INSS · NACIMIENTO Y CUIDADO DEL MENOR · 14 PAGAS / 12 MESES</t>
  </si>
  <si>
    <t>EJEMPLOS DE CONTROL · 75 % TRABAJO / 25 % NCM</t>
  </si>
  <si>
    <t>Empresa: paga la parte efectivamente trabajada sobre la retribución ordinaria en 14 pagas. INSS: paga la fracción de descanso sobre la base reguladora, que incorpora la prorrata mensual de las dos extras y queda sujeta al tope aplicable.</t>
  </si>
  <si>
    <t>Bruto mensual 14p</t>
  </si>
  <si>
    <t>% trabajo</t>
  </si>
  <si>
    <t>Prorrata extras</t>
  </si>
  <si>
    <t>Equiv. 12 pagas</t>
  </si>
  <si>
    <t>BR aplicada</t>
  </si>
  <si>
    <t>Empresa paga</t>
  </si>
  <si>
    <t>INSS paga</t>
  </si>
  <si>
    <t>Total bruto</t>
  </si>
  <si>
    <t>Mes</t>
  </si>
  <si>
    <t>Bruto ordinario 100%
(14 pagas)</t>
  </si>
  <si>
    <t>Prorrata extras
mensual</t>
  </si>
  <si>
    <t>Equiv. mensual
12 pagas</t>
  </si>
  <si>
    <t>BR mensual NCM
aplicada</t>
  </si>
  <si>
    <t>Base máx. 2026</t>
  </si>
  <si>
    <t>INSS bruto</t>
  </si>
  <si>
    <t>SS trab. nómina</t>
  </si>
  <si>
    <t>SS vía INSS</t>
  </si>
  <si>
    <t>Bruto total</t>
  </si>
  <si>
    <t>Neto total</t>
  </si>
  <si>
    <t>Diferencia por BR/tope</t>
  </si>
  <si>
    <t>2.000 € x 14: la BR mensual equivale a 2.333,33 €, por lo que al 25 % el INSS paga 583,33 €. 6.000 € x 14: la BR teórica sería 7.000 €, pero se limita a 5.101,20 €, por lo que el INSS paga 1.275,30 €.</t>
  </si>
  <si>
    <t>RESUMEN ANUAL · EMPRESA + INSS · CONTROL 14 PAGAS</t>
  </si>
  <si>
    <t>Las pagas extra de empresa se calculan según el devengo de los seis meses correspondientes. Por defecto, la fracción de contrato suspendida por NCM no vuelve a devengar paga extra porque esa parte ya se incorpora a la base reguladora del INSS. Si vuestro convenio mantiene el devengo íntegro, cambia CONFIG_SS_2026!B43 a 1.</t>
  </si>
  <si>
    <t>Días equiv. NCM</t>
  </si>
  <si>
    <t>Bruto empresa anual</t>
  </si>
  <si>
    <t>Extra julio empresa</t>
  </si>
  <si>
    <t>Extra diciembre empresa</t>
  </si>
  <si>
    <t>INSS bruto anual</t>
  </si>
  <si>
    <t>Bruto total anual</t>
  </si>
  <si>
    <t>Neto empresa anual</t>
  </si>
  <si>
    <t>Neto INSS anual</t>
  </si>
  <si>
    <t>Neto total anual</t>
  </si>
  <si>
    <t>Coste empresa anual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</si>
</sst>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7" formatCode="#,##0.00;[Red]\(#,##0.00\);\-"/>
    <numFmt numFmtId="168" formatCode="0.00%;[Red]\(0.00%\);\-"/>
  </numFmts>
  <fonts count="9" x14ac:knownFonts="1">
    <font>
      <sz val="11"/>
      <color theme="1"/>
      <name val="Calibri"/>
    </font>
    <font>
      <sz val="11"/>
      <color theme="1"/>
      <name val="Calibri"/>
    </font>
    <font>
      <b/>
      <sz val="11"/>
      <color theme="1"/>
      <name val="Calibri"/>
    </font>
    <font>
      <b/>
      <sz val="14"/>
      <color rgb="FFFFFFFF"/>
      <name val="Calibri"/>
    </font>
    <font>
      <b/>
      <sz val="11"/>
      <color rgb="FFFFFFFF"/>
      <name val="Calibri"/>
    </font>
    <font>
      <sz val="11"/>
      <color rgb="FF0000FF"/>
      <name val="Calibri"/>
    </font>
    <font>
      <b/>
      <sz val="11"/>
      <color rgb="FF006100"/>
      <name val="Calibri"/>
    </font>
    <font>
      <sz val="11"/>
      <color rgb="FF000000"/>
      <name val="Calibri"/>
    </font>
    <font>
      <i/>
      <sz val="11"/>
      <color rgb="FF404040"/>
      <name val="Calibri"/>
    </font>
  </fonts>
  <fills count="22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D9EAF7"/>
      </patternFill>
    </fill>
    <fill>
      <patternFill patternType="solid">
        <fgColor rgb="FFC6E0B4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00B0F0"/>
      </patternFill>
    </fill>
    <fill>
      <patternFill patternType="solid">
        <fgColor theme="4" tint="-0.249977111117893"/>
        <bgColor indexed="65"/>
      </patternFill>
    </fill>
    <fill>
      <patternFill patternType="solid">
        <fgColor rgb="FFFFC000"/>
      </patternFill>
    </fill>
    <fill>
      <patternFill patternType="solid">
        <fgColor theme="5" tint="-0.249977111117893"/>
        <bgColor indexed="65"/>
      </patternFill>
    </fill>
    <fill>
      <patternFill patternType="solid">
        <fgColor rgb="FFFFFF00"/>
      </patternFill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D9EAF7"/>
      </patternFill>
    </fill>
    <fill>
      <patternFill patternType="solid">
        <fgColor rgb="FF4472C4"/>
      </patternFill>
    </fill>
    <fill>
      <patternFill patternType="solid">
        <fgColor rgb="FFD9E2F3"/>
      </patternFill>
    </fill>
    <fill>
      <patternFill patternType="solid">
        <fgColor rgb="FFE2F0D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9">
    <xf numFmtId="0" fontId="0" fillId="0" borderId="0" xfId="0"/>
    <xf numFmtId="14" fontId="0" fillId="0" borderId="0" xfId="0" applyNumberFormat="1"/>
    <xf numFmtId="2" fontId="0" fillId="0" borderId="0" xfId="0" applyNumberFormat="1"/>
    <xf numFmtId="0" fontId="2" fillId="0" borderId="0" xfId="0" applyFont="1"/>
    <xf numFmtId="10" fontId="0" fillId="0" borderId="0" xfId="0" applyNumberFormat="1"/>
    <xf numFmtId="0" fontId="4" fillId="2" borderId="0" xfId="0" applyFont="1" applyFill="1"/>
    <xf numFmtId="0" fontId="4" fillId="2" borderId="0" xfId="0" applyFont="1" applyFill="1" applyAlignment="1">
      <alignment horizontal="center" wrapText="1"/>
    </xf>
    <xf numFmtId="10" fontId="5" fillId="0" borderId="0" xfId="0" applyNumberFormat="1" applyFont="1"/>
    <xf numFmtId="10" fontId="5" fillId="3" borderId="0" xfId="0" applyNumberFormat="1" applyFont="1" applyFill="1"/>
    <xf numFmtId="167" fontId="0" fillId="0" borderId="0" xfId="0" applyNumberFormat="1"/>
    <xf numFmtId="167" fontId="5" fillId="0" borderId="0" xfId="0" applyNumberFormat="1" applyFont="1"/>
    <xf numFmtId="0" fontId="4" fillId="2" borderId="0" xfId="0" applyFont="1" applyFill="1" applyAlignment="1">
      <alignment horizontal="center" vertical="center" wrapText="1"/>
    </xf>
    <xf numFmtId="0" fontId="5" fillId="0" borderId="0" xfId="0" applyFont="1"/>
    <xf numFmtId="0" fontId="6" fillId="5" borderId="0" xfId="0" applyFont="1" applyFill="1" applyAlignment="1">
      <alignment horizontal="center"/>
    </xf>
    <xf numFmtId="167" fontId="2" fillId="0" borderId="0" xfId="0" applyNumberFormat="1" applyFont="1"/>
    <xf numFmtId="0" fontId="0" fillId="0" borderId="0" xfId="0" applyAlignment="1">
      <alignment wrapText="1"/>
    </xf>
    <xf numFmtId="0" fontId="4" fillId="6" borderId="0" xfId="0" applyFont="1" applyFill="1" applyAlignment="1">
      <alignment horizontal="center" wrapText="1"/>
    </xf>
    <xf numFmtId="0" fontId="4" fillId="6" borderId="0" xfId="0" applyFont="1" applyFill="1" applyAlignment="1">
      <alignment horizontal="center" vertical="center" wrapText="1"/>
    </xf>
    <xf numFmtId="0" fontId="7" fillId="0" borderId="0" xfId="0" applyFont="1"/>
    <xf numFmtId="10" fontId="7" fillId="0" borderId="0" xfId="0" applyNumberFormat="1" applyFont="1"/>
    <xf numFmtId="0" fontId="2" fillId="8" borderId="0" xfId="0" applyFont="1" applyFill="1" applyAlignment="1">
      <alignment horizontal="center"/>
    </xf>
    <xf numFmtId="4" fontId="0" fillId="0" borderId="0" xfId="0" applyNumberFormat="1"/>
    <xf numFmtId="0" fontId="4" fillId="9" borderId="0" xfId="0" applyFont="1" applyFill="1" applyAlignment="1">
      <alignment wrapText="1"/>
    </xf>
    <xf numFmtId="0" fontId="4" fillId="9" borderId="0" xfId="0" applyFont="1" applyFill="1" applyAlignment="1">
      <alignment horizontal="center" wrapText="1"/>
    </xf>
    <xf numFmtId="0" fontId="4" fillId="9" borderId="0" xfId="0" applyFont="1" applyFill="1" applyAlignment="1">
      <alignment horizontal="center" vertical="center" wrapText="1"/>
    </xf>
    <xf numFmtId="168" fontId="0" fillId="0" borderId="0" xfId="0" applyNumberFormat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4" fillId="16" borderId="0" xfId="0" applyNumberFormat="1" applyFont="1" applyFill="1" applyBorder="1" applyAlignment="1">
      <alignment horizontal="center" vertical="center" wrapText="1"/>
    </xf>
    <xf numFmtId="167" fontId="5" fillId="17" borderId="0" xfId="0" applyNumberFormat="1" applyFont="1" applyFill="1" applyBorder="1"/>
    <xf numFmtId="0" fontId="2" fillId="20" borderId="0" xfId="0" applyNumberFormat="1" applyFont="1" applyFill="1" applyBorder="1" applyAlignment="1">
      <alignment horizontal="center" vertical="center" wrapText="1"/>
    </xf>
    <xf numFmtId="167" fontId="0" fillId="0" borderId="0" xfId="0" applyNumberFormat="1" applyFont="1" applyFill="1" applyBorder="1"/>
    <xf numFmtId="0" fontId="2" fillId="0" borderId="0" xfId="0" applyNumberFormat="1" applyFont="1" applyFill="1" applyBorder="1"/>
    <xf numFmtId="0" fontId="2" fillId="0" borderId="0" xfId="0" applyNumberFormat="1" applyFont="1" applyFill="1" applyBorder="1" applyAlignment="1">
      <alignment wrapText="1"/>
    </xf>
    <xf numFmtId="167" fontId="0" fillId="0" borderId="0" xfId="0" applyNumberFormat="1" applyFont="1" applyFill="1" applyBorder="1" applyAlignment="1">
      <alignment wrapText="1"/>
    </xf>
    <xf numFmtId="167" fontId="2" fillId="0" borderId="0" xfId="0" applyNumberFormat="1" applyFont="1" applyFill="1" applyBorder="1" applyAlignment="1">
      <alignment wrapText="1"/>
    </xf>
    <xf numFmtId="0" fontId="0" fillId="0" borderId="0" xfId="0" applyNumberFormat="1" applyFont="1" applyFill="1" applyBorder="1" applyAlignment="1">
      <alignment wrapText="1"/>
    </xf>
    <xf numFmtId="0" fontId="2" fillId="21" borderId="0" xfId="0" applyNumberFormat="1" applyFont="1" applyFill="1" applyBorder="1" applyAlignment="1">
      <alignment wrapText="1"/>
    </xf>
    <xf numFmtId="167" fontId="2" fillId="21" borderId="0" xfId="0" applyNumberFormat="1" applyFont="1" applyFill="1" applyBorder="1" applyAlignment="1">
      <alignment wrapText="1"/>
    </xf>
    <xf numFmtId="0" fontId="2" fillId="7" borderId="0" xfId="0" applyFont="1" applyFill="1"/>
    <xf numFmtId="0" fontId="0" fillId="0" borderId="0" xfId="0" applyAlignment="1">
      <alignment wrapText="1"/>
    </xf>
    <xf numFmtId="0" fontId="3" fillId="2" borderId="0" xfId="0" applyFont="1" applyFill="1" applyAlignment="1">
      <alignment horizontal="center" vertical="center"/>
    </xf>
    <xf numFmtId="0" fontId="2" fillId="4" borderId="0" xfId="0" applyFont="1" applyFill="1"/>
    <xf numFmtId="0" fontId="3" fillId="2" borderId="0" xfId="0" applyFont="1" applyFill="1" applyAlignment="1">
      <alignment horizontal="center"/>
    </xf>
    <xf numFmtId="0" fontId="2" fillId="7" borderId="0" xfId="0" applyFont="1" applyFill="1" applyAlignment="1">
      <alignment horizontal="center"/>
    </xf>
    <xf numFmtId="0" fontId="3" fillId="6" borderId="0" xfId="0" applyFont="1" applyFill="1" applyAlignment="1">
      <alignment horizontal="center"/>
    </xf>
    <xf numFmtId="0" fontId="0" fillId="0" borderId="0" xfId="0"/>
    <xf numFmtId="0" fontId="0" fillId="0" borderId="0" xfId="0" applyAlignment="1">
      <alignment horizontal="center" vertical="center" wrapText="1"/>
    </xf>
    <xf numFmtId="0" fontId="3" fillId="16" borderId="0" xfId="0" applyNumberFormat="1" applyFont="1" applyFill="1" applyBorder="1" applyAlignment="1">
      <alignment horizontal="center" vertical="center"/>
    </xf>
    <xf numFmtId="0" fontId="8" fillId="18" borderId="0" xfId="0" applyNumberFormat="1" applyFont="1" applyFill="1" applyBorder="1" applyAlignment="1">
      <alignment vertical="center" wrapText="1"/>
    </xf>
    <xf numFmtId="0" fontId="4" fillId="19" borderId="0" xfId="0" applyNumberFormat="1" applyFont="1" applyFill="1" applyBorder="1" applyAlignment="1">
      <alignment horizontal="center" vertical="center" wrapText="1"/>
    </xf>
    <xf numFmtId="0" fontId="2" fillId="4" borderId="0" xfId="0" applyFont="1" applyFill="1" applyAlignment="1">
      <alignment horizontal="center"/>
    </xf>
    <xf numFmtId="0" fontId="4" fillId="16" borderId="0" xfId="0" applyNumberFormat="1" applyFont="1" applyFill="1" applyBorder="1" applyAlignment="1">
      <alignment horizontal="center" vertical="center" wrapText="1"/>
    </xf>
    <xf numFmtId="0" fontId="3" fillId="9" borderId="0" xfId="0" applyFont="1" applyFill="1" applyAlignment="1">
      <alignment horizontal="center"/>
    </xf>
    <xf numFmtId="0" fontId="0" fillId="10" borderId="0" xfId="0" applyFill="1" applyAlignment="1">
      <alignment wrapText="1"/>
    </xf>
    <xf numFmtId="0" fontId="2" fillId="8" borderId="0" xfId="0" applyFont="1" applyFill="1" applyAlignment="1">
      <alignment horizontal="center"/>
    </xf>
  </cellXfs>
  <cellStyles count="2">
    <cellStyle name="Normal" xfId="0" builtinId="0"/>
    <cellStyle name="Porcentaje" xfId="1" xr:uid="{00000000-0005-0000-0000-000001000000}"/>
  </cellStyles>
  <dxfs count="9">
    <dxf>
      <font>
        <b/>
        <color rgb="FF9C0006"/>
      </font>
      <fill>
        <patternFill>
          <bgColor rgb="FFF4CCCC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9C0006"/>
      </font>
      <fill>
        <patternFill>
          <bgColor rgb="FFF4CCCC"/>
        </patternFill>
      </fill>
    </dxf>
    <dxf>
      <fill>
        <patternFill>
          <bgColor rgb="FFFFF2CC"/>
        </patternFill>
      </fill>
    </dxf>
    <dxf>
      <font>
        <b/>
        <color rgb="FF9C0006"/>
      </font>
      <fill>
        <patternFill>
          <bgColor rgb="FFF4CC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color rgb="FF0000FF"/>
      </font>
      <numFmt numFmtId="167" formatCode="#,##0.00;[Red]\(#,##0.00\);\-"/>
      <fill>
        <patternFill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bb14ffc1380a4651" Type="http://schemas.microsoft.com/office/2022/11/relationships/FeaturePropertyBag" Target="featurePropertyBag/featurePropertyBag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Relationship Id="R73fb32238495437b" Type="http://schemas.microsoft.com/office/2017/10/relationships/person" Target="persons/perso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persons/person.xml><?xml version="1.0" encoding="utf-8"?>
<xltc:personList xmlns:xltc="http://schemas.microsoft.com/office/spreadsheetml/2018/threadedcomments">
  <xltc:person displayName="Yolanda Bouzada" id="{F016FC9B-F55E-EDA4-3E9C-1E10DB09361A}"/>
</xltc: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Empleados" displayName="tblEmpleados" ref="A3:Q27" totalsRowShown="0">
  <autoFilter ref="A3:Q27" xr:uid="{00000000-0009-0000-0100-000001000000}"/>
  <tableColumns count="17">
    <tableColumn id="1" xr3:uid="{00000000-0010-0000-0000-000001000000}" name="ID"/>
    <tableColumn id="2" xr3:uid="{00000000-0010-0000-0000-000002000000}" name="Nombre"/>
    <tableColumn id="3" xr3:uid="{00000000-0010-0000-0000-000003000000}" name="NIF"/>
    <tableColumn id="4" xr3:uid="{00000000-0010-0000-0000-000004000000}" name="Año nac."/>
    <tableColumn id="5" xr3:uid="{00000000-0010-0000-0000-000005000000}" name="Fecha antigüedad"/>
    <tableColumn id="6" xr3:uid="{00000000-0010-0000-0000-000006000000}" name="IRPF"/>
    <tableColumn id="7" xr3:uid="{00000000-0010-0000-0000-000007000000}" name="Jornada habitual"/>
    <tableColumn id="8" xr3:uid="{00000000-0010-0000-0000-000008000000}" name="Tipo contrato"/>
    <tableColumn id="9" xr3:uid="{00000000-0010-0000-0000-000009000000}" name="Grupo cot."/>
    <tableColumn id="10" xr3:uid="{00000000-0010-0000-0000-00000A000000}" name="AT/EP %"/>
    <tableColumn id="11" xr3:uid="{00000000-0010-0000-0000-00000B000000}" name="Sueldo base mensual 100%"/>
    <tableColumn id="12" xr3:uid="{00000000-0010-0000-0000-00000C000000}" name="Seg. trabajador exento IRPF"/>
    <tableColumn id="13" xr3:uid="{00000000-0010-0000-0000-00000D000000}" name="Seg. trabajador sujeto IRPF"/>
    <tableColumn id="14" xr3:uid="{00000000-0010-0000-0000-00000E000000}" name="Seg. familia exento IRPF"/>
    <tableColumn id="15" xr3:uid="{00000000-0010-0000-0000-00000F000000}" name="Seg. familia sujeto IRPF"/>
    <tableColumn id="16" xr3:uid="{00000000-0010-0000-0000-000010000000}" name="Complemento fijo"/>
    <tableColumn id="17" xr3:uid="{00000000-0010-0000-0000-000011000000}" name="Activ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tblVariables2026_v2" displayName="tblVariables2026_v2" ref="A3:X339" totalsRowShown="0">
  <autoFilter ref="A3:X339" xr:uid="{00000000-0009-0000-0100-000004000000}"/>
  <tableColumns count="24">
    <tableColumn id="1" xr3:uid="{00000000-0010-0000-0100-000001000000}" name="Empleado"/>
    <tableColumn id="2" xr3:uid="{00000000-0010-0000-0100-000002000000}" name="Período"/>
    <tableColumn id="3" xr3:uid="{00000000-0010-0000-0100-000003000000}" name="Fecha"/>
    <tableColumn id="4" xr3:uid="{00000000-0010-0000-0100-000004000000}" name="Tipo período"/>
    <tableColumn id="5" xr3:uid="{00000000-0010-0000-0100-000005000000}" name="Días T1" dataDxfId="8"/>
    <tableColumn id="6" xr3:uid="{00000000-0010-0000-0100-000006000000}" name="% trabajo T1"/>
    <tableColumn id="7" xr3:uid="{00000000-0010-0000-0100-000007000000}" name="Días T2"/>
    <tableColumn id="8" xr3:uid="{00000000-0010-0000-0100-000008000000}" name="% trabajo T2"/>
    <tableColumn id="9" xr3:uid="{00000000-0010-0000-0100-000009000000}" name="Días T3"/>
    <tableColumn id="10" xr3:uid="{00000000-0010-0000-0100-00000A000000}" name="% trabajo T3"/>
    <tableColumn id="11" xr3:uid="{00000000-0010-0000-0100-00000B000000}" name="Días T4"/>
    <tableColumn id="12" xr3:uid="{00000000-0010-0000-0100-00000C000000}" name="% trabajo T4"/>
    <tableColumn id="13" xr3:uid="{00000000-0010-0000-0100-00000D000000}" name="Total días"/>
    <tableColumn id="14" xr3:uid="{00000000-0010-0000-0100-00000E000000}" name="% jornada equivalente"/>
    <tableColumn id="15" xr3:uid="{00000000-0010-0000-0100-00000F000000}" name="Días equiv. descanso NCM"/>
    <tableColumn id="16" xr3:uid="{00000000-0010-0000-0100-000010000000}" name="Control 30 días"/>
    <tableColumn id="17" xr3:uid="{00000000-0010-0000-0100-000011000000}" name="Situación"/>
    <tableColumn id="18" xr3:uid="{00000000-0010-0000-0100-000012000000}" name="BR diaria NCM calculada (€)"/>
    <tableColumn id="19" xr3:uid="{00000000-0010-0000-0100-000013000000}" name="Ajuste bruto (€)"/>
    <tableColumn id="20" xr3:uid="{00000000-0010-0000-0100-000014000000}" name="Ajuste base SS (€)"/>
    <tableColumn id="21" xr3:uid="{00000000-0010-0000-0100-000015000000}" name="Ajuste base IRPF (€)"/>
    <tableColumn id="22" xr3:uid="{00000000-0010-0000-0100-000016000000}" name="Observaciones"/>
    <tableColumn id="23" xr3:uid="{00000000-0010-0000-0100-000017000000}" name="BR mensual NCM (€)"/>
    <tableColumn id="24" xr3:uid="{00000000-0010-0000-0100-000018000000}" name="Gratificación voluntaria excepcional (€)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2000000}" name="tblCalculo2026_v2" displayName="tblCalculo2026_v2" ref="A3:CL339" totalsRowShown="0">
  <tableColumns count="90">
    <tableColumn id="1" xr3:uid="{00000000-0010-0000-0200-000001000000}" name="Empleado"/>
    <tableColumn id="2" xr3:uid="{00000000-0010-0000-0200-000002000000}" name="Período"/>
    <tableColumn id="3" xr3:uid="{00000000-0010-0000-0200-000003000000}" name="Fecha"/>
    <tableColumn id="4" xr3:uid="{00000000-0010-0000-0200-000004000000}" name="Tipo"/>
    <tableColumn id="5" xr3:uid="{00000000-0010-0000-0200-000005000000}" name="Situación"/>
    <tableColumn id="6" xr3:uid="{00000000-0010-0000-0200-000006000000}" name="% jornada equivalente"/>
    <tableColumn id="7" xr3:uid="{00000000-0010-0000-0200-000007000000}" name="% antigüedad"/>
    <tableColumn id="8" xr3:uid="{00000000-0010-0000-0200-000008000000}" name="Bruto ordinario 100% (14 pagas)"/>
    <tableColumn id="9" xr3:uid="{00000000-0010-0000-0200-000009000000}" name="Prorrata mensual 2 extras (base devengo)"/>
    <tableColumn id="10" xr3:uid="{00000000-0010-0000-0200-00000A000000}" name="Equiv. mensual 12 pagas"/>
    <tableColumn id="11" xr3:uid="{00000000-0010-0000-0200-00000B000000}" name="BR diaria NCM usada"/>
    <tableColumn id="12" xr3:uid="{00000000-0010-0000-0200-00000C000000}" name="BR mensual NCM aplicada"/>
    <tableColumn id="13" xr3:uid="{00000000-0010-0000-0200-00000D000000}" name="Días equiv. descanso NCM"/>
    <tableColumn id="14" xr3:uid="{00000000-0010-0000-0200-00000E000000}" name="% descanso NCM"/>
    <tableColumn id="15" xr3:uid="{00000000-0010-0000-0200-00000F000000}" name="Base sueldo"/>
    <tableColumn id="16" xr3:uid="{00000000-0010-0000-0200-000010000000}" name="Antigüedad"/>
    <tableColumn id="17" xr3:uid="{00000000-0010-0000-0200-000011000000}" name="Seg. trab. exento"/>
    <tableColumn id="18" xr3:uid="{00000000-0010-0000-0200-000012000000}" name="Seg. trab. sujeto"/>
    <tableColumn id="19" xr3:uid="{00000000-0010-0000-0200-000013000000}" name="Seg. fam. exento"/>
    <tableColumn id="20" xr3:uid="{00000000-0010-0000-0200-000014000000}" name="Seg. fam. sujeto"/>
    <tableColumn id="21" xr3:uid="{00000000-0010-0000-0200-000015000000}" name="Compl. fijo"/>
    <tableColumn id="22" xr3:uid="{00000000-0010-0000-0200-000016000000}" name="Ajuste bruto"/>
    <tableColumn id="23" xr3:uid="{00000000-0010-0000-0200-000017000000}" name="Bruto empresa"/>
    <tableColumn id="24" xr3:uid="{00000000-0010-0000-0200-000018000000}" name="Prorrata extras trabajo"/>
    <tableColumn id="25" xr3:uid="{00000000-0010-0000-0200-000019000000}" name="Ajuste base SS"/>
    <tableColumn id="26" xr3:uid="{00000000-0010-0000-0200-00001A000000}" name="Base SS trabajo teórica (sin tope)"/>
    <tableColumn id="27" xr3:uid="{00000000-0010-0000-0200-00001B000000}" name="Base SS descanso NCM"/>
    <tableColumn id="28" xr3:uid="{00000000-0010-0000-0200-00001C000000}" name="Base SS teórica total (trabajo + NCM)"/>
    <tableColumn id="29" xr3:uid="{00000000-0010-0000-0200-00001D000000}" name="Base SS trabajador nómina (aplicada)"/>
    <tableColumn id="30" xr3:uid="{00000000-0010-0000-0200-00001E000000}" name="Ajuste base IRPF"/>
    <tableColumn id="31" xr3:uid="{00000000-0010-0000-0200-00001F000000}" name="Base IRPF"/>
    <tableColumn id="32" xr3:uid="{00000000-0010-0000-0200-000020000000}" name="CC trabajador nómina"/>
    <tableColumn id="33" xr3:uid="{00000000-0010-0000-0200-000021000000}" name="CC empresa"/>
    <tableColumn id="34" xr3:uid="{00000000-0010-0000-0200-000022000000}" name="Desemp. trabajador nómina"/>
    <tableColumn id="35" xr3:uid="{00000000-0010-0000-0200-000023000000}" name="Desemp. empresa"/>
    <tableColumn id="36" xr3:uid="{00000000-0010-0000-0200-000024000000}" name="FOGASA empresa"/>
    <tableColumn id="37" xr3:uid="{00000000-0010-0000-0200-000025000000}" name="FP trabajador nómina"/>
    <tableColumn id="38" xr3:uid="{00000000-0010-0000-0200-000026000000}" name="FP empresa"/>
    <tableColumn id="39" xr3:uid="{00000000-0010-0000-0200-000027000000}" name="MEI trabajador nómina"/>
    <tableColumn id="40" xr3:uid="{00000000-0010-0000-0200-000028000000}" name="MEI empresa"/>
    <tableColumn id="41" xr3:uid="{00000000-0010-0000-0200-000029000000}" name="AT/EP empresa"/>
    <tableColumn id="42" xr3:uid="{00000000-0010-0000-0200-00002A000000}" name="Base solidaridad T1 [Z]"/>
    <tableColumn id="43" xr3:uid="{00000000-0010-0000-0200-00002B000000}" name="% solidaridad T1 trabajador [Z]"/>
    <tableColumn id="44" xr3:uid="{00000000-0010-0000-0200-00002C000000}" name="Cuota solidaridad T1 trabajador [Z]"/>
    <tableColumn id="45" xr3:uid="{00000000-0010-0000-0200-00002D000000}" name="% solidaridad T1 empresa [Z]"/>
    <tableColumn id="46" xr3:uid="{00000000-0010-0000-0200-00002E000000}" name="Cuota solidaridad T1 empresa [Z]"/>
    <tableColumn id="47" xr3:uid="{00000000-0010-0000-0200-00002F000000}" name="Base solidaridad T2 [Z]"/>
    <tableColumn id="48" xr3:uid="{00000000-0010-0000-0200-000030000000}" name="% solidaridad T2 trabajador [Z]"/>
    <tableColumn id="49" xr3:uid="{00000000-0010-0000-0200-000031000000}" name="Cuota solidaridad T2 trabajador [Z]"/>
    <tableColumn id="50" xr3:uid="{00000000-0010-0000-0200-000032000000}" name="% solidaridad T2 empresa [Z]"/>
    <tableColumn id="51" xr3:uid="{00000000-0010-0000-0200-000033000000}" name="Cuota solidaridad T2 empresa [Z]"/>
    <tableColumn id="52" xr3:uid="{00000000-0010-0000-0200-000034000000}" name="Base solidaridad T3 [Z]"/>
    <tableColumn id="53" xr3:uid="{00000000-0010-0000-0200-000035000000}" name="% solidaridad T3 trabajador [Z]"/>
    <tableColumn id="54" xr3:uid="{00000000-0010-0000-0200-000036000000}" name="Cuota solidaridad T3 trabajador [Z]"/>
    <tableColumn id="55" xr3:uid="{00000000-0010-0000-0200-000037000000}" name="% solidaridad T3 empresa [Z]"/>
    <tableColumn id="56" xr3:uid="{00000000-0010-0000-0200-000038000000}" name="Cuota solidaridad T3 empresa [Z]"/>
    <tableColumn id="57" xr3:uid="{00000000-0010-0000-0200-000039000000}" name="Base solidaridad T1 [AB]"/>
    <tableColumn id="58" xr3:uid="{00000000-0010-0000-0200-00003A000000}" name="% solidaridad T1 trabajador [AB]"/>
    <tableColumn id="59" xr3:uid="{00000000-0010-0000-0200-00003B000000}" name="Cuota solidaridad T1 trabajador [AB]"/>
    <tableColumn id="60" xr3:uid="{00000000-0010-0000-0200-00003C000000}" name="% solidaridad T1 empresa [AB]"/>
    <tableColumn id="61" xr3:uid="{00000000-0010-0000-0200-00003D000000}" name="Cuota solidaridad T1 empresa [AB]"/>
    <tableColumn id="62" xr3:uid="{00000000-0010-0000-0200-00003E000000}" name="Base solidaridad T2 [AB]"/>
    <tableColumn id="63" xr3:uid="{00000000-0010-0000-0200-00003F000000}" name="% solidaridad T2 trabajador [AB]"/>
    <tableColumn id="64" xr3:uid="{00000000-0010-0000-0200-000040000000}" name="Cuota solidaridad T2 trabajador [AB]"/>
    <tableColumn id="65" xr3:uid="{00000000-0010-0000-0200-000041000000}" name="% solidaridad T2 empresa [AB]"/>
    <tableColumn id="66" xr3:uid="{00000000-0010-0000-0200-000042000000}" name="Cuota solidaridad T2 empresa [AB]"/>
    <tableColumn id="67" xr3:uid="{00000000-0010-0000-0200-000043000000}" name="Base solidaridad T3 [AB]"/>
    <tableColumn id="68" xr3:uid="{00000000-0010-0000-0200-000044000000}" name="% solidaridad T3 trabajador [AB]"/>
    <tableColumn id="69" xr3:uid="{00000000-0010-0000-0200-000045000000}" name="Cuota solidaridad T3 trabajador [AB]"/>
    <tableColumn id="70" xr3:uid="{00000000-0010-0000-0200-000046000000}" name="% solidaridad T3 empresa [AB]"/>
    <tableColumn id="71" xr3:uid="{00000000-0010-0000-0200-000047000000}" name="Cuota solidaridad T3 empresa [AB]"/>
    <tableColumn id="72" xr3:uid="{00000000-0010-0000-0200-000048000000}" name="Solidaridad trabajador TOTAL"/>
    <tableColumn id="73" xr3:uid="{00000000-0010-0000-0200-000049000000}" name="Solidaridad empresa TOTAL"/>
    <tableColumn id="74" xr3:uid="{00000000-0010-0000-0200-00004A000000}" name="SS trabajador nómina"/>
    <tableColumn id="75" xr3:uid="{00000000-0010-0000-0200-00004B000000}" name="SS trabajador TOTAL"/>
    <tableColumn id="76" xr3:uid="{00000000-0010-0000-0200-00004C000000}" name="SS trabajador vía INSS"/>
    <tableColumn id="77" xr3:uid="{00000000-0010-0000-0200-00004D000000}" name="SS empresa total"/>
    <tableColumn id="78" xr3:uid="{00000000-0010-0000-0200-00004E000000}" name="IRPF empresa"/>
    <tableColumn id="79" xr3:uid="{00000000-0010-0000-0200-00004F000000}" name="Neto empresa"/>
    <tableColumn id="80" xr3:uid="{00000000-0010-0000-0200-000050000000}" name="Coste empresa"/>
    <tableColumn id="81" xr3:uid="{00000000-0010-0000-0200-000051000000}" name="Prestación INSS bruta"/>
    <tableColumn id="82" xr3:uid="{00000000-0010-0000-0200-000052000000}" name="IRPF INSS"/>
    <tableColumn id="83" xr3:uid="{00000000-0010-0000-0200-000053000000}" name="Neto INSS"/>
    <tableColumn id="84" xr3:uid="{00000000-0010-0000-0200-000054000000}" name="Bruto total empresa + INSS"/>
    <tableColumn id="85" xr3:uid="{00000000-0010-0000-0200-000055000000}" name="Neto total empresa + INSS"/>
    <tableColumn id="86" xr3:uid="{00000000-0010-0000-0200-000056000000}" name="Diferencia teórica vs BR aplicada"/>
    <tableColumn id="87" xr3:uid="{00000000-0010-0000-0200-000057000000}" name="Aviso"/>
    <tableColumn id="88" xr3:uid="{00000000-0010-0000-0200-000058000000}" name="Control general"/>
    <tableColumn id="89" xr3:uid="{00000000-0010-0000-0200-000059000000}" name="Control BR NCM"/>
    <tableColumn id="90" xr3:uid="{00000000-0010-0000-0200-00005A000000}" name="Control 14/1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6"/>
  <sheetViews>
    <sheetView workbookViewId="0">
      <selection sqref="A1:F1"/>
    </sheetView>
  </sheetViews>
  <sheetFormatPr baseColWidth="10" defaultColWidth="9.140625" defaultRowHeight="15" x14ac:dyDescent="0.25"/>
  <cols>
    <col min="1" max="1" width="36" customWidth="1"/>
    <col min="2" max="4" width="18" customWidth="1"/>
    <col min="5" max="5" width="34" customWidth="1"/>
    <col min="6" max="6" width="52" customWidth="1"/>
  </cols>
  <sheetData>
    <row r="1" spans="1:6" ht="26.1" customHeight="1" x14ac:dyDescent="0.25">
      <c r="A1" s="44" t="s">
        <v>0</v>
      </c>
      <c r="B1" s="44"/>
      <c r="C1" s="44"/>
      <c r="D1" s="44"/>
      <c r="E1" s="44"/>
      <c r="F1" s="44"/>
    </row>
    <row r="3" spans="1:6" x14ac:dyDescent="0.25">
      <c r="A3" s="6" t="s">
        <v>1</v>
      </c>
      <c r="B3" s="6" t="s">
        <v>2</v>
      </c>
      <c r="C3" s="6" t="s">
        <v>3</v>
      </c>
      <c r="D3" s="6" t="s">
        <v>4</v>
      </c>
      <c r="E3" s="6" t="s">
        <v>5</v>
      </c>
      <c r="F3" s="6" t="s">
        <v>6</v>
      </c>
    </row>
    <row r="4" spans="1:6" x14ac:dyDescent="0.25">
      <c r="A4" t="s">
        <v>7</v>
      </c>
      <c r="B4" s="7">
        <v>0.23599999999999999</v>
      </c>
      <c r="C4" s="7">
        <v>4.7E-2</v>
      </c>
      <c r="D4" s="4">
        <v>0.28299999999999997</v>
      </c>
      <c r="E4" t="s">
        <v>8</v>
      </c>
      <c r="F4" t="s">
        <v>9</v>
      </c>
    </row>
    <row r="5" spans="1:6" x14ac:dyDescent="0.25">
      <c r="A5" t="s">
        <v>10</v>
      </c>
      <c r="B5" s="7">
        <v>5.5E-2</v>
      </c>
      <c r="C5" s="7">
        <v>1.55E-2</v>
      </c>
      <c r="D5" s="4">
        <v>7.0499999999999993E-2</v>
      </c>
      <c r="E5" t="s">
        <v>11</v>
      </c>
      <c r="F5" t="s">
        <v>12</v>
      </c>
    </row>
    <row r="6" spans="1:6" x14ac:dyDescent="0.25">
      <c r="A6" t="s">
        <v>13</v>
      </c>
      <c r="B6" s="7">
        <v>6.7000000000000004E-2</v>
      </c>
      <c r="C6" s="7">
        <v>1.6E-2</v>
      </c>
      <c r="D6" s="4">
        <v>8.3000000000000004E-2</v>
      </c>
      <c r="E6" t="s">
        <v>14</v>
      </c>
      <c r="F6" t="s">
        <v>12</v>
      </c>
    </row>
    <row r="7" spans="1:6" x14ac:dyDescent="0.25">
      <c r="A7" t="s">
        <v>15</v>
      </c>
      <c r="B7" s="7">
        <v>2E-3</v>
      </c>
      <c r="C7" s="7">
        <v>0</v>
      </c>
      <c r="D7" s="4">
        <v>2E-3</v>
      </c>
      <c r="E7" t="s">
        <v>16</v>
      </c>
      <c r="F7" t="s">
        <v>12</v>
      </c>
    </row>
    <row r="8" spans="1:6" x14ac:dyDescent="0.25">
      <c r="A8" t="s">
        <v>17</v>
      </c>
      <c r="B8" s="7">
        <v>6.0000000000000001E-3</v>
      </c>
      <c r="C8" s="7">
        <v>1E-3</v>
      </c>
      <c r="D8" s="4">
        <v>7.0000000000000001E-3</v>
      </c>
      <c r="E8" t="s">
        <v>18</v>
      </c>
      <c r="F8" t="s">
        <v>9</v>
      </c>
    </row>
    <row r="9" spans="1:6" x14ac:dyDescent="0.25">
      <c r="A9" t="s">
        <v>19</v>
      </c>
      <c r="B9" s="7">
        <v>7.4999999999999997E-3</v>
      </c>
      <c r="C9" s="7">
        <v>1.5E-3</v>
      </c>
      <c r="D9" s="4">
        <v>8.9999999999999993E-3</v>
      </c>
      <c r="E9" t="s">
        <v>20</v>
      </c>
      <c r="F9" t="s">
        <v>12</v>
      </c>
    </row>
    <row r="10" spans="1:6" x14ac:dyDescent="0.25">
      <c r="A10" t="s">
        <v>21</v>
      </c>
      <c r="B10" s="8">
        <v>1.4999999999999999E-2</v>
      </c>
      <c r="C10" s="7">
        <v>0</v>
      </c>
      <c r="D10" s="4">
        <v>0</v>
      </c>
      <c r="E10" t="s">
        <v>22</v>
      </c>
      <c r="F10" t="s">
        <v>9</v>
      </c>
    </row>
    <row r="13" spans="1:6" x14ac:dyDescent="0.25">
      <c r="A13" s="5" t="s">
        <v>23</v>
      </c>
      <c r="B13" s="5" t="s">
        <v>24</v>
      </c>
      <c r="C13" s="5" t="s">
        <v>6</v>
      </c>
    </row>
    <row r="14" spans="1:6" x14ac:dyDescent="0.25">
      <c r="A14" t="s">
        <v>25</v>
      </c>
      <c r="B14" s="10">
        <v>5101.2</v>
      </c>
      <c r="C14" t="s">
        <v>26</v>
      </c>
    </row>
    <row r="15" spans="1:6" x14ac:dyDescent="0.25">
      <c r="A15" t="s">
        <v>27</v>
      </c>
      <c r="B15" s="10">
        <v>5611.32</v>
      </c>
      <c r="C15" t="s">
        <v>12</v>
      </c>
    </row>
    <row r="16" spans="1:6" x14ac:dyDescent="0.25">
      <c r="A16" t="s">
        <v>28</v>
      </c>
      <c r="B16" s="10">
        <v>7651.8</v>
      </c>
      <c r="C16" t="s">
        <v>12</v>
      </c>
    </row>
    <row r="17" spans="1:6" x14ac:dyDescent="0.25">
      <c r="A17" t="s">
        <v>29</v>
      </c>
      <c r="B17" s="7">
        <v>9.5999999999999992E-3</v>
      </c>
      <c r="C17" t="s">
        <v>12</v>
      </c>
    </row>
    <row r="18" spans="1:6" x14ac:dyDescent="0.25">
      <c r="A18" t="s">
        <v>30</v>
      </c>
      <c r="B18" s="7">
        <v>1.9E-3</v>
      </c>
      <c r="C18" t="s">
        <v>12</v>
      </c>
    </row>
    <row r="19" spans="1:6" x14ac:dyDescent="0.25">
      <c r="A19" t="s">
        <v>31</v>
      </c>
      <c r="B19" s="7">
        <v>1.04E-2</v>
      </c>
      <c r="C19" t="s">
        <v>12</v>
      </c>
    </row>
    <row r="20" spans="1:6" x14ac:dyDescent="0.25">
      <c r="A20" t="s">
        <v>32</v>
      </c>
      <c r="B20" s="7">
        <v>2.0999999999999999E-3</v>
      </c>
      <c r="C20" t="s">
        <v>12</v>
      </c>
    </row>
    <row r="21" spans="1:6" x14ac:dyDescent="0.25">
      <c r="A21" t="s">
        <v>33</v>
      </c>
      <c r="B21" s="7">
        <v>1.2200000000000001E-2</v>
      </c>
      <c r="C21" t="s">
        <v>12</v>
      </c>
    </row>
    <row r="22" spans="1:6" x14ac:dyDescent="0.25">
      <c r="A22" t="s">
        <v>34</v>
      </c>
      <c r="B22" s="7">
        <v>2.3999999999999998E-3</v>
      </c>
      <c r="C22" t="s">
        <v>12</v>
      </c>
    </row>
    <row r="25" spans="1:6" x14ac:dyDescent="0.25">
      <c r="A25" s="45" t="s">
        <v>35</v>
      </c>
      <c r="B25" s="45"/>
      <c r="C25" s="45"/>
      <c r="D25" s="45"/>
      <c r="E25" s="45"/>
      <c r="F25" s="45"/>
    </row>
    <row r="26" spans="1:6" x14ac:dyDescent="0.25">
      <c r="A26" s="43" t="s">
        <v>36</v>
      </c>
      <c r="B26" s="43"/>
      <c r="C26" s="43"/>
      <c r="D26" s="43"/>
      <c r="E26" s="43"/>
      <c r="F26" s="43"/>
    </row>
    <row r="27" spans="1:6" x14ac:dyDescent="0.25">
      <c r="A27" s="43" t="s">
        <v>37</v>
      </c>
      <c r="B27" s="43"/>
      <c r="C27" s="43"/>
      <c r="D27" s="43"/>
      <c r="E27" s="43"/>
      <c r="F27" s="43"/>
    </row>
    <row r="28" spans="1:6" x14ac:dyDescent="0.25">
      <c r="A28" s="43" t="s">
        <v>38</v>
      </c>
      <c r="B28" s="43"/>
      <c r="C28" s="43"/>
      <c r="D28" s="43"/>
      <c r="E28" s="43"/>
      <c r="F28" s="43"/>
    </row>
    <row r="30" spans="1:6" x14ac:dyDescent="0.25">
      <c r="A30" s="42" t="s">
        <v>39</v>
      </c>
      <c r="B30" s="42"/>
      <c r="C30" s="42"/>
      <c r="D30" s="42"/>
      <c r="E30" s="42"/>
      <c r="F30" s="42"/>
    </row>
    <row r="31" spans="1:6" x14ac:dyDescent="0.25">
      <c r="A31" s="43" t="s">
        <v>40</v>
      </c>
      <c r="B31" s="43"/>
      <c r="C31" s="43"/>
      <c r="D31" s="43"/>
      <c r="E31" s="43"/>
      <c r="F31" s="15" t="s">
        <v>12</v>
      </c>
    </row>
    <row r="32" spans="1:6" x14ac:dyDescent="0.25">
      <c r="A32" s="43" t="s">
        <v>41</v>
      </c>
      <c r="B32" s="43"/>
      <c r="C32" s="43"/>
      <c r="D32" s="43"/>
      <c r="E32" s="43"/>
      <c r="F32" s="15" t="s">
        <v>12</v>
      </c>
    </row>
    <row r="33" spans="1:6" x14ac:dyDescent="0.25">
      <c r="A33" s="43" t="s">
        <v>42</v>
      </c>
      <c r="B33" s="43"/>
      <c r="C33" s="43"/>
      <c r="D33" s="43"/>
      <c r="E33" s="43"/>
      <c r="F33" s="15" t="s">
        <v>9</v>
      </c>
    </row>
    <row r="34" spans="1:6" ht="30" x14ac:dyDescent="0.25">
      <c r="A34" s="43" t="s">
        <v>43</v>
      </c>
      <c r="B34" s="43"/>
      <c r="C34" s="43"/>
      <c r="D34" s="43"/>
      <c r="E34" s="43"/>
      <c r="F34" s="15" t="s">
        <v>44</v>
      </c>
    </row>
    <row r="36" spans="1:6" x14ac:dyDescent="0.25">
      <c r="A36" s="20" t="s">
        <v>45</v>
      </c>
      <c r="B36" s="20"/>
      <c r="C36" s="20"/>
      <c r="D36" s="20"/>
      <c r="E36" s="20"/>
      <c r="F36" s="20"/>
    </row>
    <row r="37" spans="1:6" x14ac:dyDescent="0.25">
      <c r="A37" s="3" t="s">
        <v>46</v>
      </c>
      <c r="B37" s="12">
        <v>14</v>
      </c>
      <c r="E37" s="15" t="s">
        <v>47</v>
      </c>
      <c r="F37" s="15"/>
    </row>
    <row r="38" spans="1:6" ht="30" x14ac:dyDescent="0.25">
      <c r="A38" s="3" t="s">
        <v>48</v>
      </c>
      <c r="B38" s="12">
        <v>2</v>
      </c>
      <c r="E38" s="15" t="s">
        <v>49</v>
      </c>
      <c r="F38" s="15"/>
    </row>
    <row r="39" spans="1:6" ht="45" x14ac:dyDescent="0.25">
      <c r="A39" s="3" t="s">
        <v>50</v>
      </c>
      <c r="B39" s="12">
        <v>12</v>
      </c>
      <c r="E39" s="15" t="s">
        <v>51</v>
      </c>
      <c r="F39" s="15" t="s">
        <v>52</v>
      </c>
    </row>
    <row r="40" spans="1:6" x14ac:dyDescent="0.25">
      <c r="A40" s="3" t="s">
        <v>53</v>
      </c>
      <c r="B40" s="4">
        <f>B38/B39</f>
        <v>0.16666666666666666</v>
      </c>
      <c r="E40" s="15" t="s">
        <v>54</v>
      </c>
      <c r="F40" s="15"/>
    </row>
    <row r="41" spans="1:6" ht="60" x14ac:dyDescent="0.25">
      <c r="A41" s="3" t="s">
        <v>55</v>
      </c>
      <c r="B41" s="4">
        <v>1</v>
      </c>
      <c r="E41" s="15" t="s">
        <v>56</v>
      </c>
      <c r="F41" s="15" t="s">
        <v>57</v>
      </c>
    </row>
    <row r="42" spans="1:6" ht="30" x14ac:dyDescent="0.25">
      <c r="A42" s="3" t="s">
        <v>58</v>
      </c>
      <c r="B42" s="4">
        <v>0</v>
      </c>
      <c r="E42" s="15" t="s">
        <v>59</v>
      </c>
      <c r="F42" s="15" t="s">
        <v>60</v>
      </c>
    </row>
    <row r="43" spans="1:6" ht="30" x14ac:dyDescent="0.25">
      <c r="A43" s="3" t="s">
        <v>61</v>
      </c>
      <c r="B43" s="12">
        <v>0</v>
      </c>
      <c r="E43" s="15" t="s">
        <v>62</v>
      </c>
      <c r="F43" s="15"/>
    </row>
    <row r="44" spans="1:6" x14ac:dyDescent="0.25">
      <c r="A44" s="3" t="s">
        <v>63</v>
      </c>
      <c r="B44" s="21">
        <f>B14</f>
        <v>5101.2</v>
      </c>
      <c r="E44" s="15" t="s">
        <v>64</v>
      </c>
      <c r="F44" s="15" t="s">
        <v>12</v>
      </c>
    </row>
    <row r="45" spans="1:6" ht="255" x14ac:dyDescent="0.25">
      <c r="A45" s="3" t="s">
        <v>65</v>
      </c>
      <c r="B45" s="15" t="s">
        <v>66</v>
      </c>
      <c r="C45" s="15" t="s">
        <v>12</v>
      </c>
      <c r="E45" s="15" t="s">
        <v>67</v>
      </c>
      <c r="F45" s="15" t="s">
        <v>12</v>
      </c>
    </row>
    <row r="46" spans="1:6" ht="180" x14ac:dyDescent="0.25">
      <c r="A46" t="s">
        <v>68</v>
      </c>
      <c r="B46" s="15" t="s">
        <v>69</v>
      </c>
      <c r="C46" s="15" t="s">
        <v>70</v>
      </c>
    </row>
  </sheetData>
  <mergeCells count="10">
    <mergeCell ref="A1:F1"/>
    <mergeCell ref="A25:F25"/>
    <mergeCell ref="A26:F26"/>
    <mergeCell ref="A27:F27"/>
    <mergeCell ref="A28:F28"/>
    <mergeCell ref="A30:F30"/>
    <mergeCell ref="A31:E31"/>
    <mergeCell ref="A32:E32"/>
    <mergeCell ref="A33:E33"/>
    <mergeCell ref="A34:E3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27"/>
  <sheetViews>
    <sheetView tabSelected="1" topLeftCell="L1" workbookViewId="0">
      <selection activeCell="F8" sqref="F8"/>
    </sheetView>
  </sheetViews>
  <sheetFormatPr baseColWidth="10" defaultColWidth="9.140625" defaultRowHeight="15" x14ac:dyDescent="0.25"/>
  <cols>
    <col min="1" max="1" width="14" customWidth="1"/>
    <col min="2" max="2" width="21" customWidth="1"/>
    <col min="3" max="4" width="14" customWidth="1"/>
    <col min="5" max="5" width="15" customWidth="1"/>
    <col min="6" max="10" width="14" customWidth="1"/>
    <col min="11" max="16" width="18" customWidth="1"/>
    <col min="17" max="17" width="14" customWidth="1"/>
    <col min="19" max="19" width="22" customWidth="1"/>
  </cols>
  <sheetData>
    <row r="1" spans="1:19" ht="26.1" customHeight="1" x14ac:dyDescent="0.3">
      <c r="A1" s="46" t="s">
        <v>71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</row>
    <row r="3" spans="1:19" ht="90" x14ac:dyDescent="0.25">
      <c r="A3" s="11" t="s">
        <v>72</v>
      </c>
      <c r="B3" s="11" t="s">
        <v>73</v>
      </c>
      <c r="C3" s="11" t="s">
        <v>74</v>
      </c>
      <c r="D3" s="11" t="s">
        <v>75</v>
      </c>
      <c r="E3" s="11" t="s">
        <v>76</v>
      </c>
      <c r="F3" s="11" t="s">
        <v>77</v>
      </c>
      <c r="G3" s="11" t="s">
        <v>78</v>
      </c>
      <c r="H3" s="11" t="s">
        <v>79</v>
      </c>
      <c r="I3" s="11" t="s">
        <v>80</v>
      </c>
      <c r="J3" s="11" t="s">
        <v>81</v>
      </c>
      <c r="K3" s="11" t="s">
        <v>82</v>
      </c>
      <c r="L3" s="11" t="s">
        <v>83</v>
      </c>
      <c r="M3" s="11" t="s">
        <v>84</v>
      </c>
      <c r="N3" s="11" t="s">
        <v>85</v>
      </c>
      <c r="O3" s="11" t="s">
        <v>86</v>
      </c>
      <c r="P3" s="11" t="s">
        <v>87</v>
      </c>
      <c r="Q3" s="11" t="s">
        <v>88</v>
      </c>
      <c r="R3" s="11" t="s">
        <v>89</v>
      </c>
      <c r="S3" s="31" t="s">
        <v>90</v>
      </c>
    </row>
    <row r="4" spans="1:19" x14ac:dyDescent="0.25">
      <c r="A4">
        <v>1</v>
      </c>
      <c r="B4" t="s">
        <v>91</v>
      </c>
      <c r="C4" t="s">
        <v>92</v>
      </c>
      <c r="D4">
        <v>1975</v>
      </c>
      <c r="E4" s="1">
        <v>35928</v>
      </c>
      <c r="F4" s="7">
        <v>0.3599</v>
      </c>
      <c r="G4" s="7">
        <v>1</v>
      </c>
      <c r="H4" s="12" t="s">
        <v>141</v>
      </c>
      <c r="I4" s="12"/>
      <c r="J4" s="7">
        <v>1.4999999999999999E-2</v>
      </c>
      <c r="K4" s="10">
        <v>5917.01</v>
      </c>
      <c r="L4" s="10">
        <v>42.19</v>
      </c>
      <c r="M4" s="10">
        <v>55.01</v>
      </c>
      <c r="N4" s="10">
        <v>126.56</v>
      </c>
      <c r="O4" s="10">
        <v>165.03</v>
      </c>
      <c r="P4" s="10">
        <v>0</v>
      </c>
      <c r="Q4" s="12" t="s">
        <v>142</v>
      </c>
      <c r="S4" s="32">
        <v>58200</v>
      </c>
    </row>
    <row r="5" spans="1:19" x14ac:dyDescent="0.25">
      <c r="A5">
        <v>2</v>
      </c>
      <c r="B5" t="s">
        <v>96</v>
      </c>
      <c r="C5" t="s">
        <v>97</v>
      </c>
      <c r="D5">
        <v>1951</v>
      </c>
      <c r="E5" s="1">
        <v>36550</v>
      </c>
      <c r="F5" s="7">
        <v>0.37969999999999998</v>
      </c>
      <c r="G5" s="7">
        <v>1</v>
      </c>
      <c r="H5" s="12" t="s">
        <v>141</v>
      </c>
      <c r="I5" s="12"/>
      <c r="J5" s="7">
        <v>1.4999999999999999E-2</v>
      </c>
      <c r="K5" s="10">
        <v>7399.5</v>
      </c>
      <c r="L5" s="10">
        <v>41.27</v>
      </c>
      <c r="M5" s="10">
        <v>110.84</v>
      </c>
      <c r="N5" s="10">
        <v>82.54</v>
      </c>
      <c r="O5" s="10">
        <v>164.66</v>
      </c>
      <c r="P5" s="10">
        <v>0</v>
      </c>
      <c r="Q5" s="12" t="s">
        <v>142</v>
      </c>
      <c r="S5" s="32">
        <v>0</v>
      </c>
    </row>
    <row r="6" spans="1:19" x14ac:dyDescent="0.25">
      <c r="A6">
        <v>3</v>
      </c>
      <c r="B6" t="s">
        <v>98</v>
      </c>
      <c r="C6" t="s">
        <v>99</v>
      </c>
      <c r="D6">
        <v>1973</v>
      </c>
      <c r="E6" s="1">
        <v>37867</v>
      </c>
      <c r="F6" s="7">
        <v>6.9699999999999998E-2</v>
      </c>
      <c r="G6" s="7">
        <v>1</v>
      </c>
      <c r="H6" s="12" t="s">
        <v>141</v>
      </c>
      <c r="I6" s="12"/>
      <c r="J6" s="7">
        <v>1.4999999999999999E-2</v>
      </c>
      <c r="K6" s="10">
        <v>894.02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2" t="s">
        <v>142</v>
      </c>
      <c r="S6" s="32">
        <v>5300</v>
      </c>
    </row>
    <row r="7" spans="1:19" x14ac:dyDescent="0.25">
      <c r="A7">
        <v>4</v>
      </c>
      <c r="B7" t="s">
        <v>100</v>
      </c>
      <c r="C7" t="s">
        <v>101</v>
      </c>
      <c r="D7">
        <v>1966</v>
      </c>
      <c r="E7" s="1">
        <v>34275</v>
      </c>
      <c r="F7" s="7">
        <v>0.23169999999999999</v>
      </c>
      <c r="G7" s="7">
        <v>1</v>
      </c>
      <c r="H7" s="12" t="s">
        <v>141</v>
      </c>
      <c r="I7" s="12"/>
      <c r="J7" s="7">
        <v>1.4999999999999999E-2</v>
      </c>
      <c r="K7" s="10">
        <v>2408.2199999999998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2" t="s">
        <v>142</v>
      </c>
      <c r="S7" s="32">
        <v>20978</v>
      </c>
    </row>
    <row r="8" spans="1:19" x14ac:dyDescent="0.25">
      <c r="A8">
        <v>5</v>
      </c>
      <c r="B8" t="s">
        <v>102</v>
      </c>
      <c r="C8" t="s">
        <v>103</v>
      </c>
      <c r="D8">
        <v>1985</v>
      </c>
      <c r="E8" s="1">
        <v>43063</v>
      </c>
      <c r="F8" s="7">
        <v>9.8000000000000004E-2</v>
      </c>
      <c r="G8" s="7">
        <v>1</v>
      </c>
      <c r="H8" s="12" t="s">
        <v>141</v>
      </c>
      <c r="I8" s="12"/>
      <c r="J8" s="7">
        <v>1.4999999999999999E-2</v>
      </c>
      <c r="K8" s="10">
        <v>1246.1199999999999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2" t="s">
        <v>142</v>
      </c>
      <c r="S8" s="32">
        <v>0</v>
      </c>
    </row>
    <row r="9" spans="1:19" x14ac:dyDescent="0.25">
      <c r="A9">
        <v>6</v>
      </c>
      <c r="B9" t="s">
        <v>104</v>
      </c>
      <c r="C9" t="s">
        <v>105</v>
      </c>
      <c r="D9">
        <v>1995</v>
      </c>
      <c r="E9" s="1">
        <v>43303</v>
      </c>
      <c r="F9" s="7">
        <v>7.5399999999999995E-2</v>
      </c>
      <c r="G9" s="7">
        <v>1</v>
      </c>
      <c r="H9" s="12" t="s">
        <v>141</v>
      </c>
      <c r="I9" s="12"/>
      <c r="J9" s="7">
        <v>1.4999999999999999E-2</v>
      </c>
      <c r="K9" s="10">
        <v>1347.17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2" t="s">
        <v>142</v>
      </c>
      <c r="S9" s="32">
        <v>2673</v>
      </c>
    </row>
    <row r="10" spans="1:19" x14ac:dyDescent="0.25">
      <c r="A10">
        <v>7</v>
      </c>
      <c r="B10" t="s">
        <v>106</v>
      </c>
      <c r="C10" t="s">
        <v>107</v>
      </c>
      <c r="D10">
        <v>1985</v>
      </c>
      <c r="E10" s="1">
        <v>44018</v>
      </c>
      <c r="F10" s="7">
        <v>0.26069999999999999</v>
      </c>
      <c r="G10" s="7">
        <v>1</v>
      </c>
      <c r="H10" s="12" t="s">
        <v>141</v>
      </c>
      <c r="I10" s="12"/>
      <c r="J10" s="7">
        <v>1.4999999999999999E-2</v>
      </c>
      <c r="K10" s="10">
        <v>3559.84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2" t="s">
        <v>142</v>
      </c>
      <c r="S10" s="32">
        <v>11875</v>
      </c>
    </row>
    <row r="11" spans="1:19" x14ac:dyDescent="0.25">
      <c r="A11">
        <v>8</v>
      </c>
      <c r="B11" t="s">
        <v>108</v>
      </c>
      <c r="C11" t="s">
        <v>109</v>
      </c>
      <c r="D11">
        <v>1985</v>
      </c>
      <c r="E11" s="1">
        <v>44573</v>
      </c>
      <c r="F11" s="7">
        <v>0.1522</v>
      </c>
      <c r="G11" s="7">
        <v>1</v>
      </c>
      <c r="H11" s="12" t="s">
        <v>141</v>
      </c>
      <c r="I11" s="12"/>
      <c r="J11" s="7">
        <v>1.4999999999999999E-2</v>
      </c>
      <c r="K11" s="10">
        <v>2171.13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2" t="s">
        <v>142</v>
      </c>
      <c r="S11" s="32">
        <v>2388</v>
      </c>
    </row>
    <row r="12" spans="1:19" x14ac:dyDescent="0.25">
      <c r="A12">
        <v>9</v>
      </c>
      <c r="B12" t="s">
        <v>110</v>
      </c>
      <c r="C12" t="s">
        <v>111</v>
      </c>
      <c r="D12">
        <v>1955</v>
      </c>
      <c r="E12" s="1">
        <v>41455</v>
      </c>
      <c r="F12" s="7">
        <v>0.38200000000000001</v>
      </c>
      <c r="G12" s="7">
        <v>1</v>
      </c>
      <c r="H12" s="12" t="s">
        <v>141</v>
      </c>
      <c r="I12" s="12"/>
      <c r="J12" s="7">
        <v>1.4999999999999999E-2</v>
      </c>
      <c r="K12" s="10">
        <v>10289.43</v>
      </c>
      <c r="L12" s="10">
        <v>42.07</v>
      </c>
      <c r="M12" s="10">
        <v>113</v>
      </c>
      <c r="N12" s="10">
        <v>126.22</v>
      </c>
      <c r="O12" s="10">
        <v>222.72</v>
      </c>
      <c r="P12" s="10">
        <v>0</v>
      </c>
      <c r="Q12" s="12" t="s">
        <v>142</v>
      </c>
      <c r="S12" s="32">
        <v>0</v>
      </c>
    </row>
    <row r="13" spans="1:19" x14ac:dyDescent="0.25">
      <c r="A13">
        <v>10</v>
      </c>
      <c r="B13" t="s">
        <v>112</v>
      </c>
      <c r="C13" t="s">
        <v>113</v>
      </c>
      <c r="D13">
        <v>1987</v>
      </c>
      <c r="E13" s="1">
        <v>44760</v>
      </c>
      <c r="F13" s="7">
        <v>0.14779999999999999</v>
      </c>
      <c r="G13" s="7">
        <v>1</v>
      </c>
      <c r="H13" s="12" t="s">
        <v>141</v>
      </c>
      <c r="I13" s="12"/>
      <c r="J13" s="7">
        <v>1.4999999999999999E-2</v>
      </c>
      <c r="K13" s="10">
        <v>1701.56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2" t="s">
        <v>142</v>
      </c>
      <c r="S13" s="32">
        <v>3158</v>
      </c>
    </row>
    <row r="14" spans="1:19" x14ac:dyDescent="0.25">
      <c r="A14">
        <v>11</v>
      </c>
      <c r="B14" t="s">
        <v>114</v>
      </c>
      <c r="C14" t="s">
        <v>115</v>
      </c>
      <c r="D14">
        <v>1987</v>
      </c>
      <c r="E14" s="1">
        <v>42046</v>
      </c>
      <c r="F14" s="7">
        <v>0.3306</v>
      </c>
      <c r="G14" s="7">
        <v>1</v>
      </c>
      <c r="H14" s="12" t="s">
        <v>141</v>
      </c>
      <c r="I14" s="12"/>
      <c r="J14" s="7">
        <v>1.4999999999999999E-2</v>
      </c>
      <c r="K14" s="10">
        <v>6129.93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2" t="s">
        <v>142</v>
      </c>
      <c r="S14" s="32">
        <v>82400</v>
      </c>
    </row>
    <row r="15" spans="1:19" x14ac:dyDescent="0.25">
      <c r="A15">
        <v>12</v>
      </c>
      <c r="B15" t="s">
        <v>116</v>
      </c>
      <c r="C15" t="s">
        <v>117</v>
      </c>
      <c r="D15">
        <v>1989</v>
      </c>
      <c r="E15" s="1">
        <v>42296</v>
      </c>
      <c r="F15" s="7">
        <v>0.29399999999999998</v>
      </c>
      <c r="G15" s="7">
        <v>1</v>
      </c>
      <c r="H15" s="12" t="s">
        <v>141</v>
      </c>
      <c r="I15" s="12"/>
      <c r="J15" s="7">
        <v>1.4999999999999999E-2</v>
      </c>
      <c r="K15" s="10">
        <v>4646.1499999999996</v>
      </c>
      <c r="L15" s="10">
        <v>41.29</v>
      </c>
      <c r="M15" s="10">
        <v>31.38</v>
      </c>
      <c r="N15" s="10">
        <v>0</v>
      </c>
      <c r="O15" s="10">
        <v>0</v>
      </c>
      <c r="P15" s="10">
        <v>0</v>
      </c>
      <c r="Q15" s="12" t="s">
        <v>142</v>
      </c>
      <c r="R15" s="10">
        <v>4701.0600000000004</v>
      </c>
      <c r="S15" s="32">
        <v>28800</v>
      </c>
    </row>
    <row r="16" spans="1:19" x14ac:dyDescent="0.25">
      <c r="A16">
        <v>13</v>
      </c>
      <c r="B16" t="s">
        <v>118</v>
      </c>
      <c r="C16" t="s">
        <v>119</v>
      </c>
      <c r="D16">
        <v>1964</v>
      </c>
      <c r="E16" s="1">
        <v>42020</v>
      </c>
      <c r="F16" s="7">
        <v>0.33389999999999997</v>
      </c>
      <c r="G16" s="7">
        <v>1</v>
      </c>
      <c r="H16" s="12" t="s">
        <v>141</v>
      </c>
      <c r="I16" s="12"/>
      <c r="J16" s="7">
        <v>1.4999999999999999E-2</v>
      </c>
      <c r="K16" s="10">
        <v>6290.79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2" t="s">
        <v>142</v>
      </c>
      <c r="S16" s="32">
        <v>91980</v>
      </c>
    </row>
    <row r="17" spans="1:19" x14ac:dyDescent="0.25">
      <c r="A17">
        <v>14</v>
      </c>
      <c r="B17" t="s">
        <v>120</v>
      </c>
      <c r="C17" t="s">
        <v>121</v>
      </c>
      <c r="D17">
        <v>1965</v>
      </c>
      <c r="E17" s="1">
        <v>35154</v>
      </c>
      <c r="F17" s="7">
        <v>0.29699999999999999</v>
      </c>
      <c r="G17" s="7">
        <v>1</v>
      </c>
      <c r="H17" s="12" t="s">
        <v>141</v>
      </c>
      <c r="I17" s="12"/>
      <c r="J17" s="7">
        <v>1.4999999999999999E-2</v>
      </c>
      <c r="K17" s="10">
        <v>3755.06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2" t="s">
        <v>142</v>
      </c>
      <c r="S17" s="32">
        <v>16740</v>
      </c>
    </row>
    <row r="18" spans="1:19" x14ac:dyDescent="0.25">
      <c r="A18">
        <v>15</v>
      </c>
      <c r="B18" t="s">
        <v>122</v>
      </c>
      <c r="C18" t="s">
        <v>123</v>
      </c>
      <c r="D18">
        <v>1978</v>
      </c>
      <c r="E18" s="1">
        <v>38645</v>
      </c>
      <c r="F18" s="7">
        <v>0.29070000000000001</v>
      </c>
      <c r="G18" s="7">
        <v>1</v>
      </c>
      <c r="H18" s="12" t="s">
        <v>141</v>
      </c>
      <c r="I18" s="12"/>
      <c r="J18" s="7">
        <v>1.4999999999999999E-2</v>
      </c>
      <c r="K18" s="10">
        <v>3977.88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2" t="s">
        <v>142</v>
      </c>
      <c r="S18" s="32">
        <v>21629</v>
      </c>
    </row>
    <row r="19" spans="1:19" x14ac:dyDescent="0.25">
      <c r="A19">
        <v>16</v>
      </c>
      <c r="B19" t="s">
        <v>124</v>
      </c>
      <c r="C19" t="s">
        <v>125</v>
      </c>
      <c r="D19">
        <v>1980</v>
      </c>
      <c r="E19" s="1">
        <v>40098</v>
      </c>
      <c r="F19" s="7">
        <v>0.16750000000000001</v>
      </c>
      <c r="G19" s="7">
        <v>1</v>
      </c>
      <c r="H19" s="12" t="s">
        <v>141</v>
      </c>
      <c r="I19" s="12"/>
      <c r="J19" s="7">
        <v>1.4999999999999999E-2</v>
      </c>
      <c r="K19" s="10">
        <v>1574.13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2" t="s">
        <v>142</v>
      </c>
      <c r="S19" s="32">
        <v>8094</v>
      </c>
    </row>
    <row r="20" spans="1:19" x14ac:dyDescent="0.25">
      <c r="A20">
        <v>17</v>
      </c>
      <c r="B20" t="s">
        <v>126</v>
      </c>
      <c r="C20" t="s">
        <v>127</v>
      </c>
      <c r="D20">
        <v>1977</v>
      </c>
      <c r="E20" s="1">
        <v>43120</v>
      </c>
      <c r="F20" s="7">
        <v>0.23910000000000001</v>
      </c>
      <c r="G20" s="7">
        <v>1</v>
      </c>
      <c r="H20" s="12" t="s">
        <v>141</v>
      </c>
      <c r="I20" s="12"/>
      <c r="J20" s="7">
        <v>1.4999999999999999E-2</v>
      </c>
      <c r="K20" s="10">
        <v>3390.24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2" t="s">
        <v>142</v>
      </c>
      <c r="S20" s="32">
        <v>0</v>
      </c>
    </row>
    <row r="21" spans="1:19" x14ac:dyDescent="0.25">
      <c r="A21">
        <v>18</v>
      </c>
      <c r="B21" t="s">
        <v>128</v>
      </c>
      <c r="C21" t="s">
        <v>129</v>
      </c>
      <c r="D21">
        <v>1995</v>
      </c>
      <c r="E21" s="1">
        <v>45495</v>
      </c>
      <c r="F21" s="7">
        <v>0.16739999999999999</v>
      </c>
      <c r="G21" s="7">
        <v>1</v>
      </c>
      <c r="H21" s="12" t="s">
        <v>141</v>
      </c>
      <c r="I21" s="12"/>
      <c r="J21" s="7">
        <v>1.4999999999999999E-2</v>
      </c>
      <c r="K21" s="10">
        <v>2176.38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2" t="s">
        <v>142</v>
      </c>
      <c r="S21" s="32">
        <v>3053</v>
      </c>
    </row>
    <row r="22" spans="1:19" x14ac:dyDescent="0.25">
      <c r="A22">
        <v>19</v>
      </c>
      <c r="B22" t="s">
        <v>130</v>
      </c>
      <c r="C22" t="s">
        <v>131</v>
      </c>
      <c r="D22">
        <v>1996</v>
      </c>
      <c r="E22" s="1">
        <v>45953</v>
      </c>
      <c r="F22" s="7">
        <v>0.16350000000000001</v>
      </c>
      <c r="G22" s="7">
        <v>1</v>
      </c>
      <c r="H22" s="12" t="s">
        <v>141</v>
      </c>
      <c r="I22" s="12"/>
      <c r="J22" s="7">
        <v>1.4999999999999999E-2</v>
      </c>
      <c r="K22" s="10">
        <v>2119.85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2" t="s">
        <v>142</v>
      </c>
      <c r="S22" s="32">
        <v>690</v>
      </c>
    </row>
    <row r="23" spans="1:19" x14ac:dyDescent="0.25">
      <c r="A23">
        <v>20</v>
      </c>
      <c r="B23" t="s">
        <v>132</v>
      </c>
      <c r="C23" t="s">
        <v>133</v>
      </c>
      <c r="D23">
        <v>1988</v>
      </c>
      <c r="E23" s="1">
        <v>45860</v>
      </c>
      <c r="F23" s="7">
        <v>0.1434</v>
      </c>
      <c r="G23" s="7">
        <v>1</v>
      </c>
      <c r="H23" s="12" t="s">
        <v>141</v>
      </c>
      <c r="I23" s="12"/>
      <c r="J23" s="7">
        <v>1.4999999999999999E-2</v>
      </c>
      <c r="K23" s="10">
        <v>1816.28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2" t="s">
        <v>142</v>
      </c>
      <c r="S23" s="32">
        <v>0</v>
      </c>
    </row>
    <row r="24" spans="1:19" x14ac:dyDescent="0.25">
      <c r="A24">
        <v>21</v>
      </c>
      <c r="B24" t="s">
        <v>134</v>
      </c>
      <c r="C24" t="s">
        <v>135</v>
      </c>
      <c r="D24">
        <v>1947</v>
      </c>
      <c r="E24" s="1">
        <v>34406</v>
      </c>
      <c r="F24" s="7">
        <v>0.30330000000000001</v>
      </c>
      <c r="G24" s="7">
        <v>1</v>
      </c>
      <c r="H24" s="12" t="s">
        <v>141</v>
      </c>
      <c r="I24" s="12"/>
      <c r="J24" s="7">
        <v>1.4999999999999999E-2</v>
      </c>
      <c r="K24" s="10">
        <v>4541.41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2" t="s">
        <v>142</v>
      </c>
      <c r="S24" s="32">
        <v>0</v>
      </c>
    </row>
    <row r="25" spans="1:19" x14ac:dyDescent="0.25">
      <c r="A25">
        <v>22</v>
      </c>
      <c r="B25" t="s">
        <v>136</v>
      </c>
      <c r="C25" t="s">
        <v>137</v>
      </c>
      <c r="D25">
        <v>1985</v>
      </c>
      <c r="E25" s="1">
        <v>45359</v>
      </c>
      <c r="F25" s="7">
        <v>0.1043</v>
      </c>
      <c r="G25" s="7">
        <v>1</v>
      </c>
      <c r="H25" s="12" t="s">
        <v>141</v>
      </c>
      <c r="I25" s="12"/>
      <c r="J25" s="7">
        <v>1.4999999999999999E-2</v>
      </c>
      <c r="K25" s="10">
        <v>1394.66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2" t="s">
        <v>142</v>
      </c>
      <c r="S25" s="32">
        <v>0</v>
      </c>
    </row>
    <row r="26" spans="1:19" x14ac:dyDescent="0.25">
      <c r="A26">
        <v>23</v>
      </c>
      <c r="B26" t="s">
        <v>138</v>
      </c>
      <c r="C26" t="s">
        <v>139</v>
      </c>
      <c r="D26">
        <v>1986</v>
      </c>
      <c r="E26" s="1">
        <v>41087</v>
      </c>
      <c r="F26" s="7">
        <v>0.18479999999999999</v>
      </c>
      <c r="G26" s="7">
        <v>1</v>
      </c>
      <c r="H26" s="12" t="s">
        <v>141</v>
      </c>
      <c r="I26" s="12"/>
      <c r="J26" s="7">
        <v>1.4999999999999999E-2</v>
      </c>
      <c r="K26" s="10">
        <v>2063.33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2" t="s">
        <v>142</v>
      </c>
      <c r="S26" s="32">
        <v>9506</v>
      </c>
    </row>
    <row r="27" spans="1:19" x14ac:dyDescent="0.25">
      <c r="A27">
        <v>24</v>
      </c>
      <c r="B27" t="s">
        <v>140</v>
      </c>
      <c r="C27" t="s">
        <v>143</v>
      </c>
      <c r="D27">
        <v>1995</v>
      </c>
      <c r="E27" s="1">
        <v>43342</v>
      </c>
      <c r="F27" s="7">
        <v>4.6800000000000001E-2</v>
      </c>
      <c r="G27" s="7">
        <v>0.5</v>
      </c>
      <c r="H27" s="12" t="s">
        <v>141</v>
      </c>
      <c r="I27" s="12"/>
      <c r="J27" s="7">
        <v>1.4999999999999999E-2</v>
      </c>
      <c r="K27" s="10">
        <v>1344.86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2" t="s">
        <v>142</v>
      </c>
      <c r="S27" s="32">
        <v>0</v>
      </c>
    </row>
  </sheetData>
  <mergeCells count="1">
    <mergeCell ref="A1:Q1"/>
  </mergeCells>
  <dataValidations count="2">
    <dataValidation type="list" sqref="H4:H27" xr:uid="{00000000-0002-0000-0300-000000000000}">
      <formula1>"Indefinido,Temporal"</formula1>
    </dataValidation>
    <dataValidation type="list" sqref="Q4:Q27" xr:uid="{00000000-0002-0000-0300-000001000000}">
      <formula1>"Sí,No"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339"/>
  <sheetViews>
    <sheetView workbookViewId="0"/>
  </sheetViews>
  <sheetFormatPr baseColWidth="10" defaultColWidth="9.140625" defaultRowHeight="15" x14ac:dyDescent="0.25"/>
  <cols>
    <col min="1" max="1" width="20" customWidth="1"/>
    <col min="2" max="3" width="12" customWidth="1"/>
    <col min="4" max="4" width="13" customWidth="1"/>
    <col min="5" max="5" width="13.28515625" customWidth="1"/>
    <col min="6" max="6" width="16.42578125" customWidth="1"/>
    <col min="7" max="7" width="11.5703125" customWidth="1"/>
    <col min="8" max="8" width="16.28515625" customWidth="1"/>
    <col min="9" max="9" width="11.42578125" customWidth="1"/>
    <col min="10" max="10" width="17.42578125" customWidth="1"/>
    <col min="11" max="11" width="11.28515625" customWidth="1"/>
    <col min="12" max="12" width="14.140625" customWidth="1"/>
    <col min="13" max="13" width="10" customWidth="1"/>
    <col min="14" max="14" width="15" customWidth="1"/>
    <col min="15" max="15" width="18" customWidth="1"/>
    <col min="16" max="16" width="16" customWidth="1"/>
    <col min="17" max="17" width="24" customWidth="1"/>
    <col min="18" max="18" width="16" customWidth="1"/>
    <col min="19" max="19" width="15" customWidth="1"/>
    <col min="20" max="20" width="16" customWidth="1"/>
    <col min="21" max="21" width="17" customWidth="1"/>
    <col min="22" max="22" width="32" customWidth="1"/>
    <col min="24" max="24" width="23" customWidth="1"/>
  </cols>
  <sheetData>
    <row r="1" spans="1:24" ht="26.1" customHeight="1" x14ac:dyDescent="0.3">
      <c r="A1" s="48" t="s">
        <v>144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9"/>
      <c r="X1" s="49"/>
    </row>
    <row r="2" spans="1:24" x14ac:dyDescent="0.25">
      <c r="A2" s="47" t="s">
        <v>145</v>
      </c>
      <c r="B2" s="47"/>
      <c r="C2" s="47"/>
      <c r="D2" s="47"/>
      <c r="E2" s="47" t="s">
        <v>146</v>
      </c>
      <c r="F2" s="47"/>
      <c r="G2" s="47"/>
      <c r="H2" s="47"/>
      <c r="I2" s="47"/>
      <c r="J2" s="47"/>
      <c r="K2" s="47"/>
      <c r="L2" s="47"/>
      <c r="M2" s="47" t="s">
        <v>147</v>
      </c>
      <c r="N2" s="47"/>
      <c r="O2" s="47"/>
      <c r="P2" s="47"/>
      <c r="Q2" s="47" t="s">
        <v>148</v>
      </c>
      <c r="R2" s="47"/>
      <c r="S2" s="47"/>
      <c r="T2" s="47"/>
      <c r="U2" s="47"/>
      <c r="V2" s="47"/>
      <c r="W2" s="49"/>
      <c r="X2" s="49"/>
    </row>
    <row r="3" spans="1:24" ht="45" x14ac:dyDescent="0.25">
      <c r="A3" s="16" t="s">
        <v>149</v>
      </c>
      <c r="B3" s="16" t="s">
        <v>150</v>
      </c>
      <c r="C3" s="16" t="s">
        <v>151</v>
      </c>
      <c r="D3" s="16" t="s">
        <v>152</v>
      </c>
      <c r="E3" s="16" t="s">
        <v>153</v>
      </c>
      <c r="F3" s="16" t="s">
        <v>154</v>
      </c>
      <c r="G3" s="16" t="s">
        <v>155</v>
      </c>
      <c r="H3" s="16" t="s">
        <v>156</v>
      </c>
      <c r="I3" s="16" t="s">
        <v>157</v>
      </c>
      <c r="J3" s="16" t="s">
        <v>158</v>
      </c>
      <c r="K3" s="16" t="s">
        <v>159</v>
      </c>
      <c r="L3" s="16" t="s">
        <v>160</v>
      </c>
      <c r="M3" s="16" t="s">
        <v>161</v>
      </c>
      <c r="N3" s="16" t="s">
        <v>162</v>
      </c>
      <c r="O3" s="16" t="s">
        <v>163</v>
      </c>
      <c r="P3" s="16" t="s">
        <v>164</v>
      </c>
      <c r="Q3" s="16" t="s">
        <v>165</v>
      </c>
      <c r="R3" s="16" t="s">
        <v>166</v>
      </c>
      <c r="S3" s="16" t="s">
        <v>167</v>
      </c>
      <c r="T3" s="16" t="s">
        <v>168</v>
      </c>
      <c r="U3" s="16" t="s">
        <v>169</v>
      </c>
      <c r="V3" s="16" t="s">
        <v>170</v>
      </c>
      <c r="W3" s="16" t="s">
        <v>171</v>
      </c>
      <c r="X3" s="15" t="s">
        <v>172</v>
      </c>
    </row>
    <row r="4" spans="1:24" x14ac:dyDescent="0.25">
      <c r="A4" t="s">
        <v>91</v>
      </c>
      <c r="B4" t="s">
        <v>173</v>
      </c>
      <c r="C4" s="1">
        <v>46023</v>
      </c>
      <c r="D4" t="s">
        <v>174</v>
      </c>
      <c r="E4" s="10">
        <v>30</v>
      </c>
      <c r="F4" s="7">
        <v>1</v>
      </c>
      <c r="G4" s="10">
        <v>0</v>
      </c>
      <c r="H4" s="7">
        <v>0</v>
      </c>
      <c r="I4" s="10">
        <v>0</v>
      </c>
      <c r="J4" s="7">
        <v>0</v>
      </c>
      <c r="K4" s="12">
        <v>0</v>
      </c>
      <c r="L4" s="7">
        <v>0</v>
      </c>
      <c r="M4" s="18">
        <f t="shared" ref="M4:M67" si="0">SUM(E4,G4,I4,K4)</f>
        <v>30</v>
      </c>
      <c r="N4" s="19">
        <f t="shared" ref="N4:N67" si="1">IF(M4=0,0,(E4*F4+G4*H4+I4*J4+K4*L4)/30)</f>
        <v>1</v>
      </c>
      <c r="O4" s="18">
        <f t="shared" ref="O4:O67" si="2">IF(Q4="Nacimiento/cuidado menor",E4*(1-F4)+G4*(1-H4)+I4*(1-J4)+K4*(1-L4),0)</f>
        <v>0</v>
      </c>
      <c r="P4" s="18" t="str">
        <f t="shared" ref="P4:P67" si="3">IF(M4=30,"OK","ERROR · "&amp;M4&amp;" días")</f>
        <v>OK</v>
      </c>
      <c r="Q4" s="12" t="s">
        <v>175</v>
      </c>
      <c r="R4" s="10">
        <f t="shared" ref="R4:R67" si="4">IF($Q4="Nacimiento/cuidado menor",IF($W4&gt;0,$W4/30,0),0)</f>
        <v>0</v>
      </c>
      <c r="S4" s="10">
        <v>0</v>
      </c>
      <c r="T4" s="10">
        <v>0</v>
      </c>
      <c r="U4" s="10">
        <v>0</v>
      </c>
      <c r="V4" s="12"/>
    </row>
    <row r="5" spans="1:24" x14ac:dyDescent="0.25">
      <c r="A5" t="s">
        <v>91</v>
      </c>
      <c r="B5" t="s">
        <v>176</v>
      </c>
      <c r="C5" s="1">
        <v>46054</v>
      </c>
      <c r="D5" t="s">
        <v>174</v>
      </c>
      <c r="E5" s="10">
        <v>30</v>
      </c>
      <c r="F5" s="7">
        <v>1</v>
      </c>
      <c r="G5" s="10">
        <v>0</v>
      </c>
      <c r="H5" s="7">
        <v>0</v>
      </c>
      <c r="I5" s="10">
        <v>0</v>
      </c>
      <c r="J5" s="7">
        <v>0</v>
      </c>
      <c r="K5" s="12">
        <v>0</v>
      </c>
      <c r="L5" s="7">
        <v>0</v>
      </c>
      <c r="M5" s="18">
        <f t="shared" si="0"/>
        <v>30</v>
      </c>
      <c r="N5" s="19">
        <f t="shared" si="1"/>
        <v>1</v>
      </c>
      <c r="O5" s="18">
        <f t="shared" si="2"/>
        <v>0</v>
      </c>
      <c r="P5" s="18" t="str">
        <f t="shared" si="3"/>
        <v>OK</v>
      </c>
      <c r="Q5" s="12" t="s">
        <v>175</v>
      </c>
      <c r="R5" s="10">
        <f t="shared" si="4"/>
        <v>0</v>
      </c>
      <c r="S5" s="10">
        <v>0</v>
      </c>
      <c r="T5" s="10">
        <v>0</v>
      </c>
      <c r="U5" s="10">
        <v>0</v>
      </c>
      <c r="V5" s="12"/>
    </row>
    <row r="6" spans="1:24" x14ac:dyDescent="0.25">
      <c r="A6" t="s">
        <v>91</v>
      </c>
      <c r="B6" t="s">
        <v>177</v>
      </c>
      <c r="C6" s="1">
        <v>46082</v>
      </c>
      <c r="D6" t="s">
        <v>174</v>
      </c>
      <c r="E6" s="10">
        <v>30</v>
      </c>
      <c r="F6" s="7">
        <v>1</v>
      </c>
      <c r="G6" s="10">
        <v>0</v>
      </c>
      <c r="H6" s="7">
        <v>0</v>
      </c>
      <c r="I6" s="10">
        <v>0</v>
      </c>
      <c r="J6" s="7">
        <v>0</v>
      </c>
      <c r="K6" s="12">
        <v>0</v>
      </c>
      <c r="L6" s="7">
        <v>0</v>
      </c>
      <c r="M6" s="18">
        <f t="shared" si="0"/>
        <v>30</v>
      </c>
      <c r="N6" s="19">
        <f t="shared" si="1"/>
        <v>1</v>
      </c>
      <c r="O6" s="18">
        <f t="shared" si="2"/>
        <v>0</v>
      </c>
      <c r="P6" s="18" t="str">
        <f t="shared" si="3"/>
        <v>OK</v>
      </c>
      <c r="Q6" s="12" t="s">
        <v>175</v>
      </c>
      <c r="R6" s="10">
        <f t="shared" si="4"/>
        <v>0</v>
      </c>
      <c r="S6" s="10">
        <v>0</v>
      </c>
      <c r="T6" s="10">
        <v>0</v>
      </c>
      <c r="U6" s="10">
        <v>0</v>
      </c>
      <c r="V6" s="12"/>
    </row>
    <row r="7" spans="1:24" x14ac:dyDescent="0.25">
      <c r="A7" t="s">
        <v>91</v>
      </c>
      <c r="B7" t="s">
        <v>178</v>
      </c>
      <c r="C7" s="1">
        <v>46113</v>
      </c>
      <c r="D7" t="s">
        <v>174</v>
      </c>
      <c r="E7" s="10">
        <v>30</v>
      </c>
      <c r="F7" s="7">
        <v>1</v>
      </c>
      <c r="G7" s="10">
        <v>0</v>
      </c>
      <c r="H7" s="7">
        <v>0</v>
      </c>
      <c r="I7" s="10">
        <v>0</v>
      </c>
      <c r="J7" s="7">
        <v>0</v>
      </c>
      <c r="K7" s="12">
        <v>0</v>
      </c>
      <c r="L7" s="7">
        <v>0</v>
      </c>
      <c r="M7" s="18">
        <f t="shared" si="0"/>
        <v>30</v>
      </c>
      <c r="N7" s="19">
        <f t="shared" si="1"/>
        <v>1</v>
      </c>
      <c r="O7" s="18">
        <f t="shared" si="2"/>
        <v>0</v>
      </c>
      <c r="P7" s="18" t="str">
        <f t="shared" si="3"/>
        <v>OK</v>
      </c>
      <c r="Q7" s="12" t="s">
        <v>175</v>
      </c>
      <c r="R7" s="10">
        <f t="shared" si="4"/>
        <v>0</v>
      </c>
      <c r="S7" s="10">
        <v>0</v>
      </c>
      <c r="T7" s="10">
        <v>0</v>
      </c>
      <c r="U7" s="10">
        <v>0</v>
      </c>
      <c r="V7" s="12"/>
    </row>
    <row r="8" spans="1:24" x14ac:dyDescent="0.25">
      <c r="A8" t="s">
        <v>91</v>
      </c>
      <c r="B8" t="s">
        <v>179</v>
      </c>
      <c r="C8" s="1">
        <v>46143</v>
      </c>
      <c r="D8" t="s">
        <v>174</v>
      </c>
      <c r="E8" s="10">
        <v>30</v>
      </c>
      <c r="F8" s="7">
        <v>1</v>
      </c>
      <c r="G8" s="10">
        <v>0</v>
      </c>
      <c r="H8" s="7">
        <v>0</v>
      </c>
      <c r="I8" s="10">
        <v>0</v>
      </c>
      <c r="J8" s="7">
        <v>0</v>
      </c>
      <c r="K8" s="12">
        <v>0</v>
      </c>
      <c r="L8" s="7">
        <v>0</v>
      </c>
      <c r="M8" s="18">
        <f t="shared" si="0"/>
        <v>30</v>
      </c>
      <c r="N8" s="19">
        <f t="shared" si="1"/>
        <v>1</v>
      </c>
      <c r="O8" s="18">
        <f t="shared" si="2"/>
        <v>0</v>
      </c>
      <c r="P8" s="18" t="str">
        <f t="shared" si="3"/>
        <v>OK</v>
      </c>
      <c r="Q8" s="12" t="s">
        <v>175</v>
      </c>
      <c r="R8" s="10">
        <f t="shared" si="4"/>
        <v>0</v>
      </c>
      <c r="S8" s="10">
        <v>0</v>
      </c>
      <c r="T8" s="10">
        <v>0</v>
      </c>
      <c r="U8" s="10">
        <v>0</v>
      </c>
      <c r="V8" s="12"/>
    </row>
    <row r="9" spans="1:24" x14ac:dyDescent="0.25">
      <c r="A9" t="s">
        <v>91</v>
      </c>
      <c r="B9" t="s">
        <v>180</v>
      </c>
      <c r="C9" s="1">
        <v>46174</v>
      </c>
      <c r="D9" t="s">
        <v>174</v>
      </c>
      <c r="E9" s="10">
        <v>30</v>
      </c>
      <c r="F9" s="7">
        <v>1</v>
      </c>
      <c r="G9" s="10">
        <v>0</v>
      </c>
      <c r="H9" s="7">
        <v>0</v>
      </c>
      <c r="I9" s="10">
        <v>0</v>
      </c>
      <c r="J9" s="7">
        <v>0</v>
      </c>
      <c r="K9" s="12">
        <v>0</v>
      </c>
      <c r="L9" s="7">
        <v>0</v>
      </c>
      <c r="M9" s="18">
        <f t="shared" si="0"/>
        <v>30</v>
      </c>
      <c r="N9" s="19">
        <f t="shared" si="1"/>
        <v>1</v>
      </c>
      <c r="O9" s="18">
        <f t="shared" si="2"/>
        <v>0</v>
      </c>
      <c r="P9" s="18" t="str">
        <f t="shared" si="3"/>
        <v>OK</v>
      </c>
      <c r="Q9" s="12" t="s">
        <v>175</v>
      </c>
      <c r="R9" s="10">
        <f t="shared" si="4"/>
        <v>0</v>
      </c>
      <c r="S9" s="10">
        <v>0</v>
      </c>
      <c r="T9" s="10">
        <v>0</v>
      </c>
      <c r="U9" s="10">
        <v>0</v>
      </c>
      <c r="V9" s="12"/>
    </row>
    <row r="10" spans="1:24" x14ac:dyDescent="0.25">
      <c r="A10" t="s">
        <v>91</v>
      </c>
      <c r="B10" t="s">
        <v>181</v>
      </c>
      <c r="C10" s="1">
        <v>46204</v>
      </c>
      <c r="D10" t="s">
        <v>182</v>
      </c>
      <c r="E10" s="10">
        <v>30</v>
      </c>
      <c r="F10" s="7">
        <v>1</v>
      </c>
      <c r="G10" s="10">
        <v>0</v>
      </c>
      <c r="H10" s="7">
        <v>0</v>
      </c>
      <c r="I10" s="10">
        <v>0</v>
      </c>
      <c r="J10" s="7">
        <v>0</v>
      </c>
      <c r="K10" s="12">
        <v>0</v>
      </c>
      <c r="L10" s="7">
        <v>0</v>
      </c>
      <c r="M10" s="18">
        <f t="shared" si="0"/>
        <v>30</v>
      </c>
      <c r="N10" s="19">
        <f t="shared" si="1"/>
        <v>1</v>
      </c>
      <c r="O10" s="18">
        <f t="shared" si="2"/>
        <v>0</v>
      </c>
      <c r="P10" s="18" t="str">
        <f t="shared" si="3"/>
        <v>OK</v>
      </c>
      <c r="Q10" s="12" t="s">
        <v>175</v>
      </c>
      <c r="R10" s="10">
        <f t="shared" si="4"/>
        <v>0</v>
      </c>
      <c r="S10" s="10">
        <v>0</v>
      </c>
      <c r="T10" s="10">
        <v>0</v>
      </c>
      <c r="U10" s="10">
        <v>0</v>
      </c>
      <c r="V10" s="12"/>
    </row>
    <row r="11" spans="1:24" x14ac:dyDescent="0.25">
      <c r="A11" t="s">
        <v>91</v>
      </c>
      <c r="B11" t="s">
        <v>183</v>
      </c>
      <c r="C11" s="1">
        <v>46204</v>
      </c>
      <c r="D11" t="s">
        <v>174</v>
      </c>
      <c r="E11" s="10">
        <v>30</v>
      </c>
      <c r="F11" s="7">
        <v>1</v>
      </c>
      <c r="G11" s="10">
        <v>0</v>
      </c>
      <c r="H11" s="7">
        <v>0</v>
      </c>
      <c r="I11" s="10">
        <v>0</v>
      </c>
      <c r="J11" s="7">
        <v>0</v>
      </c>
      <c r="K11" s="12">
        <v>0</v>
      </c>
      <c r="L11" s="7">
        <v>0</v>
      </c>
      <c r="M11" s="18">
        <f t="shared" si="0"/>
        <v>30</v>
      </c>
      <c r="N11" s="19">
        <f t="shared" si="1"/>
        <v>1</v>
      </c>
      <c r="O11" s="18">
        <f t="shared" si="2"/>
        <v>0</v>
      </c>
      <c r="P11" s="18" t="str">
        <f t="shared" si="3"/>
        <v>OK</v>
      </c>
      <c r="Q11" s="12" t="s">
        <v>175</v>
      </c>
      <c r="R11" s="10">
        <f t="shared" si="4"/>
        <v>0</v>
      </c>
      <c r="S11" s="10">
        <v>0</v>
      </c>
      <c r="T11" s="10">
        <v>0</v>
      </c>
      <c r="U11" s="10">
        <v>0</v>
      </c>
      <c r="V11" s="12"/>
    </row>
    <row r="12" spans="1:24" x14ac:dyDescent="0.25">
      <c r="A12" t="s">
        <v>91</v>
      </c>
      <c r="B12" t="s">
        <v>184</v>
      </c>
      <c r="C12" s="1">
        <v>46235</v>
      </c>
      <c r="D12" t="s">
        <v>174</v>
      </c>
      <c r="E12" s="10">
        <v>30</v>
      </c>
      <c r="F12" s="7">
        <v>1</v>
      </c>
      <c r="G12" s="10">
        <v>0</v>
      </c>
      <c r="H12" s="7">
        <v>0</v>
      </c>
      <c r="I12" s="10">
        <v>0</v>
      </c>
      <c r="J12" s="7">
        <v>0</v>
      </c>
      <c r="K12" s="12">
        <v>0</v>
      </c>
      <c r="L12" s="7">
        <v>0</v>
      </c>
      <c r="M12" s="18">
        <f t="shared" si="0"/>
        <v>30</v>
      </c>
      <c r="N12" s="19">
        <f t="shared" si="1"/>
        <v>1</v>
      </c>
      <c r="O12" s="18">
        <f t="shared" si="2"/>
        <v>0</v>
      </c>
      <c r="P12" s="18" t="str">
        <f t="shared" si="3"/>
        <v>OK</v>
      </c>
      <c r="Q12" s="12" t="s">
        <v>175</v>
      </c>
      <c r="R12" s="10">
        <f t="shared" si="4"/>
        <v>0</v>
      </c>
      <c r="S12" s="10">
        <v>0</v>
      </c>
      <c r="T12" s="10">
        <v>0</v>
      </c>
      <c r="U12" s="10">
        <v>0</v>
      </c>
      <c r="V12" s="12"/>
    </row>
    <row r="13" spans="1:24" x14ac:dyDescent="0.25">
      <c r="A13" t="s">
        <v>91</v>
      </c>
      <c r="B13" t="s">
        <v>185</v>
      </c>
      <c r="C13" s="1">
        <v>46266</v>
      </c>
      <c r="D13" t="s">
        <v>174</v>
      </c>
      <c r="E13" s="10">
        <v>30</v>
      </c>
      <c r="F13" s="7">
        <v>1</v>
      </c>
      <c r="G13" s="10">
        <v>0</v>
      </c>
      <c r="H13" s="7">
        <v>0</v>
      </c>
      <c r="I13" s="10">
        <v>0</v>
      </c>
      <c r="J13" s="7">
        <v>0</v>
      </c>
      <c r="K13" s="12">
        <v>0</v>
      </c>
      <c r="L13" s="7">
        <v>0</v>
      </c>
      <c r="M13" s="18">
        <f t="shared" si="0"/>
        <v>30</v>
      </c>
      <c r="N13" s="19">
        <f t="shared" si="1"/>
        <v>1</v>
      </c>
      <c r="O13" s="18">
        <f t="shared" si="2"/>
        <v>0</v>
      </c>
      <c r="P13" s="18" t="str">
        <f t="shared" si="3"/>
        <v>OK</v>
      </c>
      <c r="Q13" s="12" t="s">
        <v>175</v>
      </c>
      <c r="R13" s="10">
        <f t="shared" si="4"/>
        <v>0</v>
      </c>
      <c r="S13" s="10">
        <v>0</v>
      </c>
      <c r="T13" s="10">
        <v>0</v>
      </c>
      <c r="U13" s="10">
        <v>0</v>
      </c>
      <c r="V13" s="12"/>
    </row>
    <row r="14" spans="1:24" x14ac:dyDescent="0.25">
      <c r="A14" t="s">
        <v>91</v>
      </c>
      <c r="B14" t="s">
        <v>186</v>
      </c>
      <c r="C14" s="1">
        <v>46296</v>
      </c>
      <c r="D14" t="s">
        <v>174</v>
      </c>
      <c r="E14" s="10">
        <v>30</v>
      </c>
      <c r="F14" s="7">
        <v>1</v>
      </c>
      <c r="G14" s="10">
        <v>0</v>
      </c>
      <c r="H14" s="7">
        <v>0</v>
      </c>
      <c r="I14" s="10">
        <v>0</v>
      </c>
      <c r="J14" s="7">
        <v>0</v>
      </c>
      <c r="K14" s="12">
        <v>0</v>
      </c>
      <c r="L14" s="7">
        <v>0</v>
      </c>
      <c r="M14" s="18">
        <f t="shared" si="0"/>
        <v>30</v>
      </c>
      <c r="N14" s="19">
        <f t="shared" si="1"/>
        <v>1</v>
      </c>
      <c r="O14" s="18">
        <f t="shared" si="2"/>
        <v>0</v>
      </c>
      <c r="P14" s="18" t="str">
        <f t="shared" si="3"/>
        <v>OK</v>
      </c>
      <c r="Q14" s="12" t="s">
        <v>175</v>
      </c>
      <c r="R14" s="10">
        <f t="shared" si="4"/>
        <v>0</v>
      </c>
      <c r="S14" s="10">
        <v>0</v>
      </c>
      <c r="T14" s="10">
        <v>0</v>
      </c>
      <c r="U14" s="10">
        <v>0</v>
      </c>
      <c r="V14" s="12"/>
    </row>
    <row r="15" spans="1:24" x14ac:dyDescent="0.25">
      <c r="A15" t="s">
        <v>91</v>
      </c>
      <c r="B15" t="s">
        <v>187</v>
      </c>
      <c r="C15" s="1">
        <v>46327</v>
      </c>
      <c r="D15" t="s">
        <v>174</v>
      </c>
      <c r="E15" s="10">
        <v>30</v>
      </c>
      <c r="F15" s="7">
        <v>1</v>
      </c>
      <c r="G15" s="10">
        <v>0</v>
      </c>
      <c r="H15" s="7">
        <v>0</v>
      </c>
      <c r="I15" s="10">
        <v>0</v>
      </c>
      <c r="J15" s="7">
        <v>0</v>
      </c>
      <c r="K15" s="12">
        <v>0</v>
      </c>
      <c r="L15" s="7">
        <v>0</v>
      </c>
      <c r="M15" s="18">
        <f t="shared" si="0"/>
        <v>30</v>
      </c>
      <c r="N15" s="19">
        <f t="shared" si="1"/>
        <v>1</v>
      </c>
      <c r="O15" s="18">
        <f t="shared" si="2"/>
        <v>0</v>
      </c>
      <c r="P15" s="18" t="str">
        <f t="shared" si="3"/>
        <v>OK</v>
      </c>
      <c r="Q15" s="12" t="s">
        <v>175</v>
      </c>
      <c r="R15" s="10">
        <f t="shared" si="4"/>
        <v>0</v>
      </c>
      <c r="S15" s="10">
        <v>0</v>
      </c>
      <c r="T15" s="10">
        <v>0</v>
      </c>
      <c r="U15" s="10">
        <v>0</v>
      </c>
      <c r="V15" s="12"/>
    </row>
    <row r="16" spans="1:24" x14ac:dyDescent="0.25">
      <c r="A16" t="s">
        <v>91</v>
      </c>
      <c r="B16" t="s">
        <v>188</v>
      </c>
      <c r="C16" s="1">
        <v>46357</v>
      </c>
      <c r="D16" t="s">
        <v>182</v>
      </c>
      <c r="E16" s="10">
        <v>30</v>
      </c>
      <c r="F16" s="7">
        <v>1</v>
      </c>
      <c r="G16" s="10">
        <v>0</v>
      </c>
      <c r="H16" s="7">
        <v>0</v>
      </c>
      <c r="I16" s="10">
        <v>0</v>
      </c>
      <c r="J16" s="7">
        <v>0</v>
      </c>
      <c r="K16" s="12">
        <v>0</v>
      </c>
      <c r="L16" s="7">
        <v>0</v>
      </c>
      <c r="M16" s="18">
        <f t="shared" si="0"/>
        <v>30</v>
      </c>
      <c r="N16" s="19">
        <f t="shared" si="1"/>
        <v>1</v>
      </c>
      <c r="O16" s="18">
        <f t="shared" si="2"/>
        <v>0</v>
      </c>
      <c r="P16" s="18" t="str">
        <f t="shared" si="3"/>
        <v>OK</v>
      </c>
      <c r="Q16" s="12" t="s">
        <v>175</v>
      </c>
      <c r="R16" s="10">
        <f t="shared" si="4"/>
        <v>0</v>
      </c>
      <c r="S16" s="10">
        <v>0</v>
      </c>
      <c r="T16" s="10">
        <v>0</v>
      </c>
      <c r="U16" s="10">
        <v>0</v>
      </c>
      <c r="V16" s="12"/>
    </row>
    <row r="17" spans="1:22" x14ac:dyDescent="0.25">
      <c r="A17" t="s">
        <v>91</v>
      </c>
      <c r="B17" t="s">
        <v>189</v>
      </c>
      <c r="C17" s="1">
        <v>46357</v>
      </c>
      <c r="D17" t="s">
        <v>174</v>
      </c>
      <c r="E17" s="10">
        <v>30</v>
      </c>
      <c r="F17" s="7">
        <v>1</v>
      </c>
      <c r="G17" s="10">
        <v>0</v>
      </c>
      <c r="H17" s="7">
        <v>0</v>
      </c>
      <c r="I17" s="10">
        <v>0</v>
      </c>
      <c r="J17" s="7">
        <v>0</v>
      </c>
      <c r="K17" s="12">
        <v>0</v>
      </c>
      <c r="L17" s="7">
        <v>0</v>
      </c>
      <c r="M17" s="18">
        <f t="shared" si="0"/>
        <v>30</v>
      </c>
      <c r="N17" s="19">
        <f t="shared" si="1"/>
        <v>1</v>
      </c>
      <c r="O17" s="18">
        <f t="shared" si="2"/>
        <v>0</v>
      </c>
      <c r="P17" s="18" t="str">
        <f t="shared" si="3"/>
        <v>OK</v>
      </c>
      <c r="Q17" s="12" t="s">
        <v>175</v>
      </c>
      <c r="R17" s="10">
        <f t="shared" si="4"/>
        <v>0</v>
      </c>
      <c r="S17" s="10">
        <v>0</v>
      </c>
      <c r="T17" s="10">
        <v>0</v>
      </c>
      <c r="U17" s="10">
        <v>0</v>
      </c>
      <c r="V17" s="12"/>
    </row>
    <row r="18" spans="1:22" x14ac:dyDescent="0.25">
      <c r="A18" t="s">
        <v>96</v>
      </c>
      <c r="B18" t="s">
        <v>173</v>
      </c>
      <c r="C18" s="1">
        <v>46023</v>
      </c>
      <c r="D18" t="s">
        <v>174</v>
      </c>
      <c r="E18" s="10">
        <v>30</v>
      </c>
      <c r="F18" s="7">
        <v>1</v>
      </c>
      <c r="G18" s="10">
        <v>0</v>
      </c>
      <c r="H18" s="7">
        <v>0</v>
      </c>
      <c r="I18" s="10">
        <v>0</v>
      </c>
      <c r="J18" s="7">
        <v>0</v>
      </c>
      <c r="K18" s="12">
        <v>0</v>
      </c>
      <c r="L18" s="7">
        <v>0</v>
      </c>
      <c r="M18" s="18">
        <f t="shared" si="0"/>
        <v>30</v>
      </c>
      <c r="N18" s="19">
        <f t="shared" si="1"/>
        <v>1</v>
      </c>
      <c r="O18" s="18">
        <f t="shared" si="2"/>
        <v>0</v>
      </c>
      <c r="P18" s="18" t="str">
        <f t="shared" si="3"/>
        <v>OK</v>
      </c>
      <c r="Q18" s="12" t="s">
        <v>175</v>
      </c>
      <c r="R18" s="10">
        <f t="shared" si="4"/>
        <v>0</v>
      </c>
      <c r="S18" s="10">
        <v>0</v>
      </c>
      <c r="T18" s="10">
        <v>0</v>
      </c>
      <c r="U18" s="10">
        <v>0</v>
      </c>
      <c r="V18" s="12"/>
    </row>
    <row r="19" spans="1:22" x14ac:dyDescent="0.25">
      <c r="A19" t="s">
        <v>96</v>
      </c>
      <c r="B19" t="s">
        <v>176</v>
      </c>
      <c r="C19" s="1">
        <v>46054</v>
      </c>
      <c r="D19" t="s">
        <v>174</v>
      </c>
      <c r="E19" s="10">
        <v>30</v>
      </c>
      <c r="F19" s="7">
        <v>1</v>
      </c>
      <c r="G19" s="10">
        <v>0</v>
      </c>
      <c r="H19" s="7">
        <v>0</v>
      </c>
      <c r="I19" s="10">
        <v>0</v>
      </c>
      <c r="J19" s="7">
        <v>0</v>
      </c>
      <c r="K19" s="12">
        <v>0</v>
      </c>
      <c r="L19" s="7">
        <v>0</v>
      </c>
      <c r="M19" s="18">
        <f t="shared" si="0"/>
        <v>30</v>
      </c>
      <c r="N19" s="19">
        <f t="shared" si="1"/>
        <v>1</v>
      </c>
      <c r="O19" s="18">
        <f t="shared" si="2"/>
        <v>0</v>
      </c>
      <c r="P19" s="18" t="str">
        <f t="shared" si="3"/>
        <v>OK</v>
      </c>
      <c r="Q19" s="12" t="s">
        <v>175</v>
      </c>
      <c r="R19" s="10">
        <f t="shared" si="4"/>
        <v>0</v>
      </c>
      <c r="S19" s="10">
        <v>0</v>
      </c>
      <c r="T19" s="10">
        <v>0</v>
      </c>
      <c r="U19" s="10">
        <v>0</v>
      </c>
      <c r="V19" s="12"/>
    </row>
    <row r="20" spans="1:22" x14ac:dyDescent="0.25">
      <c r="A20" t="s">
        <v>96</v>
      </c>
      <c r="B20" t="s">
        <v>177</v>
      </c>
      <c r="C20" s="1">
        <v>46082</v>
      </c>
      <c r="D20" t="s">
        <v>174</v>
      </c>
      <c r="E20" s="10">
        <v>30</v>
      </c>
      <c r="F20" s="7">
        <v>1</v>
      </c>
      <c r="G20" s="10">
        <v>0</v>
      </c>
      <c r="H20" s="7">
        <v>0</v>
      </c>
      <c r="I20" s="10">
        <v>0</v>
      </c>
      <c r="J20" s="7">
        <v>0</v>
      </c>
      <c r="K20" s="12">
        <v>0</v>
      </c>
      <c r="L20" s="7">
        <v>0</v>
      </c>
      <c r="M20" s="18">
        <f t="shared" si="0"/>
        <v>30</v>
      </c>
      <c r="N20" s="19">
        <f t="shared" si="1"/>
        <v>1</v>
      </c>
      <c r="O20" s="18">
        <f t="shared" si="2"/>
        <v>0</v>
      </c>
      <c r="P20" s="18" t="str">
        <f t="shared" si="3"/>
        <v>OK</v>
      </c>
      <c r="Q20" s="12" t="s">
        <v>175</v>
      </c>
      <c r="R20" s="10">
        <f t="shared" si="4"/>
        <v>0</v>
      </c>
      <c r="S20" s="10">
        <v>0</v>
      </c>
      <c r="T20" s="10">
        <v>0</v>
      </c>
      <c r="U20" s="10">
        <v>0</v>
      </c>
      <c r="V20" s="12"/>
    </row>
    <row r="21" spans="1:22" x14ac:dyDescent="0.25">
      <c r="A21" t="s">
        <v>96</v>
      </c>
      <c r="B21" t="s">
        <v>178</v>
      </c>
      <c r="C21" s="1">
        <v>46113</v>
      </c>
      <c r="D21" t="s">
        <v>174</v>
      </c>
      <c r="E21" s="10">
        <v>30</v>
      </c>
      <c r="F21" s="7">
        <v>1</v>
      </c>
      <c r="G21" s="10">
        <v>0</v>
      </c>
      <c r="H21" s="7">
        <v>0</v>
      </c>
      <c r="I21" s="10">
        <v>0</v>
      </c>
      <c r="J21" s="7">
        <v>0</v>
      </c>
      <c r="K21" s="12">
        <v>0</v>
      </c>
      <c r="L21" s="7">
        <v>0</v>
      </c>
      <c r="M21" s="18">
        <f t="shared" si="0"/>
        <v>30</v>
      </c>
      <c r="N21" s="19">
        <f t="shared" si="1"/>
        <v>1</v>
      </c>
      <c r="O21" s="18">
        <f t="shared" si="2"/>
        <v>0</v>
      </c>
      <c r="P21" s="18" t="str">
        <f t="shared" si="3"/>
        <v>OK</v>
      </c>
      <c r="Q21" s="12" t="s">
        <v>175</v>
      </c>
      <c r="R21" s="10">
        <f t="shared" si="4"/>
        <v>0</v>
      </c>
      <c r="S21" s="10">
        <v>0</v>
      </c>
      <c r="T21" s="10">
        <v>0</v>
      </c>
      <c r="U21" s="10">
        <v>0</v>
      </c>
      <c r="V21" s="12"/>
    </row>
    <row r="22" spans="1:22" x14ac:dyDescent="0.25">
      <c r="A22" t="s">
        <v>96</v>
      </c>
      <c r="B22" t="s">
        <v>179</v>
      </c>
      <c r="C22" s="1">
        <v>46143</v>
      </c>
      <c r="D22" t="s">
        <v>174</v>
      </c>
      <c r="E22" s="10">
        <v>30</v>
      </c>
      <c r="F22" s="7">
        <v>1</v>
      </c>
      <c r="G22" s="10">
        <v>0</v>
      </c>
      <c r="H22" s="7">
        <v>0</v>
      </c>
      <c r="I22" s="10">
        <v>0</v>
      </c>
      <c r="J22" s="7">
        <v>0</v>
      </c>
      <c r="K22" s="12">
        <v>0</v>
      </c>
      <c r="L22" s="7">
        <v>0</v>
      </c>
      <c r="M22" s="18">
        <f t="shared" si="0"/>
        <v>30</v>
      </c>
      <c r="N22" s="19">
        <f t="shared" si="1"/>
        <v>1</v>
      </c>
      <c r="O22" s="18">
        <f t="shared" si="2"/>
        <v>0</v>
      </c>
      <c r="P22" s="18" t="str">
        <f t="shared" si="3"/>
        <v>OK</v>
      </c>
      <c r="Q22" s="12" t="s">
        <v>175</v>
      </c>
      <c r="R22" s="10">
        <f t="shared" si="4"/>
        <v>0</v>
      </c>
      <c r="S22" s="10">
        <v>0</v>
      </c>
      <c r="T22" s="10">
        <v>0</v>
      </c>
      <c r="U22" s="10">
        <v>0</v>
      </c>
      <c r="V22" s="12"/>
    </row>
    <row r="23" spans="1:22" x14ac:dyDescent="0.25">
      <c r="A23" t="s">
        <v>96</v>
      </c>
      <c r="B23" t="s">
        <v>180</v>
      </c>
      <c r="C23" s="1">
        <v>46174</v>
      </c>
      <c r="D23" t="s">
        <v>174</v>
      </c>
      <c r="E23" s="10">
        <v>30</v>
      </c>
      <c r="F23" s="7">
        <v>1</v>
      </c>
      <c r="G23" s="10">
        <v>0</v>
      </c>
      <c r="H23" s="7">
        <v>0</v>
      </c>
      <c r="I23" s="10">
        <v>0</v>
      </c>
      <c r="J23" s="7">
        <v>0</v>
      </c>
      <c r="K23" s="12">
        <v>0</v>
      </c>
      <c r="L23" s="7">
        <v>0</v>
      </c>
      <c r="M23" s="18">
        <f t="shared" si="0"/>
        <v>30</v>
      </c>
      <c r="N23" s="19">
        <f t="shared" si="1"/>
        <v>1</v>
      </c>
      <c r="O23" s="18">
        <f t="shared" si="2"/>
        <v>0</v>
      </c>
      <c r="P23" s="18" t="str">
        <f t="shared" si="3"/>
        <v>OK</v>
      </c>
      <c r="Q23" s="12" t="s">
        <v>175</v>
      </c>
      <c r="R23" s="10">
        <f t="shared" si="4"/>
        <v>0</v>
      </c>
      <c r="S23" s="10">
        <v>0</v>
      </c>
      <c r="T23" s="10">
        <v>0</v>
      </c>
      <c r="U23" s="10">
        <v>0</v>
      </c>
      <c r="V23" s="12"/>
    </row>
    <row r="24" spans="1:22" x14ac:dyDescent="0.25">
      <c r="A24" t="s">
        <v>96</v>
      </c>
      <c r="B24" t="s">
        <v>181</v>
      </c>
      <c r="C24" s="1">
        <v>46204</v>
      </c>
      <c r="D24" t="s">
        <v>182</v>
      </c>
      <c r="E24" s="10">
        <v>30</v>
      </c>
      <c r="F24" s="7">
        <v>1</v>
      </c>
      <c r="G24" s="10">
        <v>0</v>
      </c>
      <c r="H24" s="7">
        <v>0</v>
      </c>
      <c r="I24" s="10">
        <v>0</v>
      </c>
      <c r="J24" s="7">
        <v>0</v>
      </c>
      <c r="K24" s="12">
        <v>0</v>
      </c>
      <c r="L24" s="7">
        <v>0</v>
      </c>
      <c r="M24" s="18">
        <f t="shared" si="0"/>
        <v>30</v>
      </c>
      <c r="N24" s="19">
        <f t="shared" si="1"/>
        <v>1</v>
      </c>
      <c r="O24" s="18">
        <f t="shared" si="2"/>
        <v>0</v>
      </c>
      <c r="P24" s="18" t="str">
        <f t="shared" si="3"/>
        <v>OK</v>
      </c>
      <c r="Q24" s="12" t="s">
        <v>175</v>
      </c>
      <c r="R24" s="10">
        <f t="shared" si="4"/>
        <v>0</v>
      </c>
      <c r="S24" s="10">
        <v>0</v>
      </c>
      <c r="T24" s="10">
        <v>0</v>
      </c>
      <c r="U24" s="10">
        <v>0</v>
      </c>
      <c r="V24" s="12"/>
    </row>
    <row r="25" spans="1:22" x14ac:dyDescent="0.25">
      <c r="A25" t="s">
        <v>96</v>
      </c>
      <c r="B25" t="s">
        <v>183</v>
      </c>
      <c r="C25" s="1">
        <v>46204</v>
      </c>
      <c r="D25" t="s">
        <v>174</v>
      </c>
      <c r="E25" s="10">
        <v>30</v>
      </c>
      <c r="F25" s="7">
        <v>1</v>
      </c>
      <c r="G25" s="10">
        <v>0</v>
      </c>
      <c r="H25" s="7">
        <v>0</v>
      </c>
      <c r="I25" s="10">
        <v>0</v>
      </c>
      <c r="J25" s="7">
        <v>0</v>
      </c>
      <c r="K25" s="12">
        <v>0</v>
      </c>
      <c r="L25" s="7">
        <v>0</v>
      </c>
      <c r="M25" s="18">
        <f t="shared" si="0"/>
        <v>30</v>
      </c>
      <c r="N25" s="19">
        <f t="shared" si="1"/>
        <v>1</v>
      </c>
      <c r="O25" s="18">
        <f t="shared" si="2"/>
        <v>0</v>
      </c>
      <c r="P25" s="18" t="str">
        <f t="shared" si="3"/>
        <v>OK</v>
      </c>
      <c r="Q25" s="12" t="s">
        <v>175</v>
      </c>
      <c r="R25" s="10">
        <f t="shared" si="4"/>
        <v>0</v>
      </c>
      <c r="S25" s="10">
        <v>0</v>
      </c>
      <c r="T25" s="10">
        <v>0</v>
      </c>
      <c r="U25" s="10">
        <v>0</v>
      </c>
      <c r="V25" s="12"/>
    </row>
    <row r="26" spans="1:22" x14ac:dyDescent="0.25">
      <c r="A26" t="s">
        <v>96</v>
      </c>
      <c r="B26" t="s">
        <v>184</v>
      </c>
      <c r="C26" s="1">
        <v>46235</v>
      </c>
      <c r="D26" t="s">
        <v>174</v>
      </c>
      <c r="E26" s="10">
        <v>30</v>
      </c>
      <c r="F26" s="7">
        <v>1</v>
      </c>
      <c r="G26" s="10">
        <v>0</v>
      </c>
      <c r="H26" s="7">
        <v>0</v>
      </c>
      <c r="I26" s="10">
        <v>0</v>
      </c>
      <c r="J26" s="7">
        <v>0</v>
      </c>
      <c r="K26" s="12">
        <v>0</v>
      </c>
      <c r="L26" s="7">
        <v>0</v>
      </c>
      <c r="M26" s="18">
        <f t="shared" si="0"/>
        <v>30</v>
      </c>
      <c r="N26" s="19">
        <f t="shared" si="1"/>
        <v>1</v>
      </c>
      <c r="O26" s="18">
        <f t="shared" si="2"/>
        <v>0</v>
      </c>
      <c r="P26" s="18" t="str">
        <f t="shared" si="3"/>
        <v>OK</v>
      </c>
      <c r="Q26" s="12" t="s">
        <v>175</v>
      </c>
      <c r="R26" s="10">
        <f t="shared" si="4"/>
        <v>0</v>
      </c>
      <c r="S26" s="10">
        <v>0</v>
      </c>
      <c r="T26" s="10">
        <v>0</v>
      </c>
      <c r="U26" s="10">
        <v>0</v>
      </c>
      <c r="V26" s="12"/>
    </row>
    <row r="27" spans="1:22" x14ac:dyDescent="0.25">
      <c r="A27" t="s">
        <v>96</v>
      </c>
      <c r="B27" t="s">
        <v>185</v>
      </c>
      <c r="C27" s="1">
        <v>46266</v>
      </c>
      <c r="D27" t="s">
        <v>174</v>
      </c>
      <c r="E27" s="10">
        <v>30</v>
      </c>
      <c r="F27" s="7">
        <v>1</v>
      </c>
      <c r="G27" s="10">
        <v>0</v>
      </c>
      <c r="H27" s="7">
        <v>0</v>
      </c>
      <c r="I27" s="10">
        <v>0</v>
      </c>
      <c r="J27" s="7">
        <v>0</v>
      </c>
      <c r="K27" s="12">
        <v>0</v>
      </c>
      <c r="L27" s="7">
        <v>0</v>
      </c>
      <c r="M27" s="18">
        <f t="shared" si="0"/>
        <v>30</v>
      </c>
      <c r="N27" s="19">
        <f t="shared" si="1"/>
        <v>1</v>
      </c>
      <c r="O27" s="18">
        <f t="shared" si="2"/>
        <v>0</v>
      </c>
      <c r="P27" s="18" t="str">
        <f t="shared" si="3"/>
        <v>OK</v>
      </c>
      <c r="Q27" s="12" t="s">
        <v>175</v>
      </c>
      <c r="R27" s="10">
        <f t="shared" si="4"/>
        <v>0</v>
      </c>
      <c r="S27" s="10">
        <v>0</v>
      </c>
      <c r="T27" s="10">
        <v>0</v>
      </c>
      <c r="U27" s="10">
        <v>0</v>
      </c>
      <c r="V27" s="12"/>
    </row>
    <row r="28" spans="1:22" x14ac:dyDescent="0.25">
      <c r="A28" t="s">
        <v>96</v>
      </c>
      <c r="B28" t="s">
        <v>186</v>
      </c>
      <c r="C28" s="1">
        <v>46296</v>
      </c>
      <c r="D28" t="s">
        <v>174</v>
      </c>
      <c r="E28" s="10">
        <v>30</v>
      </c>
      <c r="F28" s="7">
        <v>1</v>
      </c>
      <c r="G28" s="10">
        <v>0</v>
      </c>
      <c r="H28" s="7">
        <v>0</v>
      </c>
      <c r="I28" s="10">
        <v>0</v>
      </c>
      <c r="J28" s="7">
        <v>0</v>
      </c>
      <c r="K28" s="12">
        <v>0</v>
      </c>
      <c r="L28" s="7">
        <v>0</v>
      </c>
      <c r="M28" s="18">
        <f t="shared" si="0"/>
        <v>30</v>
      </c>
      <c r="N28" s="19">
        <f t="shared" si="1"/>
        <v>1</v>
      </c>
      <c r="O28" s="18">
        <f t="shared" si="2"/>
        <v>0</v>
      </c>
      <c r="P28" s="18" t="str">
        <f t="shared" si="3"/>
        <v>OK</v>
      </c>
      <c r="Q28" s="12" t="s">
        <v>175</v>
      </c>
      <c r="R28" s="10">
        <f t="shared" si="4"/>
        <v>0</v>
      </c>
      <c r="S28" s="10">
        <v>0</v>
      </c>
      <c r="T28" s="10">
        <v>0</v>
      </c>
      <c r="U28" s="10">
        <v>0</v>
      </c>
      <c r="V28" s="12"/>
    </row>
    <row r="29" spans="1:22" x14ac:dyDescent="0.25">
      <c r="A29" t="s">
        <v>96</v>
      </c>
      <c r="B29" t="s">
        <v>187</v>
      </c>
      <c r="C29" s="1">
        <v>46327</v>
      </c>
      <c r="D29" t="s">
        <v>174</v>
      </c>
      <c r="E29" s="10">
        <v>30</v>
      </c>
      <c r="F29" s="7">
        <v>1</v>
      </c>
      <c r="G29" s="10">
        <v>0</v>
      </c>
      <c r="H29" s="7">
        <v>0</v>
      </c>
      <c r="I29" s="10">
        <v>0</v>
      </c>
      <c r="J29" s="7">
        <v>0</v>
      </c>
      <c r="K29" s="12">
        <v>0</v>
      </c>
      <c r="L29" s="7">
        <v>0</v>
      </c>
      <c r="M29" s="18">
        <f t="shared" si="0"/>
        <v>30</v>
      </c>
      <c r="N29" s="19">
        <f t="shared" si="1"/>
        <v>1</v>
      </c>
      <c r="O29" s="18">
        <f t="shared" si="2"/>
        <v>0</v>
      </c>
      <c r="P29" s="18" t="str">
        <f t="shared" si="3"/>
        <v>OK</v>
      </c>
      <c r="Q29" s="12" t="s">
        <v>175</v>
      </c>
      <c r="R29" s="10">
        <f t="shared" si="4"/>
        <v>0</v>
      </c>
      <c r="S29" s="10">
        <v>0</v>
      </c>
      <c r="T29" s="10">
        <v>0</v>
      </c>
      <c r="U29" s="10">
        <v>0</v>
      </c>
      <c r="V29" s="12"/>
    </row>
    <row r="30" spans="1:22" x14ac:dyDescent="0.25">
      <c r="A30" t="s">
        <v>96</v>
      </c>
      <c r="B30" t="s">
        <v>188</v>
      </c>
      <c r="C30" s="1">
        <v>46357</v>
      </c>
      <c r="D30" t="s">
        <v>182</v>
      </c>
      <c r="E30" s="10">
        <v>30</v>
      </c>
      <c r="F30" s="7">
        <v>1</v>
      </c>
      <c r="G30" s="10">
        <v>0</v>
      </c>
      <c r="H30" s="7">
        <v>0</v>
      </c>
      <c r="I30" s="10">
        <v>0</v>
      </c>
      <c r="J30" s="7">
        <v>0</v>
      </c>
      <c r="K30" s="12">
        <v>0</v>
      </c>
      <c r="L30" s="7">
        <v>0</v>
      </c>
      <c r="M30" s="18">
        <f t="shared" si="0"/>
        <v>30</v>
      </c>
      <c r="N30" s="19">
        <f t="shared" si="1"/>
        <v>1</v>
      </c>
      <c r="O30" s="18">
        <f t="shared" si="2"/>
        <v>0</v>
      </c>
      <c r="P30" s="18" t="str">
        <f t="shared" si="3"/>
        <v>OK</v>
      </c>
      <c r="Q30" s="12" t="s">
        <v>175</v>
      </c>
      <c r="R30" s="10">
        <f t="shared" si="4"/>
        <v>0</v>
      </c>
      <c r="S30" s="10">
        <v>0</v>
      </c>
      <c r="T30" s="10">
        <v>0</v>
      </c>
      <c r="U30" s="10">
        <v>0</v>
      </c>
      <c r="V30" s="12"/>
    </row>
    <row r="31" spans="1:22" x14ac:dyDescent="0.25">
      <c r="A31" t="s">
        <v>96</v>
      </c>
      <c r="B31" t="s">
        <v>189</v>
      </c>
      <c r="C31" s="1">
        <v>46357</v>
      </c>
      <c r="D31" t="s">
        <v>174</v>
      </c>
      <c r="E31" s="10">
        <v>30</v>
      </c>
      <c r="F31" s="7">
        <v>1</v>
      </c>
      <c r="G31" s="10">
        <v>0</v>
      </c>
      <c r="H31" s="7">
        <v>0</v>
      </c>
      <c r="I31" s="10">
        <v>0</v>
      </c>
      <c r="J31" s="7">
        <v>0</v>
      </c>
      <c r="K31" s="12">
        <v>0</v>
      </c>
      <c r="L31" s="7">
        <v>0</v>
      </c>
      <c r="M31" s="18">
        <f t="shared" si="0"/>
        <v>30</v>
      </c>
      <c r="N31" s="19">
        <f t="shared" si="1"/>
        <v>1</v>
      </c>
      <c r="O31" s="18">
        <f t="shared" si="2"/>
        <v>0</v>
      </c>
      <c r="P31" s="18" t="str">
        <f t="shared" si="3"/>
        <v>OK</v>
      </c>
      <c r="Q31" s="12" t="s">
        <v>175</v>
      </c>
      <c r="R31" s="10">
        <f t="shared" si="4"/>
        <v>0</v>
      </c>
      <c r="S31" s="10">
        <v>0</v>
      </c>
      <c r="T31" s="10">
        <v>0</v>
      </c>
      <c r="U31" s="10">
        <v>0</v>
      </c>
      <c r="V31" s="12"/>
    </row>
    <row r="32" spans="1:22" x14ac:dyDescent="0.25">
      <c r="A32" t="s">
        <v>98</v>
      </c>
      <c r="B32" t="s">
        <v>173</v>
      </c>
      <c r="C32" s="1">
        <v>46023</v>
      </c>
      <c r="D32" t="s">
        <v>174</v>
      </c>
      <c r="E32" s="10">
        <v>30</v>
      </c>
      <c r="F32" s="7">
        <v>1</v>
      </c>
      <c r="G32" s="10">
        <v>0</v>
      </c>
      <c r="H32" s="7">
        <v>0</v>
      </c>
      <c r="I32" s="10">
        <v>0</v>
      </c>
      <c r="J32" s="7">
        <v>0</v>
      </c>
      <c r="K32" s="12">
        <v>0</v>
      </c>
      <c r="L32" s="7">
        <v>0</v>
      </c>
      <c r="M32" s="18">
        <f t="shared" si="0"/>
        <v>30</v>
      </c>
      <c r="N32" s="19">
        <f t="shared" si="1"/>
        <v>1</v>
      </c>
      <c r="O32" s="18">
        <f t="shared" si="2"/>
        <v>0</v>
      </c>
      <c r="P32" s="18" t="str">
        <f t="shared" si="3"/>
        <v>OK</v>
      </c>
      <c r="Q32" s="12" t="s">
        <v>175</v>
      </c>
      <c r="R32" s="10">
        <f t="shared" si="4"/>
        <v>0</v>
      </c>
      <c r="S32" s="10">
        <v>0</v>
      </c>
      <c r="T32" s="10">
        <v>0</v>
      </c>
      <c r="U32" s="10">
        <v>0</v>
      </c>
      <c r="V32" s="12"/>
    </row>
    <row r="33" spans="1:22" x14ac:dyDescent="0.25">
      <c r="A33" t="s">
        <v>98</v>
      </c>
      <c r="B33" t="s">
        <v>176</v>
      </c>
      <c r="C33" s="1">
        <v>46054</v>
      </c>
      <c r="D33" t="s">
        <v>174</v>
      </c>
      <c r="E33" s="10">
        <v>30</v>
      </c>
      <c r="F33" s="7">
        <v>1</v>
      </c>
      <c r="G33" s="10">
        <v>0</v>
      </c>
      <c r="H33" s="7">
        <v>0</v>
      </c>
      <c r="I33" s="10">
        <v>0</v>
      </c>
      <c r="J33" s="7">
        <v>0</v>
      </c>
      <c r="K33" s="12">
        <v>0</v>
      </c>
      <c r="L33" s="7">
        <v>0</v>
      </c>
      <c r="M33" s="18">
        <f t="shared" si="0"/>
        <v>30</v>
      </c>
      <c r="N33" s="19">
        <f t="shared" si="1"/>
        <v>1</v>
      </c>
      <c r="O33" s="18">
        <f t="shared" si="2"/>
        <v>0</v>
      </c>
      <c r="P33" s="18" t="str">
        <f t="shared" si="3"/>
        <v>OK</v>
      </c>
      <c r="Q33" s="12" t="s">
        <v>175</v>
      </c>
      <c r="R33" s="10">
        <f t="shared" si="4"/>
        <v>0</v>
      </c>
      <c r="S33" s="10">
        <v>0</v>
      </c>
      <c r="T33" s="10">
        <v>0</v>
      </c>
      <c r="U33" s="10">
        <v>0</v>
      </c>
      <c r="V33" s="12"/>
    </row>
    <row r="34" spans="1:22" x14ac:dyDescent="0.25">
      <c r="A34" t="s">
        <v>98</v>
      </c>
      <c r="B34" t="s">
        <v>177</v>
      </c>
      <c r="C34" s="1">
        <v>46082</v>
      </c>
      <c r="D34" t="s">
        <v>174</v>
      </c>
      <c r="E34" s="10">
        <v>30</v>
      </c>
      <c r="F34" s="7">
        <v>1</v>
      </c>
      <c r="G34" s="10">
        <v>0</v>
      </c>
      <c r="H34" s="7">
        <v>0</v>
      </c>
      <c r="I34" s="10">
        <v>0</v>
      </c>
      <c r="J34" s="7">
        <v>0</v>
      </c>
      <c r="K34" s="12">
        <v>0</v>
      </c>
      <c r="L34" s="7">
        <v>0</v>
      </c>
      <c r="M34" s="18">
        <f t="shared" si="0"/>
        <v>30</v>
      </c>
      <c r="N34" s="19">
        <f t="shared" si="1"/>
        <v>1</v>
      </c>
      <c r="O34" s="18">
        <f t="shared" si="2"/>
        <v>0</v>
      </c>
      <c r="P34" s="18" t="str">
        <f t="shared" si="3"/>
        <v>OK</v>
      </c>
      <c r="Q34" s="12" t="s">
        <v>175</v>
      </c>
      <c r="R34" s="10">
        <f t="shared" si="4"/>
        <v>0</v>
      </c>
      <c r="S34" s="10">
        <v>0</v>
      </c>
      <c r="T34" s="10">
        <v>0</v>
      </c>
      <c r="U34" s="10">
        <v>0</v>
      </c>
      <c r="V34" s="12"/>
    </row>
    <row r="35" spans="1:22" x14ac:dyDescent="0.25">
      <c r="A35" t="s">
        <v>98</v>
      </c>
      <c r="B35" t="s">
        <v>178</v>
      </c>
      <c r="C35" s="1">
        <v>46113</v>
      </c>
      <c r="D35" t="s">
        <v>174</v>
      </c>
      <c r="E35" s="10">
        <v>30</v>
      </c>
      <c r="F35" s="7">
        <v>1</v>
      </c>
      <c r="G35" s="10">
        <v>0</v>
      </c>
      <c r="H35" s="7">
        <v>0</v>
      </c>
      <c r="I35" s="10">
        <v>0</v>
      </c>
      <c r="J35" s="7">
        <v>0</v>
      </c>
      <c r="K35" s="12">
        <v>0</v>
      </c>
      <c r="L35" s="7">
        <v>0</v>
      </c>
      <c r="M35" s="18">
        <f t="shared" si="0"/>
        <v>30</v>
      </c>
      <c r="N35" s="19">
        <f t="shared" si="1"/>
        <v>1</v>
      </c>
      <c r="O35" s="18">
        <f t="shared" si="2"/>
        <v>0</v>
      </c>
      <c r="P35" s="18" t="str">
        <f t="shared" si="3"/>
        <v>OK</v>
      </c>
      <c r="Q35" s="12" t="s">
        <v>175</v>
      </c>
      <c r="R35" s="10">
        <f t="shared" si="4"/>
        <v>0</v>
      </c>
      <c r="S35" s="10">
        <v>0</v>
      </c>
      <c r="T35" s="10">
        <v>0</v>
      </c>
      <c r="U35" s="10">
        <v>0</v>
      </c>
      <c r="V35" s="12"/>
    </row>
    <row r="36" spans="1:22" x14ac:dyDescent="0.25">
      <c r="A36" t="s">
        <v>98</v>
      </c>
      <c r="B36" t="s">
        <v>179</v>
      </c>
      <c r="C36" s="1">
        <v>46143</v>
      </c>
      <c r="D36" t="s">
        <v>174</v>
      </c>
      <c r="E36" s="10">
        <v>30</v>
      </c>
      <c r="F36" s="7">
        <v>1</v>
      </c>
      <c r="G36" s="10">
        <v>0</v>
      </c>
      <c r="H36" s="7">
        <v>0</v>
      </c>
      <c r="I36" s="10">
        <v>0</v>
      </c>
      <c r="J36" s="7">
        <v>0</v>
      </c>
      <c r="K36" s="12">
        <v>0</v>
      </c>
      <c r="L36" s="7">
        <v>0</v>
      </c>
      <c r="M36" s="18">
        <f t="shared" si="0"/>
        <v>30</v>
      </c>
      <c r="N36" s="19">
        <f t="shared" si="1"/>
        <v>1</v>
      </c>
      <c r="O36" s="18">
        <f t="shared" si="2"/>
        <v>0</v>
      </c>
      <c r="P36" s="18" t="str">
        <f t="shared" si="3"/>
        <v>OK</v>
      </c>
      <c r="Q36" s="12" t="s">
        <v>175</v>
      </c>
      <c r="R36" s="10">
        <f t="shared" si="4"/>
        <v>0</v>
      </c>
      <c r="S36" s="10">
        <v>0</v>
      </c>
      <c r="T36" s="10">
        <v>0</v>
      </c>
      <c r="U36" s="10">
        <v>0</v>
      </c>
      <c r="V36" s="12"/>
    </row>
    <row r="37" spans="1:22" x14ac:dyDescent="0.25">
      <c r="A37" t="s">
        <v>98</v>
      </c>
      <c r="B37" t="s">
        <v>180</v>
      </c>
      <c r="C37" s="1">
        <v>46174</v>
      </c>
      <c r="D37" t="s">
        <v>174</v>
      </c>
      <c r="E37" s="10">
        <v>30</v>
      </c>
      <c r="F37" s="7">
        <v>1</v>
      </c>
      <c r="G37" s="10">
        <v>0</v>
      </c>
      <c r="H37" s="7">
        <v>0</v>
      </c>
      <c r="I37" s="10">
        <v>0</v>
      </c>
      <c r="J37" s="7">
        <v>0</v>
      </c>
      <c r="K37" s="12">
        <v>0</v>
      </c>
      <c r="L37" s="7">
        <v>0</v>
      </c>
      <c r="M37" s="18">
        <f t="shared" si="0"/>
        <v>30</v>
      </c>
      <c r="N37" s="19">
        <f t="shared" si="1"/>
        <v>1</v>
      </c>
      <c r="O37" s="18">
        <f t="shared" si="2"/>
        <v>0</v>
      </c>
      <c r="P37" s="18" t="str">
        <f t="shared" si="3"/>
        <v>OK</v>
      </c>
      <c r="Q37" s="12" t="s">
        <v>175</v>
      </c>
      <c r="R37" s="10">
        <f t="shared" si="4"/>
        <v>0</v>
      </c>
      <c r="S37" s="10">
        <v>0</v>
      </c>
      <c r="T37" s="10">
        <v>0</v>
      </c>
      <c r="U37" s="10">
        <v>0</v>
      </c>
      <c r="V37" s="12"/>
    </row>
    <row r="38" spans="1:22" x14ac:dyDescent="0.25">
      <c r="A38" t="s">
        <v>98</v>
      </c>
      <c r="B38" t="s">
        <v>181</v>
      </c>
      <c r="C38" s="1">
        <v>46204</v>
      </c>
      <c r="D38" t="s">
        <v>182</v>
      </c>
      <c r="E38" s="10">
        <v>30</v>
      </c>
      <c r="F38" s="7">
        <v>1</v>
      </c>
      <c r="G38" s="10">
        <v>0</v>
      </c>
      <c r="H38" s="7">
        <v>0</v>
      </c>
      <c r="I38" s="10">
        <v>0</v>
      </c>
      <c r="J38" s="7">
        <v>0</v>
      </c>
      <c r="K38" s="12">
        <v>0</v>
      </c>
      <c r="L38" s="7">
        <v>0</v>
      </c>
      <c r="M38" s="18">
        <f t="shared" si="0"/>
        <v>30</v>
      </c>
      <c r="N38" s="19">
        <f t="shared" si="1"/>
        <v>1</v>
      </c>
      <c r="O38" s="18">
        <f t="shared" si="2"/>
        <v>0</v>
      </c>
      <c r="P38" s="18" t="str">
        <f t="shared" si="3"/>
        <v>OK</v>
      </c>
      <c r="Q38" s="12" t="s">
        <v>175</v>
      </c>
      <c r="R38" s="10">
        <f t="shared" si="4"/>
        <v>0</v>
      </c>
      <c r="S38" s="10">
        <v>0</v>
      </c>
      <c r="T38" s="10">
        <v>0</v>
      </c>
      <c r="U38" s="10">
        <v>0</v>
      </c>
      <c r="V38" s="12"/>
    </row>
    <row r="39" spans="1:22" x14ac:dyDescent="0.25">
      <c r="A39" t="s">
        <v>98</v>
      </c>
      <c r="B39" t="s">
        <v>183</v>
      </c>
      <c r="C39" s="1">
        <v>46204</v>
      </c>
      <c r="D39" t="s">
        <v>174</v>
      </c>
      <c r="E39" s="10">
        <v>30</v>
      </c>
      <c r="F39" s="7">
        <v>1</v>
      </c>
      <c r="G39" s="10">
        <v>0</v>
      </c>
      <c r="H39" s="7">
        <v>0</v>
      </c>
      <c r="I39" s="10">
        <v>0</v>
      </c>
      <c r="J39" s="7">
        <v>0</v>
      </c>
      <c r="K39" s="12">
        <v>0</v>
      </c>
      <c r="L39" s="7">
        <v>0</v>
      </c>
      <c r="M39" s="18">
        <f t="shared" si="0"/>
        <v>30</v>
      </c>
      <c r="N39" s="19">
        <f t="shared" si="1"/>
        <v>1</v>
      </c>
      <c r="O39" s="18">
        <f t="shared" si="2"/>
        <v>0</v>
      </c>
      <c r="P39" s="18" t="str">
        <f t="shared" si="3"/>
        <v>OK</v>
      </c>
      <c r="Q39" s="12" t="s">
        <v>175</v>
      </c>
      <c r="R39" s="10">
        <f t="shared" si="4"/>
        <v>0</v>
      </c>
      <c r="S39" s="10">
        <v>0</v>
      </c>
      <c r="T39" s="10">
        <v>0</v>
      </c>
      <c r="U39" s="10">
        <v>0</v>
      </c>
      <c r="V39" s="12"/>
    </row>
    <row r="40" spans="1:22" x14ac:dyDescent="0.25">
      <c r="A40" t="s">
        <v>98</v>
      </c>
      <c r="B40" t="s">
        <v>184</v>
      </c>
      <c r="C40" s="1">
        <v>46235</v>
      </c>
      <c r="D40" t="s">
        <v>174</v>
      </c>
      <c r="E40" s="10">
        <v>30</v>
      </c>
      <c r="F40" s="7">
        <v>1</v>
      </c>
      <c r="G40" s="10">
        <v>0</v>
      </c>
      <c r="H40" s="7">
        <v>0</v>
      </c>
      <c r="I40" s="10">
        <v>0</v>
      </c>
      <c r="J40" s="7">
        <v>0</v>
      </c>
      <c r="K40" s="12">
        <v>0</v>
      </c>
      <c r="L40" s="7">
        <v>0</v>
      </c>
      <c r="M40" s="18">
        <f t="shared" si="0"/>
        <v>30</v>
      </c>
      <c r="N40" s="19">
        <f t="shared" si="1"/>
        <v>1</v>
      </c>
      <c r="O40" s="18">
        <f t="shared" si="2"/>
        <v>0</v>
      </c>
      <c r="P40" s="18" t="str">
        <f t="shared" si="3"/>
        <v>OK</v>
      </c>
      <c r="Q40" s="12" t="s">
        <v>175</v>
      </c>
      <c r="R40" s="10">
        <f t="shared" si="4"/>
        <v>0</v>
      </c>
      <c r="S40" s="10">
        <v>0</v>
      </c>
      <c r="T40" s="10">
        <v>0</v>
      </c>
      <c r="U40" s="10">
        <v>0</v>
      </c>
      <c r="V40" s="12"/>
    </row>
    <row r="41" spans="1:22" x14ac:dyDescent="0.25">
      <c r="A41" t="s">
        <v>98</v>
      </c>
      <c r="B41" t="s">
        <v>185</v>
      </c>
      <c r="C41" s="1">
        <v>46266</v>
      </c>
      <c r="D41" t="s">
        <v>174</v>
      </c>
      <c r="E41" s="10">
        <v>30</v>
      </c>
      <c r="F41" s="7">
        <v>1</v>
      </c>
      <c r="G41" s="10">
        <v>0</v>
      </c>
      <c r="H41" s="7">
        <v>0</v>
      </c>
      <c r="I41" s="10">
        <v>0</v>
      </c>
      <c r="J41" s="7">
        <v>0</v>
      </c>
      <c r="K41" s="12">
        <v>0</v>
      </c>
      <c r="L41" s="7">
        <v>0</v>
      </c>
      <c r="M41" s="18">
        <f t="shared" si="0"/>
        <v>30</v>
      </c>
      <c r="N41" s="19">
        <f t="shared" si="1"/>
        <v>1</v>
      </c>
      <c r="O41" s="18">
        <f t="shared" si="2"/>
        <v>0</v>
      </c>
      <c r="P41" s="18" t="str">
        <f t="shared" si="3"/>
        <v>OK</v>
      </c>
      <c r="Q41" s="12" t="s">
        <v>175</v>
      </c>
      <c r="R41" s="10">
        <f t="shared" si="4"/>
        <v>0</v>
      </c>
      <c r="S41" s="10">
        <v>0</v>
      </c>
      <c r="T41" s="10">
        <v>0</v>
      </c>
      <c r="U41" s="10">
        <v>0</v>
      </c>
      <c r="V41" s="12"/>
    </row>
    <row r="42" spans="1:22" x14ac:dyDescent="0.25">
      <c r="A42" t="s">
        <v>98</v>
      </c>
      <c r="B42" t="s">
        <v>186</v>
      </c>
      <c r="C42" s="1">
        <v>46296</v>
      </c>
      <c r="D42" t="s">
        <v>174</v>
      </c>
      <c r="E42" s="10">
        <v>30</v>
      </c>
      <c r="F42" s="7">
        <v>1</v>
      </c>
      <c r="G42" s="10">
        <v>0</v>
      </c>
      <c r="H42" s="7">
        <v>0</v>
      </c>
      <c r="I42" s="10">
        <v>0</v>
      </c>
      <c r="J42" s="7">
        <v>0</v>
      </c>
      <c r="K42" s="12">
        <v>0</v>
      </c>
      <c r="L42" s="7">
        <v>0</v>
      </c>
      <c r="M42" s="18">
        <f t="shared" si="0"/>
        <v>30</v>
      </c>
      <c r="N42" s="19">
        <f t="shared" si="1"/>
        <v>1</v>
      </c>
      <c r="O42" s="18">
        <f t="shared" si="2"/>
        <v>0</v>
      </c>
      <c r="P42" s="18" t="str">
        <f t="shared" si="3"/>
        <v>OK</v>
      </c>
      <c r="Q42" s="12" t="s">
        <v>175</v>
      </c>
      <c r="R42" s="10">
        <f t="shared" si="4"/>
        <v>0</v>
      </c>
      <c r="S42" s="10">
        <v>0</v>
      </c>
      <c r="T42" s="10">
        <v>0</v>
      </c>
      <c r="U42" s="10">
        <v>0</v>
      </c>
      <c r="V42" s="12"/>
    </row>
    <row r="43" spans="1:22" x14ac:dyDescent="0.25">
      <c r="A43" t="s">
        <v>98</v>
      </c>
      <c r="B43" t="s">
        <v>187</v>
      </c>
      <c r="C43" s="1">
        <v>46327</v>
      </c>
      <c r="D43" t="s">
        <v>174</v>
      </c>
      <c r="E43" s="10">
        <v>30</v>
      </c>
      <c r="F43" s="7">
        <v>1</v>
      </c>
      <c r="G43" s="10">
        <v>0</v>
      </c>
      <c r="H43" s="7">
        <v>0</v>
      </c>
      <c r="I43" s="10">
        <v>0</v>
      </c>
      <c r="J43" s="7">
        <v>0</v>
      </c>
      <c r="K43" s="12">
        <v>0</v>
      </c>
      <c r="L43" s="7">
        <v>0</v>
      </c>
      <c r="M43" s="18">
        <f t="shared" si="0"/>
        <v>30</v>
      </c>
      <c r="N43" s="19">
        <f t="shared" si="1"/>
        <v>1</v>
      </c>
      <c r="O43" s="18">
        <f t="shared" si="2"/>
        <v>0</v>
      </c>
      <c r="P43" s="18" t="str">
        <f t="shared" si="3"/>
        <v>OK</v>
      </c>
      <c r="Q43" s="12" t="s">
        <v>175</v>
      </c>
      <c r="R43" s="10">
        <f t="shared" si="4"/>
        <v>0</v>
      </c>
      <c r="S43" s="10">
        <v>0</v>
      </c>
      <c r="T43" s="10">
        <v>0</v>
      </c>
      <c r="U43" s="10">
        <v>0</v>
      </c>
      <c r="V43" s="12"/>
    </row>
    <row r="44" spans="1:22" x14ac:dyDescent="0.25">
      <c r="A44" t="s">
        <v>98</v>
      </c>
      <c r="B44" t="s">
        <v>188</v>
      </c>
      <c r="C44" s="1">
        <v>46357</v>
      </c>
      <c r="D44" t="s">
        <v>182</v>
      </c>
      <c r="E44" s="10">
        <v>30</v>
      </c>
      <c r="F44" s="7">
        <v>1</v>
      </c>
      <c r="G44" s="10">
        <v>0</v>
      </c>
      <c r="H44" s="7">
        <v>0</v>
      </c>
      <c r="I44" s="10">
        <v>0</v>
      </c>
      <c r="J44" s="7">
        <v>0</v>
      </c>
      <c r="K44" s="12">
        <v>0</v>
      </c>
      <c r="L44" s="7">
        <v>0</v>
      </c>
      <c r="M44" s="18">
        <f t="shared" si="0"/>
        <v>30</v>
      </c>
      <c r="N44" s="19">
        <f t="shared" si="1"/>
        <v>1</v>
      </c>
      <c r="O44" s="18">
        <f t="shared" si="2"/>
        <v>0</v>
      </c>
      <c r="P44" s="18" t="str">
        <f t="shared" si="3"/>
        <v>OK</v>
      </c>
      <c r="Q44" s="12" t="s">
        <v>175</v>
      </c>
      <c r="R44" s="10">
        <f t="shared" si="4"/>
        <v>0</v>
      </c>
      <c r="S44" s="10">
        <v>0</v>
      </c>
      <c r="T44" s="10">
        <v>0</v>
      </c>
      <c r="U44" s="10">
        <v>0</v>
      </c>
      <c r="V44" s="12"/>
    </row>
    <row r="45" spans="1:22" x14ac:dyDescent="0.25">
      <c r="A45" t="s">
        <v>98</v>
      </c>
      <c r="B45" t="s">
        <v>189</v>
      </c>
      <c r="C45" s="1">
        <v>46357</v>
      </c>
      <c r="D45" t="s">
        <v>174</v>
      </c>
      <c r="E45" s="10">
        <v>30</v>
      </c>
      <c r="F45" s="7">
        <v>1</v>
      </c>
      <c r="G45" s="10">
        <v>0</v>
      </c>
      <c r="H45" s="7">
        <v>0</v>
      </c>
      <c r="I45" s="10">
        <v>0</v>
      </c>
      <c r="J45" s="7">
        <v>0</v>
      </c>
      <c r="K45" s="12">
        <v>0</v>
      </c>
      <c r="L45" s="7">
        <v>0</v>
      </c>
      <c r="M45" s="18">
        <f t="shared" si="0"/>
        <v>30</v>
      </c>
      <c r="N45" s="19">
        <f t="shared" si="1"/>
        <v>1</v>
      </c>
      <c r="O45" s="18">
        <f t="shared" si="2"/>
        <v>0</v>
      </c>
      <c r="P45" s="18" t="str">
        <f t="shared" si="3"/>
        <v>OK</v>
      </c>
      <c r="Q45" s="12" t="s">
        <v>175</v>
      </c>
      <c r="R45" s="10">
        <f t="shared" si="4"/>
        <v>0</v>
      </c>
      <c r="S45" s="10">
        <v>0</v>
      </c>
      <c r="T45" s="10">
        <v>0</v>
      </c>
      <c r="U45" s="10">
        <v>0</v>
      </c>
      <c r="V45" s="12"/>
    </row>
    <row r="46" spans="1:22" x14ac:dyDescent="0.25">
      <c r="A46" t="s">
        <v>100</v>
      </c>
      <c r="B46" t="s">
        <v>173</v>
      </c>
      <c r="C46" s="1">
        <v>46023</v>
      </c>
      <c r="D46" t="s">
        <v>174</v>
      </c>
      <c r="E46" s="10">
        <v>30</v>
      </c>
      <c r="F46" s="7">
        <v>1</v>
      </c>
      <c r="G46" s="10">
        <v>0</v>
      </c>
      <c r="H46" s="7">
        <v>0</v>
      </c>
      <c r="I46" s="10">
        <v>0</v>
      </c>
      <c r="J46" s="7">
        <v>0</v>
      </c>
      <c r="K46" s="12">
        <v>0</v>
      </c>
      <c r="L46" s="7">
        <v>0</v>
      </c>
      <c r="M46" s="18">
        <f t="shared" si="0"/>
        <v>30</v>
      </c>
      <c r="N46" s="19">
        <f t="shared" si="1"/>
        <v>1</v>
      </c>
      <c r="O46" s="18">
        <f t="shared" si="2"/>
        <v>0</v>
      </c>
      <c r="P46" s="18" t="str">
        <f t="shared" si="3"/>
        <v>OK</v>
      </c>
      <c r="Q46" s="12" t="s">
        <v>175</v>
      </c>
      <c r="R46" s="10">
        <f t="shared" si="4"/>
        <v>0</v>
      </c>
      <c r="S46" s="10">
        <v>0</v>
      </c>
      <c r="T46" s="10">
        <v>0</v>
      </c>
      <c r="U46" s="10">
        <v>0</v>
      </c>
      <c r="V46" s="12"/>
    </row>
    <row r="47" spans="1:22" x14ac:dyDescent="0.25">
      <c r="A47" t="s">
        <v>100</v>
      </c>
      <c r="B47" t="s">
        <v>176</v>
      </c>
      <c r="C47" s="1">
        <v>46054</v>
      </c>
      <c r="D47" t="s">
        <v>174</v>
      </c>
      <c r="E47" s="10">
        <v>30</v>
      </c>
      <c r="F47" s="7">
        <v>1</v>
      </c>
      <c r="G47" s="10">
        <v>0</v>
      </c>
      <c r="H47" s="7">
        <v>0</v>
      </c>
      <c r="I47" s="10">
        <v>0</v>
      </c>
      <c r="J47" s="7">
        <v>0</v>
      </c>
      <c r="K47" s="12">
        <v>0</v>
      </c>
      <c r="L47" s="7">
        <v>0</v>
      </c>
      <c r="M47" s="18">
        <f t="shared" si="0"/>
        <v>30</v>
      </c>
      <c r="N47" s="19">
        <f t="shared" si="1"/>
        <v>1</v>
      </c>
      <c r="O47" s="18">
        <f t="shared" si="2"/>
        <v>0</v>
      </c>
      <c r="P47" s="18" t="str">
        <f t="shared" si="3"/>
        <v>OK</v>
      </c>
      <c r="Q47" s="12" t="s">
        <v>175</v>
      </c>
      <c r="R47" s="10">
        <f t="shared" si="4"/>
        <v>0</v>
      </c>
      <c r="S47" s="10">
        <v>0</v>
      </c>
      <c r="T47" s="10">
        <v>0</v>
      </c>
      <c r="U47" s="10">
        <v>0</v>
      </c>
      <c r="V47" s="12"/>
    </row>
    <row r="48" spans="1:22" x14ac:dyDescent="0.25">
      <c r="A48" t="s">
        <v>100</v>
      </c>
      <c r="B48" t="s">
        <v>177</v>
      </c>
      <c r="C48" s="1">
        <v>46082</v>
      </c>
      <c r="D48" t="s">
        <v>174</v>
      </c>
      <c r="E48" s="10">
        <v>30</v>
      </c>
      <c r="F48" s="7">
        <v>1</v>
      </c>
      <c r="G48" s="10">
        <v>0</v>
      </c>
      <c r="H48" s="7">
        <v>0</v>
      </c>
      <c r="I48" s="10">
        <v>0</v>
      </c>
      <c r="J48" s="7">
        <v>0</v>
      </c>
      <c r="K48" s="12">
        <v>0</v>
      </c>
      <c r="L48" s="7">
        <v>0</v>
      </c>
      <c r="M48" s="18">
        <f t="shared" si="0"/>
        <v>30</v>
      </c>
      <c r="N48" s="19">
        <f t="shared" si="1"/>
        <v>1</v>
      </c>
      <c r="O48" s="18">
        <f t="shared" si="2"/>
        <v>0</v>
      </c>
      <c r="P48" s="18" t="str">
        <f t="shared" si="3"/>
        <v>OK</v>
      </c>
      <c r="Q48" s="12" t="s">
        <v>175</v>
      </c>
      <c r="R48" s="10">
        <f t="shared" si="4"/>
        <v>0</v>
      </c>
      <c r="S48" s="10">
        <v>0</v>
      </c>
      <c r="T48" s="10">
        <v>0</v>
      </c>
      <c r="U48" s="10">
        <v>0</v>
      </c>
      <c r="V48" s="12"/>
    </row>
    <row r="49" spans="1:22" x14ac:dyDescent="0.25">
      <c r="A49" t="s">
        <v>100</v>
      </c>
      <c r="B49" t="s">
        <v>178</v>
      </c>
      <c r="C49" s="1">
        <v>46113</v>
      </c>
      <c r="D49" t="s">
        <v>174</v>
      </c>
      <c r="E49" s="10">
        <v>30</v>
      </c>
      <c r="F49" s="7">
        <v>1</v>
      </c>
      <c r="G49" s="10">
        <v>0</v>
      </c>
      <c r="H49" s="7">
        <v>0</v>
      </c>
      <c r="I49" s="10">
        <v>0</v>
      </c>
      <c r="J49" s="7">
        <v>0</v>
      </c>
      <c r="K49" s="12">
        <v>0</v>
      </c>
      <c r="L49" s="7">
        <v>0</v>
      </c>
      <c r="M49" s="18">
        <f t="shared" si="0"/>
        <v>30</v>
      </c>
      <c r="N49" s="19">
        <f t="shared" si="1"/>
        <v>1</v>
      </c>
      <c r="O49" s="18">
        <f t="shared" si="2"/>
        <v>0</v>
      </c>
      <c r="P49" s="18" t="str">
        <f t="shared" si="3"/>
        <v>OK</v>
      </c>
      <c r="Q49" s="12" t="s">
        <v>175</v>
      </c>
      <c r="R49" s="10">
        <f t="shared" si="4"/>
        <v>0</v>
      </c>
      <c r="S49" s="10">
        <v>0</v>
      </c>
      <c r="T49" s="10">
        <v>0</v>
      </c>
      <c r="U49" s="10">
        <v>0</v>
      </c>
      <c r="V49" s="12"/>
    </row>
    <row r="50" spans="1:22" x14ac:dyDescent="0.25">
      <c r="A50" t="s">
        <v>100</v>
      </c>
      <c r="B50" t="s">
        <v>179</v>
      </c>
      <c r="C50" s="1">
        <v>46143</v>
      </c>
      <c r="D50" t="s">
        <v>174</v>
      </c>
      <c r="E50" s="10">
        <v>30</v>
      </c>
      <c r="F50" s="7">
        <v>1</v>
      </c>
      <c r="G50" s="10">
        <v>0</v>
      </c>
      <c r="H50" s="7">
        <v>0</v>
      </c>
      <c r="I50" s="10">
        <v>0</v>
      </c>
      <c r="J50" s="7">
        <v>0</v>
      </c>
      <c r="K50" s="12">
        <v>0</v>
      </c>
      <c r="L50" s="7">
        <v>0</v>
      </c>
      <c r="M50" s="18">
        <f t="shared" si="0"/>
        <v>30</v>
      </c>
      <c r="N50" s="19">
        <f t="shared" si="1"/>
        <v>1</v>
      </c>
      <c r="O50" s="18">
        <f t="shared" si="2"/>
        <v>0</v>
      </c>
      <c r="P50" s="18" t="str">
        <f t="shared" si="3"/>
        <v>OK</v>
      </c>
      <c r="Q50" s="12" t="s">
        <v>175</v>
      </c>
      <c r="R50" s="10">
        <f t="shared" si="4"/>
        <v>0</v>
      </c>
      <c r="S50" s="10">
        <v>0</v>
      </c>
      <c r="T50" s="10">
        <v>0</v>
      </c>
      <c r="U50" s="10">
        <v>0</v>
      </c>
      <c r="V50" s="12"/>
    </row>
    <row r="51" spans="1:22" x14ac:dyDescent="0.25">
      <c r="A51" t="s">
        <v>100</v>
      </c>
      <c r="B51" t="s">
        <v>180</v>
      </c>
      <c r="C51" s="1">
        <v>46174</v>
      </c>
      <c r="D51" t="s">
        <v>174</v>
      </c>
      <c r="E51" s="10">
        <v>30</v>
      </c>
      <c r="F51" s="7">
        <v>1</v>
      </c>
      <c r="G51" s="10">
        <v>0</v>
      </c>
      <c r="H51" s="7">
        <v>0</v>
      </c>
      <c r="I51" s="10">
        <v>0</v>
      </c>
      <c r="J51" s="7">
        <v>0</v>
      </c>
      <c r="K51" s="12">
        <v>0</v>
      </c>
      <c r="L51" s="7">
        <v>0</v>
      </c>
      <c r="M51" s="18">
        <f t="shared" si="0"/>
        <v>30</v>
      </c>
      <c r="N51" s="19">
        <f t="shared" si="1"/>
        <v>1</v>
      </c>
      <c r="O51" s="18">
        <f t="shared" si="2"/>
        <v>0</v>
      </c>
      <c r="P51" s="18" t="str">
        <f t="shared" si="3"/>
        <v>OK</v>
      </c>
      <c r="Q51" s="12" t="s">
        <v>175</v>
      </c>
      <c r="R51" s="10">
        <f t="shared" si="4"/>
        <v>0</v>
      </c>
      <c r="S51" s="10">
        <v>0</v>
      </c>
      <c r="T51" s="10">
        <v>0</v>
      </c>
      <c r="U51" s="10">
        <v>0</v>
      </c>
      <c r="V51" s="12"/>
    </row>
    <row r="52" spans="1:22" x14ac:dyDescent="0.25">
      <c r="A52" t="s">
        <v>100</v>
      </c>
      <c r="B52" t="s">
        <v>181</v>
      </c>
      <c r="C52" s="1">
        <v>46204</v>
      </c>
      <c r="D52" t="s">
        <v>182</v>
      </c>
      <c r="E52" s="10">
        <v>30</v>
      </c>
      <c r="F52" s="7">
        <v>1</v>
      </c>
      <c r="G52" s="10">
        <v>0</v>
      </c>
      <c r="H52" s="7">
        <v>0</v>
      </c>
      <c r="I52" s="10">
        <v>0</v>
      </c>
      <c r="J52" s="7">
        <v>0</v>
      </c>
      <c r="K52" s="12">
        <v>0</v>
      </c>
      <c r="L52" s="7">
        <v>0</v>
      </c>
      <c r="M52" s="18">
        <f t="shared" si="0"/>
        <v>30</v>
      </c>
      <c r="N52" s="19">
        <f t="shared" si="1"/>
        <v>1</v>
      </c>
      <c r="O52" s="18">
        <f t="shared" si="2"/>
        <v>0</v>
      </c>
      <c r="P52" s="18" t="str">
        <f t="shared" si="3"/>
        <v>OK</v>
      </c>
      <c r="Q52" s="12" t="s">
        <v>175</v>
      </c>
      <c r="R52" s="10">
        <f t="shared" si="4"/>
        <v>0</v>
      </c>
      <c r="S52" s="10">
        <v>0</v>
      </c>
      <c r="T52" s="10">
        <v>0</v>
      </c>
      <c r="U52" s="10">
        <v>0</v>
      </c>
      <c r="V52" s="12"/>
    </row>
    <row r="53" spans="1:22" x14ac:dyDescent="0.25">
      <c r="A53" t="s">
        <v>100</v>
      </c>
      <c r="B53" t="s">
        <v>183</v>
      </c>
      <c r="C53" s="1">
        <v>46204</v>
      </c>
      <c r="D53" t="s">
        <v>174</v>
      </c>
      <c r="E53" s="10">
        <v>30</v>
      </c>
      <c r="F53" s="7">
        <v>1</v>
      </c>
      <c r="G53" s="10">
        <v>0</v>
      </c>
      <c r="H53" s="7">
        <v>0</v>
      </c>
      <c r="I53" s="10">
        <v>0</v>
      </c>
      <c r="J53" s="7">
        <v>0</v>
      </c>
      <c r="K53" s="12">
        <v>0</v>
      </c>
      <c r="L53" s="7">
        <v>0</v>
      </c>
      <c r="M53" s="18">
        <f t="shared" si="0"/>
        <v>30</v>
      </c>
      <c r="N53" s="19">
        <f t="shared" si="1"/>
        <v>1</v>
      </c>
      <c r="O53" s="18">
        <f t="shared" si="2"/>
        <v>0</v>
      </c>
      <c r="P53" s="18" t="str">
        <f t="shared" si="3"/>
        <v>OK</v>
      </c>
      <c r="Q53" s="12" t="s">
        <v>175</v>
      </c>
      <c r="R53" s="10">
        <f t="shared" si="4"/>
        <v>0</v>
      </c>
      <c r="S53" s="10">
        <v>0</v>
      </c>
      <c r="T53" s="10">
        <v>0</v>
      </c>
      <c r="U53" s="10">
        <v>0</v>
      </c>
      <c r="V53" s="12"/>
    </row>
    <row r="54" spans="1:22" x14ac:dyDescent="0.25">
      <c r="A54" t="s">
        <v>100</v>
      </c>
      <c r="B54" t="s">
        <v>184</v>
      </c>
      <c r="C54" s="1">
        <v>46235</v>
      </c>
      <c r="D54" t="s">
        <v>174</v>
      </c>
      <c r="E54" s="10">
        <v>30</v>
      </c>
      <c r="F54" s="7">
        <v>1</v>
      </c>
      <c r="G54" s="10">
        <v>0</v>
      </c>
      <c r="H54" s="7">
        <v>0</v>
      </c>
      <c r="I54" s="10">
        <v>0</v>
      </c>
      <c r="J54" s="7">
        <v>0</v>
      </c>
      <c r="K54" s="12">
        <v>0</v>
      </c>
      <c r="L54" s="7">
        <v>0</v>
      </c>
      <c r="M54" s="18">
        <f t="shared" si="0"/>
        <v>30</v>
      </c>
      <c r="N54" s="19">
        <f t="shared" si="1"/>
        <v>1</v>
      </c>
      <c r="O54" s="18">
        <f t="shared" si="2"/>
        <v>0</v>
      </c>
      <c r="P54" s="18" t="str">
        <f t="shared" si="3"/>
        <v>OK</v>
      </c>
      <c r="Q54" s="12" t="s">
        <v>175</v>
      </c>
      <c r="R54" s="10">
        <f t="shared" si="4"/>
        <v>0</v>
      </c>
      <c r="S54" s="10">
        <v>0</v>
      </c>
      <c r="T54" s="10">
        <v>0</v>
      </c>
      <c r="U54" s="10">
        <v>0</v>
      </c>
      <c r="V54" s="12"/>
    </row>
    <row r="55" spans="1:22" x14ac:dyDescent="0.25">
      <c r="A55" t="s">
        <v>100</v>
      </c>
      <c r="B55" t="s">
        <v>185</v>
      </c>
      <c r="C55" s="1">
        <v>46266</v>
      </c>
      <c r="D55" t="s">
        <v>174</v>
      </c>
      <c r="E55" s="10">
        <v>30</v>
      </c>
      <c r="F55" s="7">
        <v>1</v>
      </c>
      <c r="G55" s="10">
        <v>0</v>
      </c>
      <c r="H55" s="7">
        <v>0</v>
      </c>
      <c r="I55" s="10">
        <v>0</v>
      </c>
      <c r="J55" s="7">
        <v>0</v>
      </c>
      <c r="K55" s="12">
        <v>0</v>
      </c>
      <c r="L55" s="7">
        <v>0</v>
      </c>
      <c r="M55" s="18">
        <f t="shared" si="0"/>
        <v>30</v>
      </c>
      <c r="N55" s="19">
        <f t="shared" si="1"/>
        <v>1</v>
      </c>
      <c r="O55" s="18">
        <f t="shared" si="2"/>
        <v>0</v>
      </c>
      <c r="P55" s="18" t="str">
        <f t="shared" si="3"/>
        <v>OK</v>
      </c>
      <c r="Q55" s="12" t="s">
        <v>175</v>
      </c>
      <c r="R55" s="10">
        <f t="shared" si="4"/>
        <v>0</v>
      </c>
      <c r="S55" s="10">
        <v>0</v>
      </c>
      <c r="T55" s="10">
        <v>0</v>
      </c>
      <c r="U55" s="10">
        <v>0</v>
      </c>
      <c r="V55" s="12"/>
    </row>
    <row r="56" spans="1:22" x14ac:dyDescent="0.25">
      <c r="A56" t="s">
        <v>100</v>
      </c>
      <c r="B56" t="s">
        <v>186</v>
      </c>
      <c r="C56" s="1">
        <v>46296</v>
      </c>
      <c r="D56" t="s">
        <v>174</v>
      </c>
      <c r="E56" s="10">
        <v>30</v>
      </c>
      <c r="F56" s="7">
        <v>1</v>
      </c>
      <c r="G56" s="10">
        <v>0</v>
      </c>
      <c r="H56" s="7">
        <v>0</v>
      </c>
      <c r="I56" s="10">
        <v>0</v>
      </c>
      <c r="J56" s="7">
        <v>0</v>
      </c>
      <c r="K56" s="12">
        <v>0</v>
      </c>
      <c r="L56" s="7">
        <v>0</v>
      </c>
      <c r="M56" s="18">
        <f t="shared" si="0"/>
        <v>30</v>
      </c>
      <c r="N56" s="19">
        <f t="shared" si="1"/>
        <v>1</v>
      </c>
      <c r="O56" s="18">
        <f t="shared" si="2"/>
        <v>0</v>
      </c>
      <c r="P56" s="18" t="str">
        <f t="shared" si="3"/>
        <v>OK</v>
      </c>
      <c r="Q56" s="12" t="s">
        <v>175</v>
      </c>
      <c r="R56" s="10">
        <f t="shared" si="4"/>
        <v>0</v>
      </c>
      <c r="S56" s="10">
        <v>0</v>
      </c>
      <c r="T56" s="10">
        <v>0</v>
      </c>
      <c r="U56" s="10">
        <v>0</v>
      </c>
      <c r="V56" s="12"/>
    </row>
    <row r="57" spans="1:22" x14ac:dyDescent="0.25">
      <c r="A57" t="s">
        <v>100</v>
      </c>
      <c r="B57" t="s">
        <v>187</v>
      </c>
      <c r="C57" s="1">
        <v>46327</v>
      </c>
      <c r="D57" t="s">
        <v>174</v>
      </c>
      <c r="E57" s="10">
        <v>30</v>
      </c>
      <c r="F57" s="7">
        <v>1</v>
      </c>
      <c r="G57" s="10">
        <v>0</v>
      </c>
      <c r="H57" s="7">
        <v>0</v>
      </c>
      <c r="I57" s="10">
        <v>0</v>
      </c>
      <c r="J57" s="7">
        <v>0</v>
      </c>
      <c r="K57" s="12">
        <v>0</v>
      </c>
      <c r="L57" s="7">
        <v>0</v>
      </c>
      <c r="M57" s="18">
        <f t="shared" si="0"/>
        <v>30</v>
      </c>
      <c r="N57" s="19">
        <f t="shared" si="1"/>
        <v>1</v>
      </c>
      <c r="O57" s="18">
        <f t="shared" si="2"/>
        <v>0</v>
      </c>
      <c r="P57" s="18" t="str">
        <f t="shared" si="3"/>
        <v>OK</v>
      </c>
      <c r="Q57" s="12" t="s">
        <v>175</v>
      </c>
      <c r="R57" s="10">
        <f t="shared" si="4"/>
        <v>0</v>
      </c>
      <c r="S57" s="10">
        <v>0</v>
      </c>
      <c r="T57" s="10">
        <v>0</v>
      </c>
      <c r="U57" s="10">
        <v>0</v>
      </c>
      <c r="V57" s="12"/>
    </row>
    <row r="58" spans="1:22" x14ac:dyDescent="0.25">
      <c r="A58" t="s">
        <v>100</v>
      </c>
      <c r="B58" t="s">
        <v>188</v>
      </c>
      <c r="C58" s="1">
        <v>46357</v>
      </c>
      <c r="D58" t="s">
        <v>182</v>
      </c>
      <c r="E58" s="10">
        <v>30</v>
      </c>
      <c r="F58" s="7">
        <v>1</v>
      </c>
      <c r="G58" s="10">
        <v>0</v>
      </c>
      <c r="H58" s="7">
        <v>0</v>
      </c>
      <c r="I58" s="10">
        <v>0</v>
      </c>
      <c r="J58" s="7">
        <v>0</v>
      </c>
      <c r="K58" s="12">
        <v>0</v>
      </c>
      <c r="L58" s="7">
        <v>0</v>
      </c>
      <c r="M58" s="18">
        <f t="shared" si="0"/>
        <v>30</v>
      </c>
      <c r="N58" s="19">
        <f t="shared" si="1"/>
        <v>1</v>
      </c>
      <c r="O58" s="18">
        <f t="shared" si="2"/>
        <v>0</v>
      </c>
      <c r="P58" s="18" t="str">
        <f t="shared" si="3"/>
        <v>OK</v>
      </c>
      <c r="Q58" s="12" t="s">
        <v>175</v>
      </c>
      <c r="R58" s="10">
        <f t="shared" si="4"/>
        <v>0</v>
      </c>
      <c r="S58" s="10">
        <v>0</v>
      </c>
      <c r="T58" s="10">
        <v>0</v>
      </c>
      <c r="U58" s="10">
        <v>0</v>
      </c>
      <c r="V58" s="12"/>
    </row>
    <row r="59" spans="1:22" x14ac:dyDescent="0.25">
      <c r="A59" t="s">
        <v>100</v>
      </c>
      <c r="B59" t="s">
        <v>189</v>
      </c>
      <c r="C59" s="1">
        <v>46357</v>
      </c>
      <c r="D59" t="s">
        <v>174</v>
      </c>
      <c r="E59" s="10">
        <v>30</v>
      </c>
      <c r="F59" s="7">
        <v>1</v>
      </c>
      <c r="G59" s="10">
        <v>0</v>
      </c>
      <c r="H59" s="7">
        <v>0</v>
      </c>
      <c r="I59" s="10">
        <v>0</v>
      </c>
      <c r="J59" s="7">
        <v>0</v>
      </c>
      <c r="K59" s="12">
        <v>0</v>
      </c>
      <c r="L59" s="7">
        <v>0</v>
      </c>
      <c r="M59" s="18">
        <f t="shared" si="0"/>
        <v>30</v>
      </c>
      <c r="N59" s="19">
        <f t="shared" si="1"/>
        <v>1</v>
      </c>
      <c r="O59" s="18">
        <f t="shared" si="2"/>
        <v>0</v>
      </c>
      <c r="P59" s="18" t="str">
        <f t="shared" si="3"/>
        <v>OK</v>
      </c>
      <c r="Q59" s="12" t="s">
        <v>175</v>
      </c>
      <c r="R59" s="10">
        <f t="shared" si="4"/>
        <v>0</v>
      </c>
      <c r="S59" s="10">
        <v>0</v>
      </c>
      <c r="T59" s="10">
        <v>0</v>
      </c>
      <c r="U59" s="10">
        <v>0</v>
      </c>
      <c r="V59" s="12"/>
    </row>
    <row r="60" spans="1:22" x14ac:dyDescent="0.25">
      <c r="A60" t="s">
        <v>102</v>
      </c>
      <c r="B60" t="s">
        <v>173</v>
      </c>
      <c r="C60" s="1">
        <v>46023</v>
      </c>
      <c r="D60" t="s">
        <v>174</v>
      </c>
      <c r="E60" s="10">
        <v>30</v>
      </c>
      <c r="F60" s="7">
        <v>1</v>
      </c>
      <c r="G60" s="10">
        <v>0</v>
      </c>
      <c r="H60" s="7">
        <v>0</v>
      </c>
      <c r="I60" s="10">
        <v>0</v>
      </c>
      <c r="J60" s="7">
        <v>0</v>
      </c>
      <c r="K60" s="12">
        <v>0</v>
      </c>
      <c r="L60" s="7">
        <v>0</v>
      </c>
      <c r="M60" s="18">
        <f t="shared" si="0"/>
        <v>30</v>
      </c>
      <c r="N60" s="19">
        <f t="shared" si="1"/>
        <v>1</v>
      </c>
      <c r="O60" s="18">
        <f t="shared" si="2"/>
        <v>0</v>
      </c>
      <c r="P60" s="18" t="str">
        <f t="shared" si="3"/>
        <v>OK</v>
      </c>
      <c r="Q60" s="12" t="s">
        <v>175</v>
      </c>
      <c r="R60" s="10">
        <f t="shared" si="4"/>
        <v>0</v>
      </c>
      <c r="S60" s="10">
        <v>0</v>
      </c>
      <c r="T60" s="10">
        <v>0</v>
      </c>
      <c r="U60" s="10">
        <v>0</v>
      </c>
      <c r="V60" s="12"/>
    </row>
    <row r="61" spans="1:22" x14ac:dyDescent="0.25">
      <c r="A61" t="s">
        <v>102</v>
      </c>
      <c r="B61" t="s">
        <v>176</v>
      </c>
      <c r="C61" s="1">
        <v>46054</v>
      </c>
      <c r="D61" t="s">
        <v>174</v>
      </c>
      <c r="E61" s="10">
        <v>30</v>
      </c>
      <c r="F61" s="7">
        <v>1</v>
      </c>
      <c r="G61" s="10">
        <v>0</v>
      </c>
      <c r="H61" s="7">
        <v>0</v>
      </c>
      <c r="I61" s="10">
        <v>0</v>
      </c>
      <c r="J61" s="7">
        <v>0</v>
      </c>
      <c r="K61" s="12">
        <v>0</v>
      </c>
      <c r="L61" s="7">
        <v>0</v>
      </c>
      <c r="M61" s="18">
        <f t="shared" si="0"/>
        <v>30</v>
      </c>
      <c r="N61" s="19">
        <f t="shared" si="1"/>
        <v>1</v>
      </c>
      <c r="O61" s="18">
        <f t="shared" si="2"/>
        <v>0</v>
      </c>
      <c r="P61" s="18" t="str">
        <f t="shared" si="3"/>
        <v>OK</v>
      </c>
      <c r="Q61" s="12" t="s">
        <v>175</v>
      </c>
      <c r="R61" s="10">
        <f t="shared" si="4"/>
        <v>0</v>
      </c>
      <c r="S61" s="10">
        <v>0</v>
      </c>
      <c r="T61" s="10">
        <v>0</v>
      </c>
      <c r="U61" s="10">
        <v>0</v>
      </c>
      <c r="V61" s="12"/>
    </row>
    <row r="62" spans="1:22" x14ac:dyDescent="0.25">
      <c r="A62" t="s">
        <v>102</v>
      </c>
      <c r="B62" t="s">
        <v>177</v>
      </c>
      <c r="C62" s="1">
        <v>46082</v>
      </c>
      <c r="D62" t="s">
        <v>174</v>
      </c>
      <c r="E62" s="10">
        <v>30</v>
      </c>
      <c r="F62" s="7">
        <v>1</v>
      </c>
      <c r="G62" s="10">
        <v>0</v>
      </c>
      <c r="H62" s="7">
        <v>0</v>
      </c>
      <c r="I62" s="10">
        <v>0</v>
      </c>
      <c r="J62" s="7">
        <v>0</v>
      </c>
      <c r="K62" s="12">
        <v>0</v>
      </c>
      <c r="L62" s="7">
        <v>0</v>
      </c>
      <c r="M62" s="18">
        <f t="shared" si="0"/>
        <v>30</v>
      </c>
      <c r="N62" s="19">
        <f t="shared" si="1"/>
        <v>1</v>
      </c>
      <c r="O62" s="18">
        <f t="shared" si="2"/>
        <v>0</v>
      </c>
      <c r="P62" s="18" t="str">
        <f t="shared" si="3"/>
        <v>OK</v>
      </c>
      <c r="Q62" s="12" t="s">
        <v>175</v>
      </c>
      <c r="R62" s="10">
        <f t="shared" si="4"/>
        <v>0</v>
      </c>
      <c r="S62" s="10">
        <v>0</v>
      </c>
      <c r="T62" s="10">
        <v>0</v>
      </c>
      <c r="U62" s="10">
        <v>0</v>
      </c>
      <c r="V62" s="12"/>
    </row>
    <row r="63" spans="1:22" x14ac:dyDescent="0.25">
      <c r="A63" t="s">
        <v>102</v>
      </c>
      <c r="B63" t="s">
        <v>178</v>
      </c>
      <c r="C63" s="1">
        <v>46113</v>
      </c>
      <c r="D63" t="s">
        <v>174</v>
      </c>
      <c r="E63" s="10">
        <v>30</v>
      </c>
      <c r="F63" s="7">
        <v>1</v>
      </c>
      <c r="G63" s="10">
        <v>0</v>
      </c>
      <c r="H63" s="7">
        <v>0</v>
      </c>
      <c r="I63" s="10">
        <v>0</v>
      </c>
      <c r="J63" s="7">
        <v>0</v>
      </c>
      <c r="K63" s="12">
        <v>0</v>
      </c>
      <c r="L63" s="7">
        <v>0</v>
      </c>
      <c r="M63" s="18">
        <f t="shared" si="0"/>
        <v>30</v>
      </c>
      <c r="N63" s="19">
        <f t="shared" si="1"/>
        <v>1</v>
      </c>
      <c r="O63" s="18">
        <f t="shared" si="2"/>
        <v>0</v>
      </c>
      <c r="P63" s="18" t="str">
        <f t="shared" si="3"/>
        <v>OK</v>
      </c>
      <c r="Q63" s="12" t="s">
        <v>175</v>
      </c>
      <c r="R63" s="10">
        <f t="shared" si="4"/>
        <v>0</v>
      </c>
      <c r="S63" s="10">
        <v>0</v>
      </c>
      <c r="T63" s="10">
        <v>0</v>
      </c>
      <c r="U63" s="10">
        <v>0</v>
      </c>
      <c r="V63" s="12"/>
    </row>
    <row r="64" spans="1:22" x14ac:dyDescent="0.25">
      <c r="A64" t="s">
        <v>102</v>
      </c>
      <c r="B64" t="s">
        <v>179</v>
      </c>
      <c r="C64" s="1">
        <v>46143</v>
      </c>
      <c r="D64" t="s">
        <v>174</v>
      </c>
      <c r="E64" s="10">
        <v>30</v>
      </c>
      <c r="F64" s="7">
        <v>1</v>
      </c>
      <c r="G64" s="10">
        <v>0</v>
      </c>
      <c r="H64" s="7">
        <v>0</v>
      </c>
      <c r="I64" s="10">
        <v>0</v>
      </c>
      <c r="J64" s="7">
        <v>0</v>
      </c>
      <c r="K64" s="12">
        <v>0</v>
      </c>
      <c r="L64" s="7">
        <v>0</v>
      </c>
      <c r="M64" s="18">
        <f t="shared" si="0"/>
        <v>30</v>
      </c>
      <c r="N64" s="19">
        <f t="shared" si="1"/>
        <v>1</v>
      </c>
      <c r="O64" s="18">
        <f t="shared" si="2"/>
        <v>0</v>
      </c>
      <c r="P64" s="18" t="str">
        <f t="shared" si="3"/>
        <v>OK</v>
      </c>
      <c r="Q64" s="12" t="s">
        <v>175</v>
      </c>
      <c r="R64" s="10">
        <f t="shared" si="4"/>
        <v>0</v>
      </c>
      <c r="S64" s="10">
        <v>0</v>
      </c>
      <c r="T64" s="10">
        <v>0</v>
      </c>
      <c r="U64" s="10">
        <v>0</v>
      </c>
      <c r="V64" s="12"/>
    </row>
    <row r="65" spans="1:22" x14ac:dyDescent="0.25">
      <c r="A65" t="s">
        <v>102</v>
      </c>
      <c r="B65" t="s">
        <v>180</v>
      </c>
      <c r="C65" s="1">
        <v>46174</v>
      </c>
      <c r="D65" t="s">
        <v>174</v>
      </c>
      <c r="E65" s="10">
        <v>30</v>
      </c>
      <c r="F65" s="7">
        <v>1</v>
      </c>
      <c r="G65" s="10">
        <v>0</v>
      </c>
      <c r="H65" s="7">
        <v>0</v>
      </c>
      <c r="I65" s="10">
        <v>0</v>
      </c>
      <c r="J65" s="7">
        <v>0</v>
      </c>
      <c r="K65" s="12">
        <v>0</v>
      </c>
      <c r="L65" s="7">
        <v>0</v>
      </c>
      <c r="M65" s="18">
        <f t="shared" si="0"/>
        <v>30</v>
      </c>
      <c r="N65" s="19">
        <f t="shared" si="1"/>
        <v>1</v>
      </c>
      <c r="O65" s="18">
        <f t="shared" si="2"/>
        <v>0</v>
      </c>
      <c r="P65" s="18" t="str">
        <f t="shared" si="3"/>
        <v>OK</v>
      </c>
      <c r="Q65" s="12" t="s">
        <v>175</v>
      </c>
      <c r="R65" s="10">
        <f t="shared" si="4"/>
        <v>0</v>
      </c>
      <c r="S65" s="10">
        <v>0</v>
      </c>
      <c r="T65" s="10">
        <v>0</v>
      </c>
      <c r="U65" s="10">
        <v>0</v>
      </c>
      <c r="V65" s="12"/>
    </row>
    <row r="66" spans="1:22" x14ac:dyDescent="0.25">
      <c r="A66" t="s">
        <v>102</v>
      </c>
      <c r="B66" t="s">
        <v>181</v>
      </c>
      <c r="C66" s="1">
        <v>46204</v>
      </c>
      <c r="D66" t="s">
        <v>182</v>
      </c>
      <c r="E66" s="10">
        <v>30</v>
      </c>
      <c r="F66" s="7">
        <v>1</v>
      </c>
      <c r="G66" s="10">
        <v>0</v>
      </c>
      <c r="H66" s="7">
        <v>0</v>
      </c>
      <c r="I66" s="10">
        <v>0</v>
      </c>
      <c r="J66" s="7">
        <v>0</v>
      </c>
      <c r="K66" s="12">
        <v>0</v>
      </c>
      <c r="L66" s="7">
        <v>0</v>
      </c>
      <c r="M66" s="18">
        <f t="shared" si="0"/>
        <v>30</v>
      </c>
      <c r="N66" s="19">
        <f t="shared" si="1"/>
        <v>1</v>
      </c>
      <c r="O66" s="18">
        <f t="shared" si="2"/>
        <v>0</v>
      </c>
      <c r="P66" s="18" t="str">
        <f t="shared" si="3"/>
        <v>OK</v>
      </c>
      <c r="Q66" s="12" t="s">
        <v>175</v>
      </c>
      <c r="R66" s="10">
        <f t="shared" si="4"/>
        <v>0</v>
      </c>
      <c r="S66" s="10">
        <v>0</v>
      </c>
      <c r="T66" s="10">
        <v>0</v>
      </c>
      <c r="U66" s="10">
        <v>0</v>
      </c>
      <c r="V66" s="12"/>
    </row>
    <row r="67" spans="1:22" x14ac:dyDescent="0.25">
      <c r="A67" t="s">
        <v>102</v>
      </c>
      <c r="B67" t="s">
        <v>183</v>
      </c>
      <c r="C67" s="1">
        <v>46204</v>
      </c>
      <c r="D67" t="s">
        <v>174</v>
      </c>
      <c r="E67" s="10">
        <v>30</v>
      </c>
      <c r="F67" s="7">
        <v>1</v>
      </c>
      <c r="G67" s="10">
        <v>0</v>
      </c>
      <c r="H67" s="7">
        <v>0</v>
      </c>
      <c r="I67" s="10">
        <v>0</v>
      </c>
      <c r="J67" s="7">
        <v>0</v>
      </c>
      <c r="K67" s="12">
        <v>0</v>
      </c>
      <c r="L67" s="7">
        <v>0</v>
      </c>
      <c r="M67" s="18">
        <f t="shared" si="0"/>
        <v>30</v>
      </c>
      <c r="N67" s="19">
        <f t="shared" si="1"/>
        <v>1</v>
      </c>
      <c r="O67" s="18">
        <f t="shared" si="2"/>
        <v>0</v>
      </c>
      <c r="P67" s="18" t="str">
        <f t="shared" si="3"/>
        <v>OK</v>
      </c>
      <c r="Q67" s="12" t="s">
        <v>175</v>
      </c>
      <c r="R67" s="10">
        <f t="shared" si="4"/>
        <v>0</v>
      </c>
      <c r="S67" s="10">
        <v>0</v>
      </c>
      <c r="T67" s="10">
        <v>0</v>
      </c>
      <c r="U67" s="10">
        <v>0</v>
      </c>
      <c r="V67" s="12"/>
    </row>
    <row r="68" spans="1:22" x14ac:dyDescent="0.25">
      <c r="A68" t="s">
        <v>102</v>
      </c>
      <c r="B68" t="s">
        <v>184</v>
      </c>
      <c r="C68" s="1">
        <v>46235</v>
      </c>
      <c r="D68" t="s">
        <v>174</v>
      </c>
      <c r="E68" s="10">
        <v>30</v>
      </c>
      <c r="F68" s="7">
        <v>1</v>
      </c>
      <c r="G68" s="10">
        <v>0</v>
      </c>
      <c r="H68" s="7">
        <v>0</v>
      </c>
      <c r="I68" s="10">
        <v>0</v>
      </c>
      <c r="J68" s="7">
        <v>0</v>
      </c>
      <c r="K68" s="12">
        <v>0</v>
      </c>
      <c r="L68" s="7">
        <v>0</v>
      </c>
      <c r="M68" s="18">
        <f t="shared" ref="M68:M131" si="5">SUM(E68,G68,I68,K68)</f>
        <v>30</v>
      </c>
      <c r="N68" s="19">
        <f t="shared" ref="N68:N131" si="6">IF(M68=0,0,(E68*F68+G68*H68+I68*J68+K68*L68)/30)</f>
        <v>1</v>
      </c>
      <c r="O68" s="18">
        <f t="shared" ref="O68:O131" si="7">IF(Q68="Nacimiento/cuidado menor",E68*(1-F68)+G68*(1-H68)+I68*(1-J68)+K68*(1-L68),0)</f>
        <v>0</v>
      </c>
      <c r="P68" s="18" t="str">
        <f t="shared" ref="P68:P131" si="8">IF(M68=30,"OK","ERROR · "&amp;M68&amp;" días")</f>
        <v>OK</v>
      </c>
      <c r="Q68" s="12" t="s">
        <v>175</v>
      </c>
      <c r="R68" s="10">
        <f t="shared" ref="R68:R131" si="9">IF($Q68="Nacimiento/cuidado menor",IF($W68&gt;0,$W68/30,0),0)</f>
        <v>0</v>
      </c>
      <c r="S68" s="10">
        <v>0</v>
      </c>
      <c r="T68" s="10">
        <v>0</v>
      </c>
      <c r="U68" s="10">
        <v>0</v>
      </c>
      <c r="V68" s="12"/>
    </row>
    <row r="69" spans="1:22" x14ac:dyDescent="0.25">
      <c r="A69" t="s">
        <v>102</v>
      </c>
      <c r="B69" t="s">
        <v>185</v>
      </c>
      <c r="C69" s="1">
        <v>46266</v>
      </c>
      <c r="D69" t="s">
        <v>174</v>
      </c>
      <c r="E69" s="10">
        <v>30</v>
      </c>
      <c r="F69" s="7">
        <v>1</v>
      </c>
      <c r="G69" s="10">
        <v>0</v>
      </c>
      <c r="H69" s="7">
        <v>0</v>
      </c>
      <c r="I69" s="10">
        <v>0</v>
      </c>
      <c r="J69" s="7">
        <v>0</v>
      </c>
      <c r="K69" s="12">
        <v>0</v>
      </c>
      <c r="L69" s="7">
        <v>0</v>
      </c>
      <c r="M69" s="18">
        <f t="shared" si="5"/>
        <v>30</v>
      </c>
      <c r="N69" s="19">
        <f t="shared" si="6"/>
        <v>1</v>
      </c>
      <c r="O69" s="18">
        <f t="shared" si="7"/>
        <v>0</v>
      </c>
      <c r="P69" s="18" t="str">
        <f t="shared" si="8"/>
        <v>OK</v>
      </c>
      <c r="Q69" s="12" t="s">
        <v>175</v>
      </c>
      <c r="R69" s="10">
        <f t="shared" si="9"/>
        <v>0</v>
      </c>
      <c r="S69" s="10">
        <v>0</v>
      </c>
      <c r="T69" s="10">
        <v>0</v>
      </c>
      <c r="U69" s="10">
        <v>0</v>
      </c>
      <c r="V69" s="12"/>
    </row>
    <row r="70" spans="1:22" x14ac:dyDescent="0.25">
      <c r="A70" t="s">
        <v>102</v>
      </c>
      <c r="B70" t="s">
        <v>186</v>
      </c>
      <c r="C70" s="1">
        <v>46296</v>
      </c>
      <c r="D70" t="s">
        <v>174</v>
      </c>
      <c r="E70" s="10">
        <v>30</v>
      </c>
      <c r="F70" s="7">
        <v>1</v>
      </c>
      <c r="G70" s="10">
        <v>0</v>
      </c>
      <c r="H70" s="7">
        <v>0</v>
      </c>
      <c r="I70" s="10">
        <v>0</v>
      </c>
      <c r="J70" s="7">
        <v>0</v>
      </c>
      <c r="K70" s="12">
        <v>0</v>
      </c>
      <c r="L70" s="7">
        <v>0</v>
      </c>
      <c r="M70" s="18">
        <f t="shared" si="5"/>
        <v>30</v>
      </c>
      <c r="N70" s="19">
        <f t="shared" si="6"/>
        <v>1</v>
      </c>
      <c r="O70" s="18">
        <f t="shared" si="7"/>
        <v>0</v>
      </c>
      <c r="P70" s="18" t="str">
        <f t="shared" si="8"/>
        <v>OK</v>
      </c>
      <c r="Q70" s="12" t="s">
        <v>175</v>
      </c>
      <c r="R70" s="10">
        <f t="shared" si="9"/>
        <v>0</v>
      </c>
      <c r="S70" s="10">
        <v>0</v>
      </c>
      <c r="T70" s="10">
        <v>0</v>
      </c>
      <c r="U70" s="10">
        <v>0</v>
      </c>
      <c r="V70" s="12"/>
    </row>
    <row r="71" spans="1:22" x14ac:dyDescent="0.25">
      <c r="A71" t="s">
        <v>102</v>
      </c>
      <c r="B71" t="s">
        <v>187</v>
      </c>
      <c r="C71" s="1">
        <v>46327</v>
      </c>
      <c r="D71" t="s">
        <v>174</v>
      </c>
      <c r="E71" s="10">
        <v>30</v>
      </c>
      <c r="F71" s="7">
        <v>1</v>
      </c>
      <c r="G71" s="10">
        <v>0</v>
      </c>
      <c r="H71" s="7">
        <v>0</v>
      </c>
      <c r="I71" s="10">
        <v>0</v>
      </c>
      <c r="J71" s="7">
        <v>0</v>
      </c>
      <c r="K71" s="12">
        <v>0</v>
      </c>
      <c r="L71" s="7">
        <v>0</v>
      </c>
      <c r="M71" s="18">
        <f t="shared" si="5"/>
        <v>30</v>
      </c>
      <c r="N71" s="19">
        <f t="shared" si="6"/>
        <v>1</v>
      </c>
      <c r="O71" s="18">
        <f t="shared" si="7"/>
        <v>0</v>
      </c>
      <c r="P71" s="18" t="str">
        <f t="shared" si="8"/>
        <v>OK</v>
      </c>
      <c r="Q71" s="12" t="s">
        <v>175</v>
      </c>
      <c r="R71" s="10">
        <f t="shared" si="9"/>
        <v>0</v>
      </c>
      <c r="S71" s="10">
        <v>0</v>
      </c>
      <c r="T71" s="10">
        <v>0</v>
      </c>
      <c r="U71" s="10">
        <v>0</v>
      </c>
      <c r="V71" s="12"/>
    </row>
    <row r="72" spans="1:22" x14ac:dyDescent="0.25">
      <c r="A72" t="s">
        <v>102</v>
      </c>
      <c r="B72" t="s">
        <v>188</v>
      </c>
      <c r="C72" s="1">
        <v>46357</v>
      </c>
      <c r="D72" t="s">
        <v>182</v>
      </c>
      <c r="E72" s="10">
        <v>30</v>
      </c>
      <c r="F72" s="7">
        <v>1</v>
      </c>
      <c r="G72" s="10">
        <v>0</v>
      </c>
      <c r="H72" s="7">
        <v>0</v>
      </c>
      <c r="I72" s="10">
        <v>0</v>
      </c>
      <c r="J72" s="7">
        <v>0</v>
      </c>
      <c r="K72" s="12">
        <v>0</v>
      </c>
      <c r="L72" s="7">
        <v>0</v>
      </c>
      <c r="M72" s="18">
        <f t="shared" si="5"/>
        <v>30</v>
      </c>
      <c r="N72" s="19">
        <f t="shared" si="6"/>
        <v>1</v>
      </c>
      <c r="O72" s="18">
        <f t="shared" si="7"/>
        <v>0</v>
      </c>
      <c r="P72" s="18" t="str">
        <f t="shared" si="8"/>
        <v>OK</v>
      </c>
      <c r="Q72" s="12" t="s">
        <v>175</v>
      </c>
      <c r="R72" s="10">
        <f t="shared" si="9"/>
        <v>0</v>
      </c>
      <c r="S72" s="10">
        <v>0</v>
      </c>
      <c r="T72" s="10">
        <v>0</v>
      </c>
      <c r="U72" s="10">
        <v>0</v>
      </c>
      <c r="V72" s="12"/>
    </row>
    <row r="73" spans="1:22" x14ac:dyDescent="0.25">
      <c r="A73" t="s">
        <v>102</v>
      </c>
      <c r="B73" t="s">
        <v>189</v>
      </c>
      <c r="C73" s="1">
        <v>46357</v>
      </c>
      <c r="D73" t="s">
        <v>174</v>
      </c>
      <c r="E73" s="10">
        <v>30</v>
      </c>
      <c r="F73" s="7">
        <v>1</v>
      </c>
      <c r="G73" s="10">
        <v>0</v>
      </c>
      <c r="H73" s="7">
        <v>0</v>
      </c>
      <c r="I73" s="10">
        <v>0</v>
      </c>
      <c r="J73" s="7">
        <v>0</v>
      </c>
      <c r="K73" s="12">
        <v>0</v>
      </c>
      <c r="L73" s="7">
        <v>0</v>
      </c>
      <c r="M73" s="18">
        <f t="shared" si="5"/>
        <v>30</v>
      </c>
      <c r="N73" s="19">
        <f t="shared" si="6"/>
        <v>1</v>
      </c>
      <c r="O73" s="18">
        <f t="shared" si="7"/>
        <v>0</v>
      </c>
      <c r="P73" s="18" t="str">
        <f t="shared" si="8"/>
        <v>OK</v>
      </c>
      <c r="Q73" s="12" t="s">
        <v>175</v>
      </c>
      <c r="R73" s="10">
        <f t="shared" si="9"/>
        <v>0</v>
      </c>
      <c r="S73" s="10">
        <v>0</v>
      </c>
      <c r="T73" s="10">
        <v>0</v>
      </c>
      <c r="U73" s="10">
        <v>0</v>
      </c>
      <c r="V73" s="12"/>
    </row>
    <row r="74" spans="1:22" x14ac:dyDescent="0.25">
      <c r="A74" t="s">
        <v>104</v>
      </c>
      <c r="B74" t="s">
        <v>173</v>
      </c>
      <c r="C74" s="1">
        <v>46023</v>
      </c>
      <c r="D74" t="s">
        <v>174</v>
      </c>
      <c r="E74" s="10">
        <v>30</v>
      </c>
      <c r="F74" s="7">
        <v>1</v>
      </c>
      <c r="G74" s="10">
        <v>0</v>
      </c>
      <c r="H74" s="7">
        <v>0</v>
      </c>
      <c r="I74" s="10">
        <v>0</v>
      </c>
      <c r="J74" s="7">
        <v>0</v>
      </c>
      <c r="K74" s="12">
        <v>0</v>
      </c>
      <c r="L74" s="7">
        <v>0</v>
      </c>
      <c r="M74" s="18">
        <f t="shared" si="5"/>
        <v>30</v>
      </c>
      <c r="N74" s="19">
        <f t="shared" si="6"/>
        <v>1</v>
      </c>
      <c r="O74" s="18">
        <f t="shared" si="7"/>
        <v>0</v>
      </c>
      <c r="P74" s="18" t="str">
        <f t="shared" si="8"/>
        <v>OK</v>
      </c>
      <c r="Q74" s="12" t="s">
        <v>175</v>
      </c>
      <c r="R74" s="10">
        <f t="shared" si="9"/>
        <v>0</v>
      </c>
      <c r="S74" s="10">
        <v>0</v>
      </c>
      <c r="T74" s="10">
        <v>0</v>
      </c>
      <c r="U74" s="10">
        <v>0</v>
      </c>
      <c r="V74" s="12"/>
    </row>
    <row r="75" spans="1:22" x14ac:dyDescent="0.25">
      <c r="A75" t="s">
        <v>104</v>
      </c>
      <c r="B75" t="s">
        <v>176</v>
      </c>
      <c r="C75" s="1">
        <v>46054</v>
      </c>
      <c r="D75" t="s">
        <v>174</v>
      </c>
      <c r="E75" s="10">
        <v>30</v>
      </c>
      <c r="F75" s="7">
        <v>1</v>
      </c>
      <c r="G75" s="10">
        <v>0</v>
      </c>
      <c r="H75" s="7">
        <v>0</v>
      </c>
      <c r="I75" s="10">
        <v>0</v>
      </c>
      <c r="J75" s="7">
        <v>0</v>
      </c>
      <c r="K75" s="12">
        <v>0</v>
      </c>
      <c r="L75" s="7">
        <v>0</v>
      </c>
      <c r="M75" s="18">
        <f t="shared" si="5"/>
        <v>30</v>
      </c>
      <c r="N75" s="19">
        <f t="shared" si="6"/>
        <v>1</v>
      </c>
      <c r="O75" s="18">
        <f t="shared" si="7"/>
        <v>0</v>
      </c>
      <c r="P75" s="18" t="str">
        <f t="shared" si="8"/>
        <v>OK</v>
      </c>
      <c r="Q75" s="12" t="s">
        <v>175</v>
      </c>
      <c r="R75" s="10">
        <f t="shared" si="9"/>
        <v>0</v>
      </c>
      <c r="S75" s="10">
        <v>0</v>
      </c>
      <c r="T75" s="10">
        <v>0</v>
      </c>
      <c r="U75" s="10">
        <v>0</v>
      </c>
      <c r="V75" s="12"/>
    </row>
    <row r="76" spans="1:22" x14ac:dyDescent="0.25">
      <c r="A76" t="s">
        <v>104</v>
      </c>
      <c r="B76" t="s">
        <v>177</v>
      </c>
      <c r="C76" s="1">
        <v>46082</v>
      </c>
      <c r="D76" t="s">
        <v>174</v>
      </c>
      <c r="E76" s="10">
        <v>30</v>
      </c>
      <c r="F76" s="7">
        <v>1</v>
      </c>
      <c r="G76" s="10">
        <v>0</v>
      </c>
      <c r="H76" s="7">
        <v>0</v>
      </c>
      <c r="I76" s="10">
        <v>0</v>
      </c>
      <c r="J76" s="7">
        <v>0</v>
      </c>
      <c r="K76" s="12">
        <v>0</v>
      </c>
      <c r="L76" s="7">
        <v>0</v>
      </c>
      <c r="M76" s="18">
        <f t="shared" si="5"/>
        <v>30</v>
      </c>
      <c r="N76" s="19">
        <f t="shared" si="6"/>
        <v>1</v>
      </c>
      <c r="O76" s="18">
        <f t="shared" si="7"/>
        <v>0</v>
      </c>
      <c r="P76" s="18" t="str">
        <f t="shared" si="8"/>
        <v>OK</v>
      </c>
      <c r="Q76" s="12" t="s">
        <v>175</v>
      </c>
      <c r="R76" s="10">
        <f t="shared" si="9"/>
        <v>0</v>
      </c>
      <c r="S76" s="10">
        <v>0</v>
      </c>
      <c r="T76" s="10">
        <v>0</v>
      </c>
      <c r="U76" s="10">
        <v>0</v>
      </c>
      <c r="V76" s="12"/>
    </row>
    <row r="77" spans="1:22" x14ac:dyDescent="0.25">
      <c r="A77" t="s">
        <v>104</v>
      </c>
      <c r="B77" t="s">
        <v>178</v>
      </c>
      <c r="C77" s="1">
        <v>46113</v>
      </c>
      <c r="D77" t="s">
        <v>174</v>
      </c>
      <c r="E77" s="10">
        <v>30</v>
      </c>
      <c r="F77" s="7">
        <v>1</v>
      </c>
      <c r="G77" s="10">
        <v>0</v>
      </c>
      <c r="H77" s="7">
        <v>0</v>
      </c>
      <c r="I77" s="10">
        <v>0</v>
      </c>
      <c r="J77" s="7">
        <v>0</v>
      </c>
      <c r="K77" s="12">
        <v>0</v>
      </c>
      <c r="L77" s="7">
        <v>0</v>
      </c>
      <c r="M77" s="18">
        <f t="shared" si="5"/>
        <v>30</v>
      </c>
      <c r="N77" s="19">
        <f t="shared" si="6"/>
        <v>1</v>
      </c>
      <c r="O77" s="18">
        <f t="shared" si="7"/>
        <v>0</v>
      </c>
      <c r="P77" s="18" t="str">
        <f t="shared" si="8"/>
        <v>OK</v>
      </c>
      <c r="Q77" s="12" t="s">
        <v>175</v>
      </c>
      <c r="R77" s="10">
        <f t="shared" si="9"/>
        <v>0</v>
      </c>
      <c r="S77" s="10">
        <v>0</v>
      </c>
      <c r="T77" s="10">
        <v>0</v>
      </c>
      <c r="U77" s="10">
        <v>0</v>
      </c>
      <c r="V77" s="12"/>
    </row>
    <row r="78" spans="1:22" x14ac:dyDescent="0.25">
      <c r="A78" t="s">
        <v>104</v>
      </c>
      <c r="B78" t="s">
        <v>179</v>
      </c>
      <c r="C78" s="1">
        <v>46143</v>
      </c>
      <c r="D78" t="s">
        <v>174</v>
      </c>
      <c r="E78" s="10">
        <v>30</v>
      </c>
      <c r="F78" s="7">
        <v>1</v>
      </c>
      <c r="G78" s="10">
        <v>0</v>
      </c>
      <c r="H78" s="7">
        <v>0</v>
      </c>
      <c r="I78" s="10">
        <v>0</v>
      </c>
      <c r="J78" s="7">
        <v>0</v>
      </c>
      <c r="K78" s="12">
        <v>0</v>
      </c>
      <c r="L78" s="7">
        <v>0</v>
      </c>
      <c r="M78" s="18">
        <f t="shared" si="5"/>
        <v>30</v>
      </c>
      <c r="N78" s="19">
        <f t="shared" si="6"/>
        <v>1</v>
      </c>
      <c r="O78" s="18">
        <f t="shared" si="7"/>
        <v>0</v>
      </c>
      <c r="P78" s="18" t="str">
        <f t="shared" si="8"/>
        <v>OK</v>
      </c>
      <c r="Q78" s="12" t="s">
        <v>175</v>
      </c>
      <c r="R78" s="10">
        <f t="shared" si="9"/>
        <v>0</v>
      </c>
      <c r="S78" s="10">
        <v>0</v>
      </c>
      <c r="T78" s="10">
        <v>0</v>
      </c>
      <c r="U78" s="10">
        <v>0</v>
      </c>
      <c r="V78" s="12"/>
    </row>
    <row r="79" spans="1:22" x14ac:dyDescent="0.25">
      <c r="A79" t="s">
        <v>104</v>
      </c>
      <c r="B79" t="s">
        <v>180</v>
      </c>
      <c r="C79" s="1">
        <v>46174</v>
      </c>
      <c r="D79" t="s">
        <v>174</v>
      </c>
      <c r="E79" s="10">
        <v>30</v>
      </c>
      <c r="F79" s="7">
        <v>1</v>
      </c>
      <c r="G79" s="10">
        <v>0</v>
      </c>
      <c r="H79" s="7">
        <v>0</v>
      </c>
      <c r="I79" s="10">
        <v>0</v>
      </c>
      <c r="J79" s="7">
        <v>0</v>
      </c>
      <c r="K79" s="12">
        <v>0</v>
      </c>
      <c r="L79" s="7">
        <v>0</v>
      </c>
      <c r="M79" s="18">
        <f t="shared" si="5"/>
        <v>30</v>
      </c>
      <c r="N79" s="19">
        <f t="shared" si="6"/>
        <v>1</v>
      </c>
      <c r="O79" s="18">
        <f t="shared" si="7"/>
        <v>0</v>
      </c>
      <c r="P79" s="18" t="str">
        <f t="shared" si="8"/>
        <v>OK</v>
      </c>
      <c r="Q79" s="12" t="s">
        <v>175</v>
      </c>
      <c r="R79" s="10">
        <f t="shared" si="9"/>
        <v>0</v>
      </c>
      <c r="S79" s="10">
        <v>0</v>
      </c>
      <c r="T79" s="10">
        <v>0</v>
      </c>
      <c r="U79" s="10">
        <v>0</v>
      </c>
      <c r="V79" s="12"/>
    </row>
    <row r="80" spans="1:22" x14ac:dyDescent="0.25">
      <c r="A80" t="s">
        <v>104</v>
      </c>
      <c r="B80" t="s">
        <v>181</v>
      </c>
      <c r="C80" s="1">
        <v>46204</v>
      </c>
      <c r="D80" t="s">
        <v>182</v>
      </c>
      <c r="E80" s="10">
        <v>30</v>
      </c>
      <c r="F80" s="7">
        <v>1</v>
      </c>
      <c r="G80" s="10">
        <v>0</v>
      </c>
      <c r="H80" s="7">
        <v>0</v>
      </c>
      <c r="I80" s="10">
        <v>0</v>
      </c>
      <c r="J80" s="7">
        <v>0</v>
      </c>
      <c r="K80" s="12">
        <v>0</v>
      </c>
      <c r="L80" s="7">
        <v>0</v>
      </c>
      <c r="M80" s="18">
        <f t="shared" si="5"/>
        <v>30</v>
      </c>
      <c r="N80" s="19">
        <f t="shared" si="6"/>
        <v>1</v>
      </c>
      <c r="O80" s="18">
        <f t="shared" si="7"/>
        <v>0</v>
      </c>
      <c r="P80" s="18" t="str">
        <f t="shared" si="8"/>
        <v>OK</v>
      </c>
      <c r="Q80" s="12" t="s">
        <v>175</v>
      </c>
      <c r="R80" s="10">
        <f t="shared" si="9"/>
        <v>0</v>
      </c>
      <c r="S80" s="10">
        <v>0</v>
      </c>
      <c r="T80" s="10">
        <v>0</v>
      </c>
      <c r="U80" s="10">
        <v>0</v>
      </c>
      <c r="V80" s="12"/>
    </row>
    <row r="81" spans="1:22" x14ac:dyDescent="0.25">
      <c r="A81" t="s">
        <v>104</v>
      </c>
      <c r="B81" t="s">
        <v>183</v>
      </c>
      <c r="C81" s="1">
        <v>46204</v>
      </c>
      <c r="D81" t="s">
        <v>174</v>
      </c>
      <c r="E81" s="10">
        <v>30</v>
      </c>
      <c r="F81" s="7">
        <v>1</v>
      </c>
      <c r="G81" s="10">
        <v>0</v>
      </c>
      <c r="H81" s="7">
        <v>0</v>
      </c>
      <c r="I81" s="10">
        <v>0</v>
      </c>
      <c r="J81" s="7">
        <v>0</v>
      </c>
      <c r="K81" s="12">
        <v>0</v>
      </c>
      <c r="L81" s="7">
        <v>0</v>
      </c>
      <c r="M81" s="18">
        <f t="shared" si="5"/>
        <v>30</v>
      </c>
      <c r="N81" s="19">
        <f t="shared" si="6"/>
        <v>1</v>
      </c>
      <c r="O81" s="18">
        <f t="shared" si="7"/>
        <v>0</v>
      </c>
      <c r="P81" s="18" t="str">
        <f t="shared" si="8"/>
        <v>OK</v>
      </c>
      <c r="Q81" s="12" t="s">
        <v>175</v>
      </c>
      <c r="R81" s="10">
        <f t="shared" si="9"/>
        <v>0</v>
      </c>
      <c r="S81" s="10">
        <v>0</v>
      </c>
      <c r="T81" s="10">
        <v>0</v>
      </c>
      <c r="U81" s="10">
        <v>0</v>
      </c>
      <c r="V81" s="12"/>
    </row>
    <row r="82" spans="1:22" x14ac:dyDescent="0.25">
      <c r="A82" t="s">
        <v>104</v>
      </c>
      <c r="B82" t="s">
        <v>184</v>
      </c>
      <c r="C82" s="1">
        <v>46235</v>
      </c>
      <c r="D82" t="s">
        <v>174</v>
      </c>
      <c r="E82" s="10">
        <v>30</v>
      </c>
      <c r="F82" s="7">
        <v>1</v>
      </c>
      <c r="G82" s="10">
        <v>0</v>
      </c>
      <c r="H82" s="7">
        <v>0</v>
      </c>
      <c r="I82" s="10">
        <v>0</v>
      </c>
      <c r="J82" s="7">
        <v>0</v>
      </c>
      <c r="K82" s="12">
        <v>0</v>
      </c>
      <c r="L82" s="7">
        <v>0</v>
      </c>
      <c r="M82" s="18">
        <f t="shared" si="5"/>
        <v>30</v>
      </c>
      <c r="N82" s="19">
        <f t="shared" si="6"/>
        <v>1</v>
      </c>
      <c r="O82" s="18">
        <f t="shared" si="7"/>
        <v>0</v>
      </c>
      <c r="P82" s="18" t="str">
        <f t="shared" si="8"/>
        <v>OK</v>
      </c>
      <c r="Q82" s="12" t="s">
        <v>175</v>
      </c>
      <c r="R82" s="10">
        <f t="shared" si="9"/>
        <v>0</v>
      </c>
      <c r="S82" s="10">
        <v>0</v>
      </c>
      <c r="T82" s="10">
        <v>0</v>
      </c>
      <c r="U82" s="10">
        <v>0</v>
      </c>
      <c r="V82" s="12"/>
    </row>
    <row r="83" spans="1:22" x14ac:dyDescent="0.25">
      <c r="A83" t="s">
        <v>104</v>
      </c>
      <c r="B83" t="s">
        <v>185</v>
      </c>
      <c r="C83" s="1">
        <v>46266</v>
      </c>
      <c r="D83" t="s">
        <v>174</v>
      </c>
      <c r="E83" s="10">
        <v>30</v>
      </c>
      <c r="F83" s="7">
        <v>1</v>
      </c>
      <c r="G83" s="10">
        <v>0</v>
      </c>
      <c r="H83" s="7">
        <v>0</v>
      </c>
      <c r="I83" s="10">
        <v>0</v>
      </c>
      <c r="J83" s="7">
        <v>0</v>
      </c>
      <c r="K83" s="12">
        <v>0</v>
      </c>
      <c r="L83" s="7">
        <v>0</v>
      </c>
      <c r="M83" s="18">
        <f t="shared" si="5"/>
        <v>30</v>
      </c>
      <c r="N83" s="19">
        <f t="shared" si="6"/>
        <v>1</v>
      </c>
      <c r="O83" s="18">
        <f t="shared" si="7"/>
        <v>0</v>
      </c>
      <c r="P83" s="18" t="str">
        <f t="shared" si="8"/>
        <v>OK</v>
      </c>
      <c r="Q83" s="12" t="s">
        <v>175</v>
      </c>
      <c r="R83" s="10">
        <f t="shared" si="9"/>
        <v>0</v>
      </c>
      <c r="S83" s="10">
        <v>0</v>
      </c>
      <c r="T83" s="10">
        <v>0</v>
      </c>
      <c r="U83" s="10">
        <v>0</v>
      </c>
      <c r="V83" s="12"/>
    </row>
    <row r="84" spans="1:22" x14ac:dyDescent="0.25">
      <c r="A84" t="s">
        <v>104</v>
      </c>
      <c r="B84" t="s">
        <v>186</v>
      </c>
      <c r="C84" s="1">
        <v>46296</v>
      </c>
      <c r="D84" t="s">
        <v>174</v>
      </c>
      <c r="E84" s="10">
        <v>30</v>
      </c>
      <c r="F84" s="7">
        <v>1</v>
      </c>
      <c r="G84" s="10">
        <v>0</v>
      </c>
      <c r="H84" s="7">
        <v>0</v>
      </c>
      <c r="I84" s="10">
        <v>0</v>
      </c>
      <c r="J84" s="7">
        <v>0</v>
      </c>
      <c r="K84" s="12">
        <v>0</v>
      </c>
      <c r="L84" s="7">
        <v>0</v>
      </c>
      <c r="M84" s="18">
        <f t="shared" si="5"/>
        <v>30</v>
      </c>
      <c r="N84" s="19">
        <f t="shared" si="6"/>
        <v>1</v>
      </c>
      <c r="O84" s="18">
        <f t="shared" si="7"/>
        <v>0</v>
      </c>
      <c r="P84" s="18" t="str">
        <f t="shared" si="8"/>
        <v>OK</v>
      </c>
      <c r="Q84" s="12" t="s">
        <v>175</v>
      </c>
      <c r="R84" s="10">
        <f t="shared" si="9"/>
        <v>0</v>
      </c>
      <c r="S84" s="10">
        <v>0</v>
      </c>
      <c r="T84" s="10">
        <v>0</v>
      </c>
      <c r="U84" s="10">
        <v>0</v>
      </c>
      <c r="V84" s="12"/>
    </row>
    <row r="85" spans="1:22" x14ac:dyDescent="0.25">
      <c r="A85" t="s">
        <v>104</v>
      </c>
      <c r="B85" t="s">
        <v>187</v>
      </c>
      <c r="C85" s="1">
        <v>46327</v>
      </c>
      <c r="D85" t="s">
        <v>174</v>
      </c>
      <c r="E85" s="10">
        <v>30</v>
      </c>
      <c r="F85" s="7">
        <v>1</v>
      </c>
      <c r="G85" s="10">
        <v>0</v>
      </c>
      <c r="H85" s="7">
        <v>0</v>
      </c>
      <c r="I85" s="10">
        <v>0</v>
      </c>
      <c r="J85" s="7">
        <v>0</v>
      </c>
      <c r="K85" s="12">
        <v>0</v>
      </c>
      <c r="L85" s="7">
        <v>0</v>
      </c>
      <c r="M85" s="18">
        <f t="shared" si="5"/>
        <v>30</v>
      </c>
      <c r="N85" s="19">
        <f t="shared" si="6"/>
        <v>1</v>
      </c>
      <c r="O85" s="18">
        <f t="shared" si="7"/>
        <v>0</v>
      </c>
      <c r="P85" s="18" t="str">
        <f t="shared" si="8"/>
        <v>OK</v>
      </c>
      <c r="Q85" s="12" t="s">
        <v>175</v>
      </c>
      <c r="R85" s="10">
        <f t="shared" si="9"/>
        <v>0</v>
      </c>
      <c r="S85" s="10">
        <v>0</v>
      </c>
      <c r="T85" s="10">
        <v>0</v>
      </c>
      <c r="U85" s="10">
        <v>0</v>
      </c>
      <c r="V85" s="12"/>
    </row>
    <row r="86" spans="1:22" x14ac:dyDescent="0.25">
      <c r="A86" t="s">
        <v>104</v>
      </c>
      <c r="B86" t="s">
        <v>188</v>
      </c>
      <c r="C86" s="1">
        <v>46357</v>
      </c>
      <c r="D86" t="s">
        <v>182</v>
      </c>
      <c r="E86" s="10">
        <v>30</v>
      </c>
      <c r="F86" s="7">
        <v>1</v>
      </c>
      <c r="G86" s="10">
        <v>0</v>
      </c>
      <c r="H86" s="7">
        <v>0</v>
      </c>
      <c r="I86" s="10">
        <v>0</v>
      </c>
      <c r="J86" s="7">
        <v>0</v>
      </c>
      <c r="K86" s="12">
        <v>0</v>
      </c>
      <c r="L86" s="7">
        <v>0</v>
      </c>
      <c r="M86" s="18">
        <f t="shared" si="5"/>
        <v>30</v>
      </c>
      <c r="N86" s="19">
        <f t="shared" si="6"/>
        <v>1</v>
      </c>
      <c r="O86" s="18">
        <f t="shared" si="7"/>
        <v>0</v>
      </c>
      <c r="P86" s="18" t="str">
        <f t="shared" si="8"/>
        <v>OK</v>
      </c>
      <c r="Q86" s="12" t="s">
        <v>175</v>
      </c>
      <c r="R86" s="10">
        <f t="shared" si="9"/>
        <v>0</v>
      </c>
      <c r="S86" s="10">
        <v>0</v>
      </c>
      <c r="T86" s="10">
        <v>0</v>
      </c>
      <c r="U86" s="10">
        <v>0</v>
      </c>
      <c r="V86" s="12"/>
    </row>
    <row r="87" spans="1:22" x14ac:dyDescent="0.25">
      <c r="A87" t="s">
        <v>104</v>
      </c>
      <c r="B87" t="s">
        <v>189</v>
      </c>
      <c r="C87" s="1">
        <v>46357</v>
      </c>
      <c r="D87" t="s">
        <v>174</v>
      </c>
      <c r="E87" s="10">
        <v>30</v>
      </c>
      <c r="F87" s="7">
        <v>1</v>
      </c>
      <c r="G87" s="10">
        <v>0</v>
      </c>
      <c r="H87" s="7">
        <v>0</v>
      </c>
      <c r="I87" s="10">
        <v>0</v>
      </c>
      <c r="J87" s="7">
        <v>0</v>
      </c>
      <c r="K87" s="12">
        <v>0</v>
      </c>
      <c r="L87" s="7">
        <v>0</v>
      </c>
      <c r="M87" s="18">
        <f t="shared" si="5"/>
        <v>30</v>
      </c>
      <c r="N87" s="19">
        <f t="shared" si="6"/>
        <v>1</v>
      </c>
      <c r="O87" s="18">
        <f t="shared" si="7"/>
        <v>0</v>
      </c>
      <c r="P87" s="18" t="str">
        <f t="shared" si="8"/>
        <v>OK</v>
      </c>
      <c r="Q87" s="12" t="s">
        <v>175</v>
      </c>
      <c r="R87" s="10">
        <f t="shared" si="9"/>
        <v>0</v>
      </c>
      <c r="S87" s="10">
        <v>0</v>
      </c>
      <c r="T87" s="10">
        <v>0</v>
      </c>
      <c r="U87" s="10">
        <v>0</v>
      </c>
      <c r="V87" s="12"/>
    </row>
    <row r="88" spans="1:22" x14ac:dyDescent="0.25">
      <c r="A88" t="s">
        <v>106</v>
      </c>
      <c r="B88" t="s">
        <v>173</v>
      </c>
      <c r="C88" s="1">
        <v>46023</v>
      </c>
      <c r="D88" t="s">
        <v>174</v>
      </c>
      <c r="E88" s="10">
        <v>30</v>
      </c>
      <c r="F88" s="7">
        <v>1</v>
      </c>
      <c r="G88" s="10">
        <v>0</v>
      </c>
      <c r="H88" s="7">
        <v>0</v>
      </c>
      <c r="I88" s="10">
        <v>0</v>
      </c>
      <c r="J88" s="7">
        <v>0</v>
      </c>
      <c r="K88" s="12">
        <v>0</v>
      </c>
      <c r="L88" s="7">
        <v>0</v>
      </c>
      <c r="M88" s="18">
        <f t="shared" si="5"/>
        <v>30</v>
      </c>
      <c r="N88" s="19">
        <f t="shared" si="6"/>
        <v>1</v>
      </c>
      <c r="O88" s="18">
        <f t="shared" si="7"/>
        <v>0</v>
      </c>
      <c r="P88" s="18" t="str">
        <f t="shared" si="8"/>
        <v>OK</v>
      </c>
      <c r="Q88" s="12" t="s">
        <v>175</v>
      </c>
      <c r="R88" s="10">
        <f t="shared" si="9"/>
        <v>0</v>
      </c>
      <c r="S88" s="10">
        <v>0</v>
      </c>
      <c r="T88" s="10">
        <v>0</v>
      </c>
      <c r="U88" s="10">
        <v>0</v>
      </c>
      <c r="V88" s="12"/>
    </row>
    <row r="89" spans="1:22" x14ac:dyDescent="0.25">
      <c r="A89" t="s">
        <v>106</v>
      </c>
      <c r="B89" t="s">
        <v>176</v>
      </c>
      <c r="C89" s="1">
        <v>46054</v>
      </c>
      <c r="D89" t="s">
        <v>174</v>
      </c>
      <c r="E89" s="10">
        <v>30</v>
      </c>
      <c r="F89" s="7">
        <v>1</v>
      </c>
      <c r="G89" s="10">
        <v>0</v>
      </c>
      <c r="H89" s="7">
        <v>0</v>
      </c>
      <c r="I89" s="10">
        <v>0</v>
      </c>
      <c r="J89" s="7">
        <v>0</v>
      </c>
      <c r="K89" s="12">
        <v>0</v>
      </c>
      <c r="L89" s="7">
        <v>0</v>
      </c>
      <c r="M89" s="18">
        <f t="shared" si="5"/>
        <v>30</v>
      </c>
      <c r="N89" s="19">
        <f t="shared" si="6"/>
        <v>1</v>
      </c>
      <c r="O89" s="18">
        <f t="shared" si="7"/>
        <v>0</v>
      </c>
      <c r="P89" s="18" t="str">
        <f t="shared" si="8"/>
        <v>OK</v>
      </c>
      <c r="Q89" s="12" t="s">
        <v>175</v>
      </c>
      <c r="R89" s="10">
        <f t="shared" si="9"/>
        <v>0</v>
      </c>
      <c r="S89" s="10">
        <v>0</v>
      </c>
      <c r="T89" s="10">
        <v>0</v>
      </c>
      <c r="U89" s="10">
        <v>0</v>
      </c>
      <c r="V89" s="12"/>
    </row>
    <row r="90" spans="1:22" x14ac:dyDescent="0.25">
      <c r="A90" t="s">
        <v>106</v>
      </c>
      <c r="B90" t="s">
        <v>177</v>
      </c>
      <c r="C90" s="1">
        <v>46082</v>
      </c>
      <c r="D90" t="s">
        <v>174</v>
      </c>
      <c r="E90" s="10">
        <v>30</v>
      </c>
      <c r="F90" s="7">
        <v>1</v>
      </c>
      <c r="G90" s="10">
        <v>0</v>
      </c>
      <c r="H90" s="7">
        <v>0</v>
      </c>
      <c r="I90" s="10">
        <v>0</v>
      </c>
      <c r="J90" s="7">
        <v>0</v>
      </c>
      <c r="K90" s="12">
        <v>0</v>
      </c>
      <c r="L90" s="7">
        <v>0</v>
      </c>
      <c r="M90" s="18">
        <f t="shared" si="5"/>
        <v>30</v>
      </c>
      <c r="N90" s="19">
        <f t="shared" si="6"/>
        <v>1</v>
      </c>
      <c r="O90" s="18">
        <f t="shared" si="7"/>
        <v>0</v>
      </c>
      <c r="P90" s="18" t="str">
        <f t="shared" si="8"/>
        <v>OK</v>
      </c>
      <c r="Q90" s="12" t="s">
        <v>175</v>
      </c>
      <c r="R90" s="10">
        <f t="shared" si="9"/>
        <v>0</v>
      </c>
      <c r="S90" s="10">
        <v>0</v>
      </c>
      <c r="T90" s="10">
        <v>0</v>
      </c>
      <c r="U90" s="10">
        <v>0</v>
      </c>
      <c r="V90" s="12"/>
    </row>
    <row r="91" spans="1:22" x14ac:dyDescent="0.25">
      <c r="A91" t="s">
        <v>106</v>
      </c>
      <c r="B91" t="s">
        <v>178</v>
      </c>
      <c r="C91" s="1">
        <v>46113</v>
      </c>
      <c r="D91" t="s">
        <v>174</v>
      </c>
      <c r="E91" s="10">
        <v>30</v>
      </c>
      <c r="F91" s="7">
        <v>1</v>
      </c>
      <c r="G91" s="10">
        <v>0</v>
      </c>
      <c r="H91" s="7">
        <v>0</v>
      </c>
      <c r="I91" s="10">
        <v>0</v>
      </c>
      <c r="J91" s="7">
        <v>0</v>
      </c>
      <c r="K91" s="12">
        <v>0</v>
      </c>
      <c r="L91" s="7">
        <v>0</v>
      </c>
      <c r="M91" s="18">
        <f t="shared" si="5"/>
        <v>30</v>
      </c>
      <c r="N91" s="19">
        <f t="shared" si="6"/>
        <v>1</v>
      </c>
      <c r="O91" s="18">
        <f t="shared" si="7"/>
        <v>0</v>
      </c>
      <c r="P91" s="18" t="str">
        <f t="shared" si="8"/>
        <v>OK</v>
      </c>
      <c r="Q91" s="12" t="s">
        <v>175</v>
      </c>
      <c r="R91" s="10">
        <f t="shared" si="9"/>
        <v>0</v>
      </c>
      <c r="S91" s="10">
        <v>0</v>
      </c>
      <c r="T91" s="10">
        <v>0</v>
      </c>
      <c r="U91" s="10">
        <v>0</v>
      </c>
      <c r="V91" s="12"/>
    </row>
    <row r="92" spans="1:22" x14ac:dyDescent="0.25">
      <c r="A92" t="s">
        <v>106</v>
      </c>
      <c r="B92" t="s">
        <v>179</v>
      </c>
      <c r="C92" s="1">
        <v>46143</v>
      </c>
      <c r="D92" t="s">
        <v>174</v>
      </c>
      <c r="E92" s="10">
        <v>30</v>
      </c>
      <c r="F92" s="7">
        <v>1</v>
      </c>
      <c r="G92" s="10">
        <v>0</v>
      </c>
      <c r="H92" s="7">
        <v>0</v>
      </c>
      <c r="I92" s="10">
        <v>0</v>
      </c>
      <c r="J92" s="7">
        <v>0</v>
      </c>
      <c r="K92" s="12">
        <v>0</v>
      </c>
      <c r="L92" s="7">
        <v>0</v>
      </c>
      <c r="M92" s="18">
        <f t="shared" si="5"/>
        <v>30</v>
      </c>
      <c r="N92" s="19">
        <f t="shared" si="6"/>
        <v>1</v>
      </c>
      <c r="O92" s="18">
        <f t="shared" si="7"/>
        <v>0</v>
      </c>
      <c r="P92" s="18" t="str">
        <f t="shared" si="8"/>
        <v>OK</v>
      </c>
      <c r="Q92" s="12" t="s">
        <v>175</v>
      </c>
      <c r="R92" s="10">
        <f t="shared" si="9"/>
        <v>0</v>
      </c>
      <c r="S92" s="10">
        <v>0</v>
      </c>
      <c r="T92" s="10">
        <v>0</v>
      </c>
      <c r="U92" s="10">
        <v>0</v>
      </c>
      <c r="V92" s="12"/>
    </row>
    <row r="93" spans="1:22" x14ac:dyDescent="0.25">
      <c r="A93" t="s">
        <v>106</v>
      </c>
      <c r="B93" t="s">
        <v>180</v>
      </c>
      <c r="C93" s="1">
        <v>46174</v>
      </c>
      <c r="D93" t="s">
        <v>174</v>
      </c>
      <c r="E93" s="10">
        <v>30</v>
      </c>
      <c r="F93" s="7">
        <v>1</v>
      </c>
      <c r="G93" s="10">
        <v>0</v>
      </c>
      <c r="H93" s="7">
        <v>0</v>
      </c>
      <c r="I93" s="10">
        <v>0</v>
      </c>
      <c r="J93" s="7">
        <v>0</v>
      </c>
      <c r="K93" s="12">
        <v>0</v>
      </c>
      <c r="L93" s="7">
        <v>0</v>
      </c>
      <c r="M93" s="18">
        <f t="shared" si="5"/>
        <v>30</v>
      </c>
      <c r="N93" s="19">
        <f t="shared" si="6"/>
        <v>1</v>
      </c>
      <c r="O93" s="18">
        <f t="shared" si="7"/>
        <v>0</v>
      </c>
      <c r="P93" s="18" t="str">
        <f t="shared" si="8"/>
        <v>OK</v>
      </c>
      <c r="Q93" s="12" t="s">
        <v>175</v>
      </c>
      <c r="R93" s="10">
        <f t="shared" si="9"/>
        <v>0</v>
      </c>
      <c r="S93" s="10">
        <v>0</v>
      </c>
      <c r="T93" s="10">
        <v>0</v>
      </c>
      <c r="U93" s="10">
        <v>0</v>
      </c>
      <c r="V93" s="12"/>
    </row>
    <row r="94" spans="1:22" x14ac:dyDescent="0.25">
      <c r="A94" t="s">
        <v>106</v>
      </c>
      <c r="B94" t="s">
        <v>181</v>
      </c>
      <c r="C94" s="1">
        <v>46204</v>
      </c>
      <c r="D94" t="s">
        <v>182</v>
      </c>
      <c r="E94" s="10">
        <v>30</v>
      </c>
      <c r="F94" s="7">
        <v>1</v>
      </c>
      <c r="G94" s="10">
        <v>0</v>
      </c>
      <c r="H94" s="7">
        <v>0</v>
      </c>
      <c r="I94" s="10">
        <v>0</v>
      </c>
      <c r="J94" s="7">
        <v>0</v>
      </c>
      <c r="K94" s="12">
        <v>0</v>
      </c>
      <c r="L94" s="7">
        <v>0</v>
      </c>
      <c r="M94" s="18">
        <f t="shared" si="5"/>
        <v>30</v>
      </c>
      <c r="N94" s="19">
        <f t="shared" si="6"/>
        <v>1</v>
      </c>
      <c r="O94" s="18">
        <f t="shared" si="7"/>
        <v>0</v>
      </c>
      <c r="P94" s="18" t="str">
        <f t="shared" si="8"/>
        <v>OK</v>
      </c>
      <c r="Q94" s="12" t="s">
        <v>175</v>
      </c>
      <c r="R94" s="10">
        <f t="shared" si="9"/>
        <v>0</v>
      </c>
      <c r="S94" s="10">
        <v>0</v>
      </c>
      <c r="T94" s="10">
        <v>0</v>
      </c>
      <c r="U94" s="10">
        <v>0</v>
      </c>
      <c r="V94" s="12"/>
    </row>
    <row r="95" spans="1:22" x14ac:dyDescent="0.25">
      <c r="A95" t="s">
        <v>106</v>
      </c>
      <c r="B95" t="s">
        <v>183</v>
      </c>
      <c r="C95" s="1">
        <v>46204</v>
      </c>
      <c r="D95" t="s">
        <v>174</v>
      </c>
      <c r="E95" s="10">
        <v>30</v>
      </c>
      <c r="F95" s="7">
        <v>1</v>
      </c>
      <c r="G95" s="10">
        <v>0</v>
      </c>
      <c r="H95" s="7">
        <v>0</v>
      </c>
      <c r="I95" s="10">
        <v>0</v>
      </c>
      <c r="J95" s="7">
        <v>0</v>
      </c>
      <c r="K95" s="12">
        <v>0</v>
      </c>
      <c r="L95" s="7">
        <v>0</v>
      </c>
      <c r="M95" s="18">
        <f t="shared" si="5"/>
        <v>30</v>
      </c>
      <c r="N95" s="19">
        <f t="shared" si="6"/>
        <v>1</v>
      </c>
      <c r="O95" s="18">
        <f t="shared" si="7"/>
        <v>0</v>
      </c>
      <c r="P95" s="18" t="str">
        <f t="shared" si="8"/>
        <v>OK</v>
      </c>
      <c r="Q95" s="12" t="s">
        <v>175</v>
      </c>
      <c r="R95" s="10">
        <f t="shared" si="9"/>
        <v>0</v>
      </c>
      <c r="S95" s="10">
        <v>0</v>
      </c>
      <c r="T95" s="10">
        <v>0</v>
      </c>
      <c r="U95" s="10">
        <v>0</v>
      </c>
      <c r="V95" s="12"/>
    </row>
    <row r="96" spans="1:22" x14ac:dyDescent="0.25">
      <c r="A96" t="s">
        <v>106</v>
      </c>
      <c r="B96" t="s">
        <v>184</v>
      </c>
      <c r="C96" s="1">
        <v>46235</v>
      </c>
      <c r="D96" t="s">
        <v>174</v>
      </c>
      <c r="E96" s="10">
        <v>30</v>
      </c>
      <c r="F96" s="7">
        <v>1</v>
      </c>
      <c r="G96" s="10">
        <v>0</v>
      </c>
      <c r="H96" s="7">
        <v>0</v>
      </c>
      <c r="I96" s="10">
        <v>0</v>
      </c>
      <c r="J96" s="7">
        <v>0</v>
      </c>
      <c r="K96" s="12">
        <v>0</v>
      </c>
      <c r="L96" s="7">
        <v>0</v>
      </c>
      <c r="M96" s="18">
        <f t="shared" si="5"/>
        <v>30</v>
      </c>
      <c r="N96" s="19">
        <f t="shared" si="6"/>
        <v>1</v>
      </c>
      <c r="O96" s="18">
        <f t="shared" si="7"/>
        <v>0</v>
      </c>
      <c r="P96" s="18" t="str">
        <f t="shared" si="8"/>
        <v>OK</v>
      </c>
      <c r="Q96" s="12" t="s">
        <v>175</v>
      </c>
      <c r="R96" s="10">
        <f t="shared" si="9"/>
        <v>0</v>
      </c>
      <c r="S96" s="10">
        <v>0</v>
      </c>
      <c r="T96" s="10">
        <v>0</v>
      </c>
      <c r="U96" s="10">
        <v>0</v>
      </c>
      <c r="V96" s="12"/>
    </row>
    <row r="97" spans="1:22" x14ac:dyDescent="0.25">
      <c r="A97" t="s">
        <v>106</v>
      </c>
      <c r="B97" t="s">
        <v>185</v>
      </c>
      <c r="C97" s="1">
        <v>46266</v>
      </c>
      <c r="D97" t="s">
        <v>174</v>
      </c>
      <c r="E97" s="10">
        <v>30</v>
      </c>
      <c r="F97" s="7">
        <v>1</v>
      </c>
      <c r="G97" s="10">
        <v>0</v>
      </c>
      <c r="H97" s="7">
        <v>0</v>
      </c>
      <c r="I97" s="10">
        <v>0</v>
      </c>
      <c r="J97" s="7">
        <v>0</v>
      </c>
      <c r="K97" s="12">
        <v>0</v>
      </c>
      <c r="L97" s="7">
        <v>0</v>
      </c>
      <c r="M97" s="18">
        <f t="shared" si="5"/>
        <v>30</v>
      </c>
      <c r="N97" s="19">
        <f t="shared" si="6"/>
        <v>1</v>
      </c>
      <c r="O97" s="18">
        <f t="shared" si="7"/>
        <v>0</v>
      </c>
      <c r="P97" s="18" t="str">
        <f t="shared" si="8"/>
        <v>OK</v>
      </c>
      <c r="Q97" s="12" t="s">
        <v>175</v>
      </c>
      <c r="R97" s="10">
        <f t="shared" si="9"/>
        <v>0</v>
      </c>
      <c r="S97" s="10">
        <v>0</v>
      </c>
      <c r="T97" s="10">
        <v>0</v>
      </c>
      <c r="U97" s="10">
        <v>0</v>
      </c>
      <c r="V97" s="12"/>
    </row>
    <row r="98" spans="1:22" x14ac:dyDescent="0.25">
      <c r="A98" t="s">
        <v>106</v>
      </c>
      <c r="B98" t="s">
        <v>186</v>
      </c>
      <c r="C98" s="1">
        <v>46296</v>
      </c>
      <c r="D98" t="s">
        <v>174</v>
      </c>
      <c r="E98" s="10">
        <v>30</v>
      </c>
      <c r="F98" s="7">
        <v>1</v>
      </c>
      <c r="G98" s="10">
        <v>0</v>
      </c>
      <c r="H98" s="7">
        <v>0</v>
      </c>
      <c r="I98" s="10">
        <v>0</v>
      </c>
      <c r="J98" s="7">
        <v>0</v>
      </c>
      <c r="K98" s="12">
        <v>0</v>
      </c>
      <c r="L98" s="7">
        <v>0</v>
      </c>
      <c r="M98" s="18">
        <f t="shared" si="5"/>
        <v>30</v>
      </c>
      <c r="N98" s="19">
        <f t="shared" si="6"/>
        <v>1</v>
      </c>
      <c r="O98" s="18">
        <f t="shared" si="7"/>
        <v>0</v>
      </c>
      <c r="P98" s="18" t="str">
        <f t="shared" si="8"/>
        <v>OK</v>
      </c>
      <c r="Q98" s="12" t="s">
        <v>175</v>
      </c>
      <c r="R98" s="10">
        <f t="shared" si="9"/>
        <v>0</v>
      </c>
      <c r="S98" s="10">
        <v>0</v>
      </c>
      <c r="T98" s="10">
        <v>0</v>
      </c>
      <c r="U98" s="10">
        <v>0</v>
      </c>
      <c r="V98" s="12"/>
    </row>
    <row r="99" spans="1:22" x14ac:dyDescent="0.25">
      <c r="A99" t="s">
        <v>106</v>
      </c>
      <c r="B99" t="s">
        <v>187</v>
      </c>
      <c r="C99" s="1">
        <v>46327</v>
      </c>
      <c r="D99" t="s">
        <v>174</v>
      </c>
      <c r="E99" s="10">
        <v>30</v>
      </c>
      <c r="F99" s="7">
        <v>1</v>
      </c>
      <c r="G99" s="10">
        <v>0</v>
      </c>
      <c r="H99" s="7">
        <v>0</v>
      </c>
      <c r="I99" s="10">
        <v>0</v>
      </c>
      <c r="J99" s="7">
        <v>0</v>
      </c>
      <c r="K99" s="12">
        <v>0</v>
      </c>
      <c r="L99" s="7">
        <v>0</v>
      </c>
      <c r="M99" s="18">
        <f t="shared" si="5"/>
        <v>30</v>
      </c>
      <c r="N99" s="19">
        <f t="shared" si="6"/>
        <v>1</v>
      </c>
      <c r="O99" s="18">
        <f t="shared" si="7"/>
        <v>0</v>
      </c>
      <c r="P99" s="18" t="str">
        <f t="shared" si="8"/>
        <v>OK</v>
      </c>
      <c r="Q99" s="12" t="s">
        <v>175</v>
      </c>
      <c r="R99" s="10">
        <f t="shared" si="9"/>
        <v>0</v>
      </c>
      <c r="S99" s="10">
        <v>0</v>
      </c>
      <c r="T99" s="10">
        <v>0</v>
      </c>
      <c r="U99" s="10">
        <v>0</v>
      </c>
      <c r="V99" s="12"/>
    </row>
    <row r="100" spans="1:22" x14ac:dyDescent="0.25">
      <c r="A100" t="s">
        <v>106</v>
      </c>
      <c r="B100" t="s">
        <v>188</v>
      </c>
      <c r="C100" s="1">
        <v>46357</v>
      </c>
      <c r="D100" t="s">
        <v>182</v>
      </c>
      <c r="E100" s="10">
        <v>30</v>
      </c>
      <c r="F100" s="7">
        <v>1</v>
      </c>
      <c r="G100" s="10">
        <v>0</v>
      </c>
      <c r="H100" s="7">
        <v>0</v>
      </c>
      <c r="I100" s="10">
        <v>0</v>
      </c>
      <c r="J100" s="7">
        <v>0</v>
      </c>
      <c r="K100" s="12">
        <v>0</v>
      </c>
      <c r="L100" s="7">
        <v>0</v>
      </c>
      <c r="M100" s="18">
        <f t="shared" si="5"/>
        <v>30</v>
      </c>
      <c r="N100" s="19">
        <f t="shared" si="6"/>
        <v>1</v>
      </c>
      <c r="O100" s="18">
        <f t="shared" si="7"/>
        <v>0</v>
      </c>
      <c r="P100" s="18" t="str">
        <f t="shared" si="8"/>
        <v>OK</v>
      </c>
      <c r="Q100" s="12" t="s">
        <v>175</v>
      </c>
      <c r="R100" s="10">
        <f t="shared" si="9"/>
        <v>0</v>
      </c>
      <c r="S100" s="10">
        <v>0</v>
      </c>
      <c r="T100" s="10">
        <v>0</v>
      </c>
      <c r="U100" s="10">
        <v>0</v>
      </c>
      <c r="V100" s="12"/>
    </row>
    <row r="101" spans="1:22" x14ac:dyDescent="0.25">
      <c r="A101" t="s">
        <v>106</v>
      </c>
      <c r="B101" t="s">
        <v>189</v>
      </c>
      <c r="C101" s="1">
        <v>46357</v>
      </c>
      <c r="D101" t="s">
        <v>174</v>
      </c>
      <c r="E101" s="10">
        <v>30</v>
      </c>
      <c r="F101" s="7">
        <v>1</v>
      </c>
      <c r="G101" s="10">
        <v>0</v>
      </c>
      <c r="H101" s="7">
        <v>0</v>
      </c>
      <c r="I101" s="10">
        <v>0</v>
      </c>
      <c r="J101" s="7">
        <v>0</v>
      </c>
      <c r="K101" s="12">
        <v>0</v>
      </c>
      <c r="L101" s="7">
        <v>0</v>
      </c>
      <c r="M101" s="18">
        <f t="shared" si="5"/>
        <v>30</v>
      </c>
      <c r="N101" s="19">
        <f t="shared" si="6"/>
        <v>1</v>
      </c>
      <c r="O101" s="18">
        <f t="shared" si="7"/>
        <v>0</v>
      </c>
      <c r="P101" s="18" t="str">
        <f t="shared" si="8"/>
        <v>OK</v>
      </c>
      <c r="Q101" s="12" t="s">
        <v>175</v>
      </c>
      <c r="R101" s="10">
        <f t="shared" si="9"/>
        <v>0</v>
      </c>
      <c r="S101" s="10">
        <v>0</v>
      </c>
      <c r="T101" s="10">
        <v>0</v>
      </c>
      <c r="U101" s="10">
        <v>0</v>
      </c>
      <c r="V101" s="12"/>
    </row>
    <row r="102" spans="1:22" x14ac:dyDescent="0.25">
      <c r="A102" t="s">
        <v>108</v>
      </c>
      <c r="B102" t="s">
        <v>173</v>
      </c>
      <c r="C102" s="1">
        <v>46023</v>
      </c>
      <c r="D102" t="s">
        <v>174</v>
      </c>
      <c r="E102" s="10">
        <v>30</v>
      </c>
      <c r="F102" s="7">
        <v>1</v>
      </c>
      <c r="G102" s="10">
        <v>0</v>
      </c>
      <c r="H102" s="7">
        <v>0</v>
      </c>
      <c r="I102" s="10">
        <v>0</v>
      </c>
      <c r="J102" s="7">
        <v>0</v>
      </c>
      <c r="K102" s="12">
        <v>0</v>
      </c>
      <c r="L102" s="7">
        <v>0</v>
      </c>
      <c r="M102" s="18">
        <f t="shared" si="5"/>
        <v>30</v>
      </c>
      <c r="N102" s="19">
        <f t="shared" si="6"/>
        <v>1</v>
      </c>
      <c r="O102" s="18">
        <f t="shared" si="7"/>
        <v>0</v>
      </c>
      <c r="P102" s="18" t="str">
        <f t="shared" si="8"/>
        <v>OK</v>
      </c>
      <c r="Q102" s="12" t="s">
        <v>175</v>
      </c>
      <c r="R102" s="10">
        <f t="shared" si="9"/>
        <v>0</v>
      </c>
      <c r="S102" s="10">
        <v>0</v>
      </c>
      <c r="T102" s="10">
        <v>0</v>
      </c>
      <c r="U102" s="10">
        <v>0</v>
      </c>
      <c r="V102" s="12"/>
    </row>
    <row r="103" spans="1:22" x14ac:dyDescent="0.25">
      <c r="A103" t="s">
        <v>108</v>
      </c>
      <c r="B103" t="s">
        <v>176</v>
      </c>
      <c r="C103" s="1">
        <v>46054</v>
      </c>
      <c r="D103" t="s">
        <v>174</v>
      </c>
      <c r="E103" s="10">
        <v>30</v>
      </c>
      <c r="F103" s="7">
        <v>1</v>
      </c>
      <c r="G103" s="10">
        <v>0</v>
      </c>
      <c r="H103" s="7">
        <v>0</v>
      </c>
      <c r="I103" s="10">
        <v>0</v>
      </c>
      <c r="J103" s="7">
        <v>0</v>
      </c>
      <c r="K103" s="12">
        <v>0</v>
      </c>
      <c r="L103" s="7">
        <v>0</v>
      </c>
      <c r="M103" s="18">
        <f t="shared" si="5"/>
        <v>30</v>
      </c>
      <c r="N103" s="19">
        <f t="shared" si="6"/>
        <v>1</v>
      </c>
      <c r="O103" s="18">
        <f t="shared" si="7"/>
        <v>0</v>
      </c>
      <c r="P103" s="18" t="str">
        <f t="shared" si="8"/>
        <v>OK</v>
      </c>
      <c r="Q103" s="12" t="s">
        <v>175</v>
      </c>
      <c r="R103" s="10">
        <f t="shared" si="9"/>
        <v>0</v>
      </c>
      <c r="S103" s="10">
        <v>0</v>
      </c>
      <c r="T103" s="10">
        <v>0</v>
      </c>
      <c r="U103" s="10">
        <v>0</v>
      </c>
      <c r="V103" s="12"/>
    </row>
    <row r="104" spans="1:22" x14ac:dyDescent="0.25">
      <c r="A104" t="s">
        <v>108</v>
      </c>
      <c r="B104" t="s">
        <v>177</v>
      </c>
      <c r="C104" s="1">
        <v>46082</v>
      </c>
      <c r="D104" t="s">
        <v>174</v>
      </c>
      <c r="E104" s="10">
        <v>30</v>
      </c>
      <c r="F104" s="7">
        <v>1</v>
      </c>
      <c r="G104" s="10">
        <v>0</v>
      </c>
      <c r="H104" s="7">
        <v>0</v>
      </c>
      <c r="I104" s="10">
        <v>0</v>
      </c>
      <c r="J104" s="7">
        <v>0</v>
      </c>
      <c r="K104" s="12">
        <v>0</v>
      </c>
      <c r="L104" s="7">
        <v>0</v>
      </c>
      <c r="M104" s="18">
        <f t="shared" si="5"/>
        <v>30</v>
      </c>
      <c r="N104" s="19">
        <f t="shared" si="6"/>
        <v>1</v>
      </c>
      <c r="O104" s="18">
        <f t="shared" si="7"/>
        <v>0</v>
      </c>
      <c r="P104" s="18" t="str">
        <f t="shared" si="8"/>
        <v>OK</v>
      </c>
      <c r="Q104" s="12" t="s">
        <v>175</v>
      </c>
      <c r="R104" s="10">
        <f t="shared" si="9"/>
        <v>0</v>
      </c>
      <c r="S104" s="10">
        <v>0</v>
      </c>
      <c r="T104" s="10">
        <v>0</v>
      </c>
      <c r="U104" s="10">
        <v>0</v>
      </c>
      <c r="V104" s="12"/>
    </row>
    <row r="105" spans="1:22" x14ac:dyDescent="0.25">
      <c r="A105" t="s">
        <v>108</v>
      </c>
      <c r="B105" t="s">
        <v>178</v>
      </c>
      <c r="C105" s="1">
        <v>46113</v>
      </c>
      <c r="D105" t="s">
        <v>174</v>
      </c>
      <c r="E105" s="10">
        <v>30</v>
      </c>
      <c r="F105" s="7">
        <v>1</v>
      </c>
      <c r="G105" s="10">
        <v>0</v>
      </c>
      <c r="H105" s="7">
        <v>0</v>
      </c>
      <c r="I105" s="10">
        <v>0</v>
      </c>
      <c r="J105" s="7">
        <v>0</v>
      </c>
      <c r="K105" s="12">
        <v>0</v>
      </c>
      <c r="L105" s="7">
        <v>0</v>
      </c>
      <c r="M105" s="18">
        <f t="shared" si="5"/>
        <v>30</v>
      </c>
      <c r="N105" s="19">
        <f t="shared" si="6"/>
        <v>1</v>
      </c>
      <c r="O105" s="18">
        <f t="shared" si="7"/>
        <v>0</v>
      </c>
      <c r="P105" s="18" t="str">
        <f t="shared" si="8"/>
        <v>OK</v>
      </c>
      <c r="Q105" s="12" t="s">
        <v>175</v>
      </c>
      <c r="R105" s="10">
        <f t="shared" si="9"/>
        <v>0</v>
      </c>
      <c r="S105" s="10">
        <v>0</v>
      </c>
      <c r="T105" s="10">
        <v>0</v>
      </c>
      <c r="U105" s="10">
        <v>0</v>
      </c>
      <c r="V105" s="12"/>
    </row>
    <row r="106" spans="1:22" x14ac:dyDescent="0.25">
      <c r="A106" t="s">
        <v>108</v>
      </c>
      <c r="B106" t="s">
        <v>179</v>
      </c>
      <c r="C106" s="1">
        <v>46143</v>
      </c>
      <c r="D106" t="s">
        <v>174</v>
      </c>
      <c r="E106" s="10">
        <v>30</v>
      </c>
      <c r="F106" s="7">
        <v>1</v>
      </c>
      <c r="G106" s="10">
        <v>0</v>
      </c>
      <c r="H106" s="7">
        <v>0</v>
      </c>
      <c r="I106" s="10">
        <v>0</v>
      </c>
      <c r="J106" s="7">
        <v>0</v>
      </c>
      <c r="K106" s="12">
        <v>0</v>
      </c>
      <c r="L106" s="7">
        <v>0</v>
      </c>
      <c r="M106" s="18">
        <f t="shared" si="5"/>
        <v>30</v>
      </c>
      <c r="N106" s="19">
        <f t="shared" si="6"/>
        <v>1</v>
      </c>
      <c r="O106" s="18">
        <f t="shared" si="7"/>
        <v>0</v>
      </c>
      <c r="P106" s="18" t="str">
        <f t="shared" si="8"/>
        <v>OK</v>
      </c>
      <c r="Q106" s="12" t="s">
        <v>175</v>
      </c>
      <c r="R106" s="10">
        <f t="shared" si="9"/>
        <v>0</v>
      </c>
      <c r="S106" s="10">
        <v>0</v>
      </c>
      <c r="T106" s="10">
        <v>0</v>
      </c>
      <c r="U106" s="10">
        <v>0</v>
      </c>
      <c r="V106" s="12"/>
    </row>
    <row r="107" spans="1:22" x14ac:dyDescent="0.25">
      <c r="A107" t="s">
        <v>108</v>
      </c>
      <c r="B107" t="s">
        <v>180</v>
      </c>
      <c r="C107" s="1">
        <v>46174</v>
      </c>
      <c r="D107" t="s">
        <v>174</v>
      </c>
      <c r="E107" s="10">
        <v>30</v>
      </c>
      <c r="F107" s="7">
        <v>1</v>
      </c>
      <c r="G107" s="10">
        <v>0</v>
      </c>
      <c r="H107" s="7">
        <v>0</v>
      </c>
      <c r="I107" s="10">
        <v>0</v>
      </c>
      <c r="J107" s="7">
        <v>0</v>
      </c>
      <c r="K107" s="12">
        <v>0</v>
      </c>
      <c r="L107" s="7">
        <v>0</v>
      </c>
      <c r="M107" s="18">
        <f t="shared" si="5"/>
        <v>30</v>
      </c>
      <c r="N107" s="19">
        <f t="shared" si="6"/>
        <v>1</v>
      </c>
      <c r="O107" s="18">
        <f t="shared" si="7"/>
        <v>0</v>
      </c>
      <c r="P107" s="18" t="str">
        <f t="shared" si="8"/>
        <v>OK</v>
      </c>
      <c r="Q107" s="12" t="s">
        <v>175</v>
      </c>
      <c r="R107" s="10">
        <f t="shared" si="9"/>
        <v>0</v>
      </c>
      <c r="S107" s="10">
        <v>0</v>
      </c>
      <c r="T107" s="10">
        <v>0</v>
      </c>
      <c r="U107" s="10">
        <v>0</v>
      </c>
      <c r="V107" s="12"/>
    </row>
    <row r="108" spans="1:22" x14ac:dyDescent="0.25">
      <c r="A108" t="s">
        <v>108</v>
      </c>
      <c r="B108" t="s">
        <v>181</v>
      </c>
      <c r="C108" s="1">
        <v>46204</v>
      </c>
      <c r="D108" t="s">
        <v>182</v>
      </c>
      <c r="E108" s="10">
        <v>30</v>
      </c>
      <c r="F108" s="7">
        <v>1</v>
      </c>
      <c r="G108" s="10">
        <v>0</v>
      </c>
      <c r="H108" s="7">
        <v>0</v>
      </c>
      <c r="I108" s="10">
        <v>0</v>
      </c>
      <c r="J108" s="7">
        <v>0</v>
      </c>
      <c r="K108" s="12">
        <v>0</v>
      </c>
      <c r="L108" s="7">
        <v>0</v>
      </c>
      <c r="M108" s="18">
        <f t="shared" si="5"/>
        <v>30</v>
      </c>
      <c r="N108" s="19">
        <f t="shared" si="6"/>
        <v>1</v>
      </c>
      <c r="O108" s="18">
        <f t="shared" si="7"/>
        <v>0</v>
      </c>
      <c r="P108" s="18" t="str">
        <f t="shared" si="8"/>
        <v>OK</v>
      </c>
      <c r="Q108" s="12" t="s">
        <v>175</v>
      </c>
      <c r="R108" s="10">
        <f t="shared" si="9"/>
        <v>0</v>
      </c>
      <c r="S108" s="10">
        <v>0</v>
      </c>
      <c r="T108" s="10">
        <v>0</v>
      </c>
      <c r="U108" s="10">
        <v>0</v>
      </c>
      <c r="V108" s="12"/>
    </row>
    <row r="109" spans="1:22" x14ac:dyDescent="0.25">
      <c r="A109" t="s">
        <v>108</v>
      </c>
      <c r="B109" t="s">
        <v>183</v>
      </c>
      <c r="C109" s="1">
        <v>46204</v>
      </c>
      <c r="D109" t="s">
        <v>174</v>
      </c>
      <c r="E109" s="10">
        <v>30</v>
      </c>
      <c r="F109" s="7">
        <v>1</v>
      </c>
      <c r="G109" s="10">
        <v>0</v>
      </c>
      <c r="H109" s="7">
        <v>0</v>
      </c>
      <c r="I109" s="10">
        <v>0</v>
      </c>
      <c r="J109" s="7">
        <v>0</v>
      </c>
      <c r="K109" s="12">
        <v>0</v>
      </c>
      <c r="L109" s="7">
        <v>0</v>
      </c>
      <c r="M109" s="18">
        <f t="shared" si="5"/>
        <v>30</v>
      </c>
      <c r="N109" s="19">
        <f t="shared" si="6"/>
        <v>1</v>
      </c>
      <c r="O109" s="18">
        <f t="shared" si="7"/>
        <v>0</v>
      </c>
      <c r="P109" s="18" t="str">
        <f t="shared" si="8"/>
        <v>OK</v>
      </c>
      <c r="Q109" s="12" t="s">
        <v>175</v>
      </c>
      <c r="R109" s="10">
        <f t="shared" si="9"/>
        <v>0</v>
      </c>
      <c r="S109" s="10">
        <v>0</v>
      </c>
      <c r="T109" s="10">
        <v>0</v>
      </c>
      <c r="U109" s="10">
        <v>0</v>
      </c>
      <c r="V109" s="12"/>
    </row>
    <row r="110" spans="1:22" x14ac:dyDescent="0.25">
      <c r="A110" t="s">
        <v>108</v>
      </c>
      <c r="B110" t="s">
        <v>184</v>
      </c>
      <c r="C110" s="1">
        <v>46235</v>
      </c>
      <c r="D110" t="s">
        <v>174</v>
      </c>
      <c r="E110" s="10">
        <v>30</v>
      </c>
      <c r="F110" s="7">
        <v>1</v>
      </c>
      <c r="G110" s="10">
        <v>0</v>
      </c>
      <c r="H110" s="7">
        <v>0</v>
      </c>
      <c r="I110" s="10">
        <v>0</v>
      </c>
      <c r="J110" s="7">
        <v>0</v>
      </c>
      <c r="K110" s="12">
        <v>0</v>
      </c>
      <c r="L110" s="7">
        <v>0</v>
      </c>
      <c r="M110" s="18">
        <f t="shared" si="5"/>
        <v>30</v>
      </c>
      <c r="N110" s="19">
        <f t="shared" si="6"/>
        <v>1</v>
      </c>
      <c r="O110" s="18">
        <f t="shared" si="7"/>
        <v>0</v>
      </c>
      <c r="P110" s="18" t="str">
        <f t="shared" si="8"/>
        <v>OK</v>
      </c>
      <c r="Q110" s="12" t="s">
        <v>175</v>
      </c>
      <c r="R110" s="10">
        <f t="shared" si="9"/>
        <v>0</v>
      </c>
      <c r="S110" s="10">
        <v>0</v>
      </c>
      <c r="T110" s="10">
        <v>0</v>
      </c>
      <c r="U110" s="10">
        <v>0</v>
      </c>
      <c r="V110" s="12"/>
    </row>
    <row r="111" spans="1:22" x14ac:dyDescent="0.25">
      <c r="A111" t="s">
        <v>108</v>
      </c>
      <c r="B111" t="s">
        <v>185</v>
      </c>
      <c r="C111" s="1">
        <v>46266</v>
      </c>
      <c r="D111" t="s">
        <v>174</v>
      </c>
      <c r="E111" s="10">
        <v>30</v>
      </c>
      <c r="F111" s="7">
        <v>1</v>
      </c>
      <c r="G111" s="10">
        <v>0</v>
      </c>
      <c r="H111" s="7">
        <v>0</v>
      </c>
      <c r="I111" s="10">
        <v>0</v>
      </c>
      <c r="J111" s="7">
        <v>0</v>
      </c>
      <c r="K111" s="12">
        <v>0</v>
      </c>
      <c r="L111" s="7">
        <v>0</v>
      </c>
      <c r="M111" s="18">
        <f t="shared" si="5"/>
        <v>30</v>
      </c>
      <c r="N111" s="19">
        <f t="shared" si="6"/>
        <v>1</v>
      </c>
      <c r="O111" s="18">
        <f t="shared" si="7"/>
        <v>0</v>
      </c>
      <c r="P111" s="18" t="str">
        <f t="shared" si="8"/>
        <v>OK</v>
      </c>
      <c r="Q111" s="12" t="s">
        <v>175</v>
      </c>
      <c r="R111" s="10">
        <f t="shared" si="9"/>
        <v>0</v>
      </c>
      <c r="S111" s="10">
        <v>0</v>
      </c>
      <c r="T111" s="10">
        <v>0</v>
      </c>
      <c r="U111" s="10">
        <v>0</v>
      </c>
      <c r="V111" s="12"/>
    </row>
    <row r="112" spans="1:22" x14ac:dyDescent="0.25">
      <c r="A112" t="s">
        <v>108</v>
      </c>
      <c r="B112" t="s">
        <v>186</v>
      </c>
      <c r="C112" s="1">
        <v>46296</v>
      </c>
      <c r="D112" t="s">
        <v>174</v>
      </c>
      <c r="E112" s="10">
        <v>30</v>
      </c>
      <c r="F112" s="7">
        <v>1</v>
      </c>
      <c r="G112" s="10">
        <v>0</v>
      </c>
      <c r="H112" s="7">
        <v>0</v>
      </c>
      <c r="I112" s="10">
        <v>0</v>
      </c>
      <c r="J112" s="7">
        <v>0</v>
      </c>
      <c r="K112" s="12">
        <v>0</v>
      </c>
      <c r="L112" s="7">
        <v>0</v>
      </c>
      <c r="M112" s="18">
        <f t="shared" si="5"/>
        <v>30</v>
      </c>
      <c r="N112" s="19">
        <f t="shared" si="6"/>
        <v>1</v>
      </c>
      <c r="O112" s="18">
        <f t="shared" si="7"/>
        <v>0</v>
      </c>
      <c r="P112" s="18" t="str">
        <f t="shared" si="8"/>
        <v>OK</v>
      </c>
      <c r="Q112" s="12" t="s">
        <v>175</v>
      </c>
      <c r="R112" s="10">
        <f t="shared" si="9"/>
        <v>0</v>
      </c>
      <c r="S112" s="10">
        <v>0</v>
      </c>
      <c r="T112" s="10">
        <v>0</v>
      </c>
      <c r="U112" s="10">
        <v>0</v>
      </c>
      <c r="V112" s="12"/>
    </row>
    <row r="113" spans="1:22" x14ac:dyDescent="0.25">
      <c r="A113" t="s">
        <v>108</v>
      </c>
      <c r="B113" t="s">
        <v>187</v>
      </c>
      <c r="C113" s="1">
        <v>46327</v>
      </c>
      <c r="D113" t="s">
        <v>174</v>
      </c>
      <c r="E113" s="10">
        <v>30</v>
      </c>
      <c r="F113" s="7">
        <v>1</v>
      </c>
      <c r="G113" s="10">
        <v>0</v>
      </c>
      <c r="H113" s="7">
        <v>0</v>
      </c>
      <c r="I113" s="10">
        <v>0</v>
      </c>
      <c r="J113" s="7">
        <v>0</v>
      </c>
      <c r="K113" s="12">
        <v>0</v>
      </c>
      <c r="L113" s="7">
        <v>0</v>
      </c>
      <c r="M113" s="18">
        <f t="shared" si="5"/>
        <v>30</v>
      </c>
      <c r="N113" s="19">
        <f t="shared" si="6"/>
        <v>1</v>
      </c>
      <c r="O113" s="18">
        <f t="shared" si="7"/>
        <v>0</v>
      </c>
      <c r="P113" s="18" t="str">
        <f t="shared" si="8"/>
        <v>OK</v>
      </c>
      <c r="Q113" s="12" t="s">
        <v>175</v>
      </c>
      <c r="R113" s="10">
        <f t="shared" si="9"/>
        <v>0</v>
      </c>
      <c r="S113" s="10">
        <v>0</v>
      </c>
      <c r="T113" s="10">
        <v>0</v>
      </c>
      <c r="U113" s="10">
        <v>0</v>
      </c>
      <c r="V113" s="12"/>
    </row>
    <row r="114" spans="1:22" x14ac:dyDescent="0.25">
      <c r="A114" t="s">
        <v>108</v>
      </c>
      <c r="B114" t="s">
        <v>188</v>
      </c>
      <c r="C114" s="1">
        <v>46357</v>
      </c>
      <c r="D114" t="s">
        <v>182</v>
      </c>
      <c r="E114" s="10">
        <v>30</v>
      </c>
      <c r="F114" s="7">
        <v>1</v>
      </c>
      <c r="G114" s="10">
        <v>0</v>
      </c>
      <c r="H114" s="7">
        <v>0</v>
      </c>
      <c r="I114" s="10">
        <v>0</v>
      </c>
      <c r="J114" s="7">
        <v>0</v>
      </c>
      <c r="K114" s="12">
        <v>0</v>
      </c>
      <c r="L114" s="7">
        <v>0</v>
      </c>
      <c r="M114" s="18">
        <f t="shared" si="5"/>
        <v>30</v>
      </c>
      <c r="N114" s="19">
        <f t="shared" si="6"/>
        <v>1</v>
      </c>
      <c r="O114" s="18">
        <f t="shared" si="7"/>
        <v>0</v>
      </c>
      <c r="P114" s="18" t="str">
        <f t="shared" si="8"/>
        <v>OK</v>
      </c>
      <c r="Q114" s="12" t="s">
        <v>175</v>
      </c>
      <c r="R114" s="10">
        <f t="shared" si="9"/>
        <v>0</v>
      </c>
      <c r="S114" s="10">
        <v>0</v>
      </c>
      <c r="T114" s="10">
        <v>0</v>
      </c>
      <c r="U114" s="10">
        <v>0</v>
      </c>
      <c r="V114" s="12"/>
    </row>
    <row r="115" spans="1:22" x14ac:dyDescent="0.25">
      <c r="A115" t="s">
        <v>108</v>
      </c>
      <c r="B115" t="s">
        <v>189</v>
      </c>
      <c r="C115" s="1">
        <v>46357</v>
      </c>
      <c r="D115" t="s">
        <v>174</v>
      </c>
      <c r="E115" s="10">
        <v>30</v>
      </c>
      <c r="F115" s="7">
        <v>1</v>
      </c>
      <c r="G115" s="10">
        <v>0</v>
      </c>
      <c r="H115" s="7">
        <v>0</v>
      </c>
      <c r="I115" s="10">
        <v>0</v>
      </c>
      <c r="J115" s="7">
        <v>0</v>
      </c>
      <c r="K115" s="12">
        <v>0</v>
      </c>
      <c r="L115" s="7">
        <v>0</v>
      </c>
      <c r="M115" s="18">
        <f t="shared" si="5"/>
        <v>30</v>
      </c>
      <c r="N115" s="19">
        <f t="shared" si="6"/>
        <v>1</v>
      </c>
      <c r="O115" s="18">
        <f t="shared" si="7"/>
        <v>0</v>
      </c>
      <c r="P115" s="18" t="str">
        <f t="shared" si="8"/>
        <v>OK</v>
      </c>
      <c r="Q115" s="12" t="s">
        <v>175</v>
      </c>
      <c r="R115" s="10">
        <f t="shared" si="9"/>
        <v>0</v>
      </c>
      <c r="S115" s="10">
        <v>0</v>
      </c>
      <c r="T115" s="10">
        <v>0</v>
      </c>
      <c r="U115" s="10">
        <v>0</v>
      </c>
      <c r="V115" s="12"/>
    </row>
    <row r="116" spans="1:22" x14ac:dyDescent="0.25">
      <c r="A116" t="s">
        <v>110</v>
      </c>
      <c r="B116" t="s">
        <v>173</v>
      </c>
      <c r="C116" s="1">
        <v>46023</v>
      </c>
      <c r="D116" t="s">
        <v>174</v>
      </c>
      <c r="E116" s="10">
        <v>30</v>
      </c>
      <c r="F116" s="7">
        <v>1</v>
      </c>
      <c r="G116" s="10">
        <v>0</v>
      </c>
      <c r="H116" s="7">
        <v>0</v>
      </c>
      <c r="I116" s="10">
        <v>0</v>
      </c>
      <c r="J116" s="7">
        <v>0</v>
      </c>
      <c r="K116" s="12">
        <v>0</v>
      </c>
      <c r="L116" s="7">
        <v>0</v>
      </c>
      <c r="M116" s="18">
        <f t="shared" si="5"/>
        <v>30</v>
      </c>
      <c r="N116" s="19">
        <f t="shared" si="6"/>
        <v>1</v>
      </c>
      <c r="O116" s="18">
        <f t="shared" si="7"/>
        <v>0</v>
      </c>
      <c r="P116" s="18" t="str">
        <f t="shared" si="8"/>
        <v>OK</v>
      </c>
      <c r="Q116" s="12" t="s">
        <v>175</v>
      </c>
      <c r="R116" s="10">
        <f t="shared" si="9"/>
        <v>0</v>
      </c>
      <c r="S116" s="10">
        <v>0</v>
      </c>
      <c r="T116" s="10">
        <v>0</v>
      </c>
      <c r="U116" s="10">
        <v>0</v>
      </c>
      <c r="V116" s="12"/>
    </row>
    <row r="117" spans="1:22" x14ac:dyDescent="0.25">
      <c r="A117" t="s">
        <v>110</v>
      </c>
      <c r="B117" t="s">
        <v>176</v>
      </c>
      <c r="C117" s="1">
        <v>46054</v>
      </c>
      <c r="D117" t="s">
        <v>174</v>
      </c>
      <c r="E117" s="10">
        <v>30</v>
      </c>
      <c r="F117" s="7">
        <v>1</v>
      </c>
      <c r="G117" s="10">
        <v>0</v>
      </c>
      <c r="H117" s="7">
        <v>0</v>
      </c>
      <c r="I117" s="10">
        <v>0</v>
      </c>
      <c r="J117" s="7">
        <v>0</v>
      </c>
      <c r="K117" s="12">
        <v>0</v>
      </c>
      <c r="L117" s="7">
        <v>0</v>
      </c>
      <c r="M117" s="18">
        <f t="shared" si="5"/>
        <v>30</v>
      </c>
      <c r="N117" s="19">
        <f t="shared" si="6"/>
        <v>1</v>
      </c>
      <c r="O117" s="18">
        <f t="shared" si="7"/>
        <v>0</v>
      </c>
      <c r="P117" s="18" t="str">
        <f t="shared" si="8"/>
        <v>OK</v>
      </c>
      <c r="Q117" s="12" t="s">
        <v>175</v>
      </c>
      <c r="R117" s="10">
        <f t="shared" si="9"/>
        <v>0</v>
      </c>
      <c r="S117" s="10">
        <v>0</v>
      </c>
      <c r="T117" s="10">
        <v>0</v>
      </c>
      <c r="U117" s="10">
        <v>0</v>
      </c>
      <c r="V117" s="12"/>
    </row>
    <row r="118" spans="1:22" x14ac:dyDescent="0.25">
      <c r="A118" t="s">
        <v>110</v>
      </c>
      <c r="B118" t="s">
        <v>177</v>
      </c>
      <c r="C118" s="1">
        <v>46082</v>
      </c>
      <c r="D118" t="s">
        <v>174</v>
      </c>
      <c r="E118" s="10">
        <v>30</v>
      </c>
      <c r="F118" s="7">
        <v>1</v>
      </c>
      <c r="G118" s="10">
        <v>0</v>
      </c>
      <c r="H118" s="7">
        <v>0</v>
      </c>
      <c r="I118" s="10">
        <v>0</v>
      </c>
      <c r="J118" s="7">
        <v>0</v>
      </c>
      <c r="K118" s="12">
        <v>0</v>
      </c>
      <c r="L118" s="7">
        <v>0</v>
      </c>
      <c r="M118" s="18">
        <f t="shared" si="5"/>
        <v>30</v>
      </c>
      <c r="N118" s="19">
        <f t="shared" si="6"/>
        <v>1</v>
      </c>
      <c r="O118" s="18">
        <f t="shared" si="7"/>
        <v>0</v>
      </c>
      <c r="P118" s="18" t="str">
        <f t="shared" si="8"/>
        <v>OK</v>
      </c>
      <c r="Q118" s="12" t="s">
        <v>175</v>
      </c>
      <c r="R118" s="10">
        <f t="shared" si="9"/>
        <v>0</v>
      </c>
      <c r="S118" s="10">
        <v>0</v>
      </c>
      <c r="T118" s="10">
        <v>0</v>
      </c>
      <c r="U118" s="10">
        <v>0</v>
      </c>
      <c r="V118" s="12"/>
    </row>
    <row r="119" spans="1:22" x14ac:dyDescent="0.25">
      <c r="A119" t="s">
        <v>110</v>
      </c>
      <c r="B119" t="s">
        <v>178</v>
      </c>
      <c r="C119" s="1">
        <v>46113</v>
      </c>
      <c r="D119" t="s">
        <v>174</v>
      </c>
      <c r="E119" s="10">
        <v>30</v>
      </c>
      <c r="F119" s="7">
        <v>1</v>
      </c>
      <c r="G119" s="10">
        <v>0</v>
      </c>
      <c r="H119" s="7">
        <v>0</v>
      </c>
      <c r="I119" s="10">
        <v>0</v>
      </c>
      <c r="J119" s="7">
        <v>0</v>
      </c>
      <c r="K119" s="12">
        <v>0</v>
      </c>
      <c r="L119" s="7">
        <v>0</v>
      </c>
      <c r="M119" s="18">
        <f t="shared" si="5"/>
        <v>30</v>
      </c>
      <c r="N119" s="19">
        <f t="shared" si="6"/>
        <v>1</v>
      </c>
      <c r="O119" s="18">
        <f t="shared" si="7"/>
        <v>0</v>
      </c>
      <c r="P119" s="18" t="str">
        <f t="shared" si="8"/>
        <v>OK</v>
      </c>
      <c r="Q119" s="12" t="s">
        <v>175</v>
      </c>
      <c r="R119" s="10">
        <f t="shared" si="9"/>
        <v>0</v>
      </c>
      <c r="S119" s="10">
        <v>0</v>
      </c>
      <c r="T119" s="10">
        <v>0</v>
      </c>
      <c r="U119" s="10">
        <v>0</v>
      </c>
      <c r="V119" s="12"/>
    </row>
    <row r="120" spans="1:22" x14ac:dyDescent="0.25">
      <c r="A120" t="s">
        <v>110</v>
      </c>
      <c r="B120" t="s">
        <v>179</v>
      </c>
      <c r="C120" s="1">
        <v>46143</v>
      </c>
      <c r="D120" t="s">
        <v>174</v>
      </c>
      <c r="E120" s="10">
        <v>30</v>
      </c>
      <c r="F120" s="7">
        <v>1</v>
      </c>
      <c r="G120" s="10">
        <v>0</v>
      </c>
      <c r="H120" s="7">
        <v>0</v>
      </c>
      <c r="I120" s="10">
        <v>0</v>
      </c>
      <c r="J120" s="7">
        <v>0</v>
      </c>
      <c r="K120" s="12">
        <v>0</v>
      </c>
      <c r="L120" s="7">
        <v>0</v>
      </c>
      <c r="M120" s="18">
        <f t="shared" si="5"/>
        <v>30</v>
      </c>
      <c r="N120" s="19">
        <f t="shared" si="6"/>
        <v>1</v>
      </c>
      <c r="O120" s="18">
        <f t="shared" si="7"/>
        <v>0</v>
      </c>
      <c r="P120" s="18" t="str">
        <f t="shared" si="8"/>
        <v>OK</v>
      </c>
      <c r="Q120" s="12" t="s">
        <v>175</v>
      </c>
      <c r="R120" s="10">
        <f t="shared" si="9"/>
        <v>0</v>
      </c>
      <c r="S120" s="10">
        <v>0</v>
      </c>
      <c r="T120" s="10">
        <v>0</v>
      </c>
      <c r="U120" s="10">
        <v>0</v>
      </c>
      <c r="V120" s="12"/>
    </row>
    <row r="121" spans="1:22" x14ac:dyDescent="0.25">
      <c r="A121" t="s">
        <v>110</v>
      </c>
      <c r="B121" t="s">
        <v>180</v>
      </c>
      <c r="C121" s="1">
        <v>46174</v>
      </c>
      <c r="D121" t="s">
        <v>174</v>
      </c>
      <c r="E121" s="10">
        <v>30</v>
      </c>
      <c r="F121" s="7">
        <v>1</v>
      </c>
      <c r="G121" s="10">
        <v>0</v>
      </c>
      <c r="H121" s="7">
        <v>0</v>
      </c>
      <c r="I121" s="10">
        <v>0</v>
      </c>
      <c r="J121" s="7">
        <v>0</v>
      </c>
      <c r="K121" s="12">
        <v>0</v>
      </c>
      <c r="L121" s="7">
        <v>0</v>
      </c>
      <c r="M121" s="18">
        <f t="shared" si="5"/>
        <v>30</v>
      </c>
      <c r="N121" s="19">
        <f t="shared" si="6"/>
        <v>1</v>
      </c>
      <c r="O121" s="18">
        <f t="shared" si="7"/>
        <v>0</v>
      </c>
      <c r="P121" s="18" t="str">
        <f t="shared" si="8"/>
        <v>OK</v>
      </c>
      <c r="Q121" s="12" t="s">
        <v>175</v>
      </c>
      <c r="R121" s="10">
        <f t="shared" si="9"/>
        <v>0</v>
      </c>
      <c r="S121" s="10">
        <v>0</v>
      </c>
      <c r="T121" s="10">
        <v>0</v>
      </c>
      <c r="U121" s="10">
        <v>0</v>
      </c>
      <c r="V121" s="12"/>
    </row>
    <row r="122" spans="1:22" x14ac:dyDescent="0.25">
      <c r="A122" t="s">
        <v>110</v>
      </c>
      <c r="B122" t="s">
        <v>181</v>
      </c>
      <c r="C122" s="1">
        <v>46204</v>
      </c>
      <c r="D122" t="s">
        <v>182</v>
      </c>
      <c r="E122" s="10">
        <v>30</v>
      </c>
      <c r="F122" s="7">
        <v>1</v>
      </c>
      <c r="G122" s="10">
        <v>0</v>
      </c>
      <c r="H122" s="7">
        <v>0</v>
      </c>
      <c r="I122" s="10">
        <v>0</v>
      </c>
      <c r="J122" s="7">
        <v>0</v>
      </c>
      <c r="K122" s="12">
        <v>0</v>
      </c>
      <c r="L122" s="7">
        <v>0</v>
      </c>
      <c r="M122" s="18">
        <f t="shared" si="5"/>
        <v>30</v>
      </c>
      <c r="N122" s="19">
        <f t="shared" si="6"/>
        <v>1</v>
      </c>
      <c r="O122" s="18">
        <f t="shared" si="7"/>
        <v>0</v>
      </c>
      <c r="P122" s="18" t="str">
        <f t="shared" si="8"/>
        <v>OK</v>
      </c>
      <c r="Q122" s="12" t="s">
        <v>175</v>
      </c>
      <c r="R122" s="10">
        <f t="shared" si="9"/>
        <v>0</v>
      </c>
      <c r="S122" s="10">
        <v>0</v>
      </c>
      <c r="T122" s="10">
        <v>0</v>
      </c>
      <c r="U122" s="10">
        <v>0</v>
      </c>
      <c r="V122" s="12"/>
    </row>
    <row r="123" spans="1:22" x14ac:dyDescent="0.25">
      <c r="A123" t="s">
        <v>110</v>
      </c>
      <c r="B123" t="s">
        <v>183</v>
      </c>
      <c r="C123" s="1">
        <v>46204</v>
      </c>
      <c r="D123" t="s">
        <v>174</v>
      </c>
      <c r="E123" s="10">
        <v>30</v>
      </c>
      <c r="F123" s="7">
        <v>1</v>
      </c>
      <c r="G123" s="10">
        <v>0</v>
      </c>
      <c r="H123" s="7">
        <v>0</v>
      </c>
      <c r="I123" s="10">
        <v>0</v>
      </c>
      <c r="J123" s="7">
        <v>0</v>
      </c>
      <c r="K123" s="12">
        <v>0</v>
      </c>
      <c r="L123" s="7">
        <v>0</v>
      </c>
      <c r="M123" s="18">
        <f t="shared" si="5"/>
        <v>30</v>
      </c>
      <c r="N123" s="19">
        <f t="shared" si="6"/>
        <v>1</v>
      </c>
      <c r="O123" s="18">
        <f t="shared" si="7"/>
        <v>0</v>
      </c>
      <c r="P123" s="18" t="str">
        <f t="shared" si="8"/>
        <v>OK</v>
      </c>
      <c r="Q123" s="12" t="s">
        <v>175</v>
      </c>
      <c r="R123" s="10">
        <f t="shared" si="9"/>
        <v>0</v>
      </c>
      <c r="S123" s="10">
        <v>0</v>
      </c>
      <c r="T123" s="10">
        <v>0</v>
      </c>
      <c r="U123" s="10">
        <v>0</v>
      </c>
      <c r="V123" s="12"/>
    </row>
    <row r="124" spans="1:22" x14ac:dyDescent="0.25">
      <c r="A124" t="s">
        <v>110</v>
      </c>
      <c r="B124" t="s">
        <v>184</v>
      </c>
      <c r="C124" s="1">
        <v>46235</v>
      </c>
      <c r="D124" t="s">
        <v>174</v>
      </c>
      <c r="E124" s="10">
        <v>30</v>
      </c>
      <c r="F124" s="7">
        <v>1</v>
      </c>
      <c r="G124" s="10">
        <v>0</v>
      </c>
      <c r="H124" s="7">
        <v>0</v>
      </c>
      <c r="I124" s="10">
        <v>0</v>
      </c>
      <c r="J124" s="7">
        <v>0</v>
      </c>
      <c r="K124" s="12">
        <v>0</v>
      </c>
      <c r="L124" s="7">
        <v>0</v>
      </c>
      <c r="M124" s="18">
        <f t="shared" si="5"/>
        <v>30</v>
      </c>
      <c r="N124" s="19">
        <f t="shared" si="6"/>
        <v>1</v>
      </c>
      <c r="O124" s="18">
        <f t="shared" si="7"/>
        <v>0</v>
      </c>
      <c r="P124" s="18" t="str">
        <f t="shared" si="8"/>
        <v>OK</v>
      </c>
      <c r="Q124" s="12" t="s">
        <v>175</v>
      </c>
      <c r="R124" s="10">
        <f t="shared" si="9"/>
        <v>0</v>
      </c>
      <c r="S124" s="10">
        <v>0</v>
      </c>
      <c r="T124" s="10">
        <v>0</v>
      </c>
      <c r="U124" s="10">
        <v>0</v>
      </c>
      <c r="V124" s="12"/>
    </row>
    <row r="125" spans="1:22" x14ac:dyDescent="0.25">
      <c r="A125" t="s">
        <v>110</v>
      </c>
      <c r="B125" t="s">
        <v>185</v>
      </c>
      <c r="C125" s="1">
        <v>46266</v>
      </c>
      <c r="D125" t="s">
        <v>174</v>
      </c>
      <c r="E125" s="10">
        <v>30</v>
      </c>
      <c r="F125" s="7">
        <v>1</v>
      </c>
      <c r="G125" s="10">
        <v>0</v>
      </c>
      <c r="H125" s="7">
        <v>0</v>
      </c>
      <c r="I125" s="10">
        <v>0</v>
      </c>
      <c r="J125" s="7">
        <v>0</v>
      </c>
      <c r="K125" s="12">
        <v>0</v>
      </c>
      <c r="L125" s="7">
        <v>0</v>
      </c>
      <c r="M125" s="18">
        <f t="shared" si="5"/>
        <v>30</v>
      </c>
      <c r="N125" s="19">
        <f t="shared" si="6"/>
        <v>1</v>
      </c>
      <c r="O125" s="18">
        <f t="shared" si="7"/>
        <v>0</v>
      </c>
      <c r="P125" s="18" t="str">
        <f t="shared" si="8"/>
        <v>OK</v>
      </c>
      <c r="Q125" s="12" t="s">
        <v>175</v>
      </c>
      <c r="R125" s="10">
        <f t="shared" si="9"/>
        <v>0</v>
      </c>
      <c r="S125" s="10">
        <v>0</v>
      </c>
      <c r="T125" s="10">
        <v>0</v>
      </c>
      <c r="U125" s="10">
        <v>0</v>
      </c>
      <c r="V125" s="12"/>
    </row>
    <row r="126" spans="1:22" x14ac:dyDescent="0.25">
      <c r="A126" t="s">
        <v>110</v>
      </c>
      <c r="B126" t="s">
        <v>186</v>
      </c>
      <c r="C126" s="1">
        <v>46296</v>
      </c>
      <c r="D126" t="s">
        <v>174</v>
      </c>
      <c r="E126" s="10">
        <v>30</v>
      </c>
      <c r="F126" s="7">
        <v>1</v>
      </c>
      <c r="G126" s="10">
        <v>0</v>
      </c>
      <c r="H126" s="7">
        <v>0</v>
      </c>
      <c r="I126" s="10">
        <v>0</v>
      </c>
      <c r="J126" s="7">
        <v>0</v>
      </c>
      <c r="K126" s="12">
        <v>0</v>
      </c>
      <c r="L126" s="7">
        <v>0</v>
      </c>
      <c r="M126" s="18">
        <f t="shared" si="5"/>
        <v>30</v>
      </c>
      <c r="N126" s="19">
        <f t="shared" si="6"/>
        <v>1</v>
      </c>
      <c r="O126" s="18">
        <f t="shared" si="7"/>
        <v>0</v>
      </c>
      <c r="P126" s="18" t="str">
        <f t="shared" si="8"/>
        <v>OK</v>
      </c>
      <c r="Q126" s="12" t="s">
        <v>175</v>
      </c>
      <c r="R126" s="10">
        <f t="shared" si="9"/>
        <v>0</v>
      </c>
      <c r="S126" s="10">
        <v>0</v>
      </c>
      <c r="T126" s="10">
        <v>0</v>
      </c>
      <c r="U126" s="10">
        <v>0</v>
      </c>
      <c r="V126" s="12"/>
    </row>
    <row r="127" spans="1:22" x14ac:dyDescent="0.25">
      <c r="A127" t="s">
        <v>110</v>
      </c>
      <c r="B127" t="s">
        <v>187</v>
      </c>
      <c r="C127" s="1">
        <v>46327</v>
      </c>
      <c r="D127" t="s">
        <v>174</v>
      </c>
      <c r="E127" s="10">
        <v>30</v>
      </c>
      <c r="F127" s="7">
        <v>1</v>
      </c>
      <c r="G127" s="10">
        <v>0</v>
      </c>
      <c r="H127" s="7">
        <v>0</v>
      </c>
      <c r="I127" s="10">
        <v>0</v>
      </c>
      <c r="J127" s="7">
        <v>0</v>
      </c>
      <c r="K127" s="12">
        <v>0</v>
      </c>
      <c r="L127" s="7">
        <v>0</v>
      </c>
      <c r="M127" s="18">
        <f t="shared" si="5"/>
        <v>30</v>
      </c>
      <c r="N127" s="19">
        <f t="shared" si="6"/>
        <v>1</v>
      </c>
      <c r="O127" s="18">
        <f t="shared" si="7"/>
        <v>0</v>
      </c>
      <c r="P127" s="18" t="str">
        <f t="shared" si="8"/>
        <v>OK</v>
      </c>
      <c r="Q127" s="12" t="s">
        <v>175</v>
      </c>
      <c r="R127" s="10">
        <f t="shared" si="9"/>
        <v>0</v>
      </c>
      <c r="S127" s="10">
        <v>0</v>
      </c>
      <c r="T127" s="10">
        <v>0</v>
      </c>
      <c r="U127" s="10">
        <v>0</v>
      </c>
      <c r="V127" s="12"/>
    </row>
    <row r="128" spans="1:22" x14ac:dyDescent="0.25">
      <c r="A128" t="s">
        <v>110</v>
      </c>
      <c r="B128" t="s">
        <v>188</v>
      </c>
      <c r="C128" s="1">
        <v>46357</v>
      </c>
      <c r="D128" t="s">
        <v>182</v>
      </c>
      <c r="E128" s="10">
        <v>30</v>
      </c>
      <c r="F128" s="7">
        <v>1</v>
      </c>
      <c r="G128" s="10">
        <v>0</v>
      </c>
      <c r="H128" s="7">
        <v>0</v>
      </c>
      <c r="I128" s="10">
        <v>0</v>
      </c>
      <c r="J128" s="7">
        <v>0</v>
      </c>
      <c r="K128" s="12">
        <v>0</v>
      </c>
      <c r="L128" s="7">
        <v>0</v>
      </c>
      <c r="M128" s="18">
        <f t="shared" si="5"/>
        <v>30</v>
      </c>
      <c r="N128" s="19">
        <f t="shared" si="6"/>
        <v>1</v>
      </c>
      <c r="O128" s="18">
        <f t="shared" si="7"/>
        <v>0</v>
      </c>
      <c r="P128" s="18" t="str">
        <f t="shared" si="8"/>
        <v>OK</v>
      </c>
      <c r="Q128" s="12" t="s">
        <v>175</v>
      </c>
      <c r="R128" s="10">
        <f t="shared" si="9"/>
        <v>0</v>
      </c>
      <c r="S128" s="10">
        <v>0</v>
      </c>
      <c r="T128" s="10">
        <v>0</v>
      </c>
      <c r="U128" s="10">
        <v>0</v>
      </c>
      <c r="V128" s="12"/>
    </row>
    <row r="129" spans="1:22" x14ac:dyDescent="0.25">
      <c r="A129" t="s">
        <v>110</v>
      </c>
      <c r="B129" t="s">
        <v>189</v>
      </c>
      <c r="C129" s="1">
        <v>46357</v>
      </c>
      <c r="D129" t="s">
        <v>174</v>
      </c>
      <c r="E129" s="10">
        <v>30</v>
      </c>
      <c r="F129" s="7">
        <v>1</v>
      </c>
      <c r="G129" s="10">
        <v>0</v>
      </c>
      <c r="H129" s="7">
        <v>0</v>
      </c>
      <c r="I129" s="10">
        <v>0</v>
      </c>
      <c r="J129" s="7">
        <v>0</v>
      </c>
      <c r="K129" s="12">
        <v>0</v>
      </c>
      <c r="L129" s="7">
        <v>0</v>
      </c>
      <c r="M129" s="18">
        <f t="shared" si="5"/>
        <v>30</v>
      </c>
      <c r="N129" s="19">
        <f t="shared" si="6"/>
        <v>1</v>
      </c>
      <c r="O129" s="18">
        <f t="shared" si="7"/>
        <v>0</v>
      </c>
      <c r="P129" s="18" t="str">
        <f t="shared" si="8"/>
        <v>OK</v>
      </c>
      <c r="Q129" s="12" t="s">
        <v>175</v>
      </c>
      <c r="R129" s="10">
        <f t="shared" si="9"/>
        <v>0</v>
      </c>
      <c r="S129" s="10">
        <v>0</v>
      </c>
      <c r="T129" s="10">
        <v>0</v>
      </c>
      <c r="U129" s="10">
        <v>0</v>
      </c>
      <c r="V129" s="12"/>
    </row>
    <row r="130" spans="1:22" x14ac:dyDescent="0.25">
      <c r="A130" t="s">
        <v>112</v>
      </c>
      <c r="B130" t="s">
        <v>173</v>
      </c>
      <c r="C130" s="1">
        <v>46023</v>
      </c>
      <c r="D130" t="s">
        <v>174</v>
      </c>
      <c r="E130" s="10">
        <v>30</v>
      </c>
      <c r="F130" s="7">
        <v>1</v>
      </c>
      <c r="G130" s="10">
        <v>0</v>
      </c>
      <c r="H130" s="7">
        <v>0</v>
      </c>
      <c r="I130" s="10">
        <v>0</v>
      </c>
      <c r="J130" s="7">
        <v>0</v>
      </c>
      <c r="K130" s="12">
        <v>0</v>
      </c>
      <c r="L130" s="7">
        <v>0</v>
      </c>
      <c r="M130" s="18">
        <f t="shared" si="5"/>
        <v>30</v>
      </c>
      <c r="N130" s="19">
        <f t="shared" si="6"/>
        <v>1</v>
      </c>
      <c r="O130" s="18">
        <f t="shared" si="7"/>
        <v>0</v>
      </c>
      <c r="P130" s="18" t="str">
        <f t="shared" si="8"/>
        <v>OK</v>
      </c>
      <c r="Q130" s="12" t="s">
        <v>175</v>
      </c>
      <c r="R130" s="10">
        <f t="shared" si="9"/>
        <v>0</v>
      </c>
      <c r="S130" s="10">
        <v>0</v>
      </c>
      <c r="T130" s="10">
        <v>0</v>
      </c>
      <c r="U130" s="10">
        <v>0</v>
      </c>
      <c r="V130" s="12"/>
    </row>
    <row r="131" spans="1:22" x14ac:dyDescent="0.25">
      <c r="A131" t="s">
        <v>112</v>
      </c>
      <c r="B131" t="s">
        <v>176</v>
      </c>
      <c r="C131" s="1">
        <v>46054</v>
      </c>
      <c r="D131" t="s">
        <v>174</v>
      </c>
      <c r="E131" s="10">
        <v>30</v>
      </c>
      <c r="F131" s="7">
        <v>1</v>
      </c>
      <c r="G131" s="10">
        <v>0</v>
      </c>
      <c r="H131" s="7">
        <v>0</v>
      </c>
      <c r="I131" s="10">
        <v>0</v>
      </c>
      <c r="J131" s="7">
        <v>0</v>
      </c>
      <c r="K131" s="12">
        <v>0</v>
      </c>
      <c r="L131" s="7">
        <v>0</v>
      </c>
      <c r="M131" s="18">
        <f t="shared" si="5"/>
        <v>30</v>
      </c>
      <c r="N131" s="19">
        <f t="shared" si="6"/>
        <v>1</v>
      </c>
      <c r="O131" s="18">
        <f t="shared" si="7"/>
        <v>0</v>
      </c>
      <c r="P131" s="18" t="str">
        <f t="shared" si="8"/>
        <v>OK</v>
      </c>
      <c r="Q131" s="12" t="s">
        <v>175</v>
      </c>
      <c r="R131" s="10">
        <f t="shared" si="9"/>
        <v>0</v>
      </c>
      <c r="S131" s="10">
        <v>0</v>
      </c>
      <c r="T131" s="10">
        <v>0</v>
      </c>
      <c r="U131" s="10">
        <v>0</v>
      </c>
      <c r="V131" s="12"/>
    </row>
    <row r="132" spans="1:22" x14ac:dyDescent="0.25">
      <c r="A132" t="s">
        <v>112</v>
      </c>
      <c r="B132" t="s">
        <v>177</v>
      </c>
      <c r="C132" s="1">
        <v>46082</v>
      </c>
      <c r="D132" t="s">
        <v>174</v>
      </c>
      <c r="E132" s="10">
        <v>30</v>
      </c>
      <c r="F132" s="7">
        <v>1</v>
      </c>
      <c r="G132" s="10">
        <v>0</v>
      </c>
      <c r="H132" s="7">
        <v>0</v>
      </c>
      <c r="I132" s="10">
        <v>0</v>
      </c>
      <c r="J132" s="7">
        <v>0</v>
      </c>
      <c r="K132" s="12">
        <v>0</v>
      </c>
      <c r="L132" s="7">
        <v>0</v>
      </c>
      <c r="M132" s="18">
        <f t="shared" ref="M132:M195" si="10">SUM(E132,G132,I132,K132)</f>
        <v>30</v>
      </c>
      <c r="N132" s="19">
        <f t="shared" ref="N132:N195" si="11">IF(M132=0,0,(E132*F132+G132*H132+I132*J132+K132*L132)/30)</f>
        <v>1</v>
      </c>
      <c r="O132" s="18">
        <f t="shared" ref="O132:O195" si="12">IF(Q132="Nacimiento/cuidado menor",E132*(1-F132)+G132*(1-H132)+I132*(1-J132)+K132*(1-L132),0)</f>
        <v>0</v>
      </c>
      <c r="P132" s="18" t="str">
        <f t="shared" ref="P132:P195" si="13">IF(M132=30,"OK","ERROR · "&amp;M132&amp;" días")</f>
        <v>OK</v>
      </c>
      <c r="Q132" s="12" t="s">
        <v>175</v>
      </c>
      <c r="R132" s="10">
        <f t="shared" ref="R132:R195" si="14">IF($Q132="Nacimiento/cuidado menor",IF($W132&gt;0,$W132/30,0),0)</f>
        <v>0</v>
      </c>
      <c r="S132" s="10">
        <v>0</v>
      </c>
      <c r="T132" s="10">
        <v>0</v>
      </c>
      <c r="U132" s="10">
        <v>0</v>
      </c>
      <c r="V132" s="12"/>
    </row>
    <row r="133" spans="1:22" x14ac:dyDescent="0.25">
      <c r="A133" t="s">
        <v>112</v>
      </c>
      <c r="B133" t="s">
        <v>178</v>
      </c>
      <c r="C133" s="1">
        <v>46113</v>
      </c>
      <c r="D133" t="s">
        <v>174</v>
      </c>
      <c r="E133" s="10">
        <v>30</v>
      </c>
      <c r="F133" s="7">
        <v>1</v>
      </c>
      <c r="G133" s="10">
        <v>0</v>
      </c>
      <c r="H133" s="7">
        <v>0</v>
      </c>
      <c r="I133" s="10">
        <v>0</v>
      </c>
      <c r="J133" s="7">
        <v>0</v>
      </c>
      <c r="K133" s="12">
        <v>0</v>
      </c>
      <c r="L133" s="7">
        <v>0</v>
      </c>
      <c r="M133" s="18">
        <f t="shared" si="10"/>
        <v>30</v>
      </c>
      <c r="N133" s="19">
        <f t="shared" si="11"/>
        <v>1</v>
      </c>
      <c r="O133" s="18">
        <f t="shared" si="12"/>
        <v>0</v>
      </c>
      <c r="P133" s="18" t="str">
        <f t="shared" si="13"/>
        <v>OK</v>
      </c>
      <c r="Q133" s="12" t="s">
        <v>175</v>
      </c>
      <c r="R133" s="10">
        <f t="shared" si="14"/>
        <v>0</v>
      </c>
      <c r="S133" s="10">
        <v>0</v>
      </c>
      <c r="T133" s="10">
        <v>0</v>
      </c>
      <c r="U133" s="10">
        <v>0</v>
      </c>
      <c r="V133" s="12"/>
    </row>
    <row r="134" spans="1:22" x14ac:dyDescent="0.25">
      <c r="A134" t="s">
        <v>112</v>
      </c>
      <c r="B134" t="s">
        <v>179</v>
      </c>
      <c r="C134" s="1">
        <v>46143</v>
      </c>
      <c r="D134" t="s">
        <v>174</v>
      </c>
      <c r="E134" s="10">
        <v>30</v>
      </c>
      <c r="F134" s="7">
        <v>1</v>
      </c>
      <c r="G134" s="10">
        <v>0</v>
      </c>
      <c r="H134" s="7">
        <v>0</v>
      </c>
      <c r="I134" s="10">
        <v>0</v>
      </c>
      <c r="J134" s="7">
        <v>0</v>
      </c>
      <c r="K134" s="12">
        <v>0</v>
      </c>
      <c r="L134" s="7">
        <v>0</v>
      </c>
      <c r="M134" s="18">
        <f t="shared" si="10"/>
        <v>30</v>
      </c>
      <c r="N134" s="19">
        <f t="shared" si="11"/>
        <v>1</v>
      </c>
      <c r="O134" s="18">
        <f t="shared" si="12"/>
        <v>0</v>
      </c>
      <c r="P134" s="18" t="str">
        <f t="shared" si="13"/>
        <v>OK</v>
      </c>
      <c r="Q134" s="12" t="s">
        <v>175</v>
      </c>
      <c r="R134" s="10">
        <f t="shared" si="14"/>
        <v>0</v>
      </c>
      <c r="S134" s="10">
        <v>0</v>
      </c>
      <c r="T134" s="10">
        <v>0</v>
      </c>
      <c r="U134" s="10">
        <v>0</v>
      </c>
      <c r="V134" s="12"/>
    </row>
    <row r="135" spans="1:22" x14ac:dyDescent="0.25">
      <c r="A135" t="s">
        <v>112</v>
      </c>
      <c r="B135" t="s">
        <v>180</v>
      </c>
      <c r="C135" s="1">
        <v>46174</v>
      </c>
      <c r="D135" t="s">
        <v>174</v>
      </c>
      <c r="E135" s="10">
        <v>30</v>
      </c>
      <c r="F135" s="7">
        <v>1</v>
      </c>
      <c r="G135" s="10">
        <v>0</v>
      </c>
      <c r="H135" s="7">
        <v>0</v>
      </c>
      <c r="I135" s="10">
        <v>0</v>
      </c>
      <c r="J135" s="7">
        <v>0</v>
      </c>
      <c r="K135" s="12">
        <v>0</v>
      </c>
      <c r="L135" s="7">
        <v>0</v>
      </c>
      <c r="M135" s="18">
        <f t="shared" si="10"/>
        <v>30</v>
      </c>
      <c r="N135" s="19">
        <f t="shared" si="11"/>
        <v>1</v>
      </c>
      <c r="O135" s="18">
        <f t="shared" si="12"/>
        <v>0</v>
      </c>
      <c r="P135" s="18" t="str">
        <f t="shared" si="13"/>
        <v>OK</v>
      </c>
      <c r="Q135" s="12" t="s">
        <v>175</v>
      </c>
      <c r="R135" s="10">
        <f t="shared" si="14"/>
        <v>0</v>
      </c>
      <c r="S135" s="10">
        <v>0</v>
      </c>
      <c r="T135" s="10">
        <v>0</v>
      </c>
      <c r="U135" s="10">
        <v>0</v>
      </c>
      <c r="V135" s="12"/>
    </row>
    <row r="136" spans="1:22" x14ac:dyDescent="0.25">
      <c r="A136" t="s">
        <v>112</v>
      </c>
      <c r="B136" t="s">
        <v>181</v>
      </c>
      <c r="C136" s="1">
        <v>46204</v>
      </c>
      <c r="D136" t="s">
        <v>182</v>
      </c>
      <c r="E136" s="10">
        <v>30</v>
      </c>
      <c r="F136" s="7">
        <v>1</v>
      </c>
      <c r="G136" s="10">
        <v>0</v>
      </c>
      <c r="H136" s="7">
        <v>0</v>
      </c>
      <c r="I136" s="10">
        <v>0</v>
      </c>
      <c r="J136" s="7">
        <v>0</v>
      </c>
      <c r="K136" s="12">
        <v>0</v>
      </c>
      <c r="L136" s="7">
        <v>0</v>
      </c>
      <c r="M136" s="18">
        <f t="shared" si="10"/>
        <v>30</v>
      </c>
      <c r="N136" s="19">
        <f t="shared" si="11"/>
        <v>1</v>
      </c>
      <c r="O136" s="18">
        <f t="shared" si="12"/>
        <v>0</v>
      </c>
      <c r="P136" s="18" t="str">
        <f t="shared" si="13"/>
        <v>OK</v>
      </c>
      <c r="Q136" s="12" t="s">
        <v>175</v>
      </c>
      <c r="R136" s="10">
        <f t="shared" si="14"/>
        <v>0</v>
      </c>
      <c r="S136" s="10">
        <v>0</v>
      </c>
      <c r="T136" s="10">
        <v>0</v>
      </c>
      <c r="U136" s="10">
        <v>0</v>
      </c>
      <c r="V136" s="12"/>
    </row>
    <row r="137" spans="1:22" x14ac:dyDescent="0.25">
      <c r="A137" t="s">
        <v>112</v>
      </c>
      <c r="B137" t="s">
        <v>183</v>
      </c>
      <c r="C137" s="1">
        <v>46204</v>
      </c>
      <c r="D137" t="s">
        <v>174</v>
      </c>
      <c r="E137" s="10">
        <v>30</v>
      </c>
      <c r="F137" s="7">
        <v>1</v>
      </c>
      <c r="G137" s="10">
        <v>0</v>
      </c>
      <c r="H137" s="7">
        <v>0</v>
      </c>
      <c r="I137" s="10">
        <v>0</v>
      </c>
      <c r="J137" s="7">
        <v>0</v>
      </c>
      <c r="K137" s="12">
        <v>0</v>
      </c>
      <c r="L137" s="7">
        <v>0</v>
      </c>
      <c r="M137" s="18">
        <f t="shared" si="10"/>
        <v>30</v>
      </c>
      <c r="N137" s="19">
        <f t="shared" si="11"/>
        <v>1</v>
      </c>
      <c r="O137" s="18">
        <f t="shared" si="12"/>
        <v>0</v>
      </c>
      <c r="P137" s="18" t="str">
        <f t="shared" si="13"/>
        <v>OK</v>
      </c>
      <c r="Q137" s="12" t="s">
        <v>175</v>
      </c>
      <c r="R137" s="10">
        <f t="shared" si="14"/>
        <v>0</v>
      </c>
      <c r="S137" s="10">
        <v>0</v>
      </c>
      <c r="T137" s="10">
        <v>0</v>
      </c>
      <c r="U137" s="10">
        <v>0</v>
      </c>
      <c r="V137" s="12"/>
    </row>
    <row r="138" spans="1:22" x14ac:dyDescent="0.25">
      <c r="A138" t="s">
        <v>112</v>
      </c>
      <c r="B138" t="s">
        <v>184</v>
      </c>
      <c r="C138" s="1">
        <v>46235</v>
      </c>
      <c r="D138" t="s">
        <v>174</v>
      </c>
      <c r="E138" s="10">
        <v>30</v>
      </c>
      <c r="F138" s="7">
        <v>1</v>
      </c>
      <c r="G138" s="10">
        <v>0</v>
      </c>
      <c r="H138" s="7">
        <v>0</v>
      </c>
      <c r="I138" s="10">
        <v>0</v>
      </c>
      <c r="J138" s="7">
        <v>0</v>
      </c>
      <c r="K138" s="12">
        <v>0</v>
      </c>
      <c r="L138" s="7">
        <v>0</v>
      </c>
      <c r="M138" s="18">
        <f t="shared" si="10"/>
        <v>30</v>
      </c>
      <c r="N138" s="19">
        <f t="shared" si="11"/>
        <v>1</v>
      </c>
      <c r="O138" s="18">
        <f t="shared" si="12"/>
        <v>0</v>
      </c>
      <c r="P138" s="18" t="str">
        <f t="shared" si="13"/>
        <v>OK</v>
      </c>
      <c r="Q138" s="12" t="s">
        <v>175</v>
      </c>
      <c r="R138" s="10">
        <f t="shared" si="14"/>
        <v>0</v>
      </c>
      <c r="S138" s="10">
        <v>0</v>
      </c>
      <c r="T138" s="10">
        <v>0</v>
      </c>
      <c r="U138" s="10">
        <v>0</v>
      </c>
      <c r="V138" s="12"/>
    </row>
    <row r="139" spans="1:22" x14ac:dyDescent="0.25">
      <c r="A139" t="s">
        <v>112</v>
      </c>
      <c r="B139" t="s">
        <v>185</v>
      </c>
      <c r="C139" s="1">
        <v>46266</v>
      </c>
      <c r="D139" t="s">
        <v>174</v>
      </c>
      <c r="E139" s="10">
        <v>30</v>
      </c>
      <c r="F139" s="7">
        <v>1</v>
      </c>
      <c r="G139" s="10">
        <v>0</v>
      </c>
      <c r="H139" s="7">
        <v>0</v>
      </c>
      <c r="I139" s="10">
        <v>0</v>
      </c>
      <c r="J139" s="7">
        <v>0</v>
      </c>
      <c r="K139" s="12">
        <v>0</v>
      </c>
      <c r="L139" s="7">
        <v>0</v>
      </c>
      <c r="M139" s="18">
        <f t="shared" si="10"/>
        <v>30</v>
      </c>
      <c r="N139" s="19">
        <f t="shared" si="11"/>
        <v>1</v>
      </c>
      <c r="O139" s="18">
        <f t="shared" si="12"/>
        <v>0</v>
      </c>
      <c r="P139" s="18" t="str">
        <f t="shared" si="13"/>
        <v>OK</v>
      </c>
      <c r="Q139" s="12" t="s">
        <v>175</v>
      </c>
      <c r="R139" s="10">
        <f t="shared" si="14"/>
        <v>0</v>
      </c>
      <c r="S139" s="10">
        <v>0</v>
      </c>
      <c r="T139" s="10">
        <v>0</v>
      </c>
      <c r="U139" s="10">
        <v>0</v>
      </c>
      <c r="V139" s="12"/>
    </row>
    <row r="140" spans="1:22" x14ac:dyDescent="0.25">
      <c r="A140" t="s">
        <v>112</v>
      </c>
      <c r="B140" t="s">
        <v>186</v>
      </c>
      <c r="C140" s="1">
        <v>46296</v>
      </c>
      <c r="D140" t="s">
        <v>174</v>
      </c>
      <c r="E140" s="10">
        <v>30</v>
      </c>
      <c r="F140" s="7">
        <v>1</v>
      </c>
      <c r="G140" s="10">
        <v>0</v>
      </c>
      <c r="H140" s="7">
        <v>0</v>
      </c>
      <c r="I140" s="10">
        <v>0</v>
      </c>
      <c r="J140" s="7">
        <v>0</v>
      </c>
      <c r="K140" s="12">
        <v>0</v>
      </c>
      <c r="L140" s="7">
        <v>0</v>
      </c>
      <c r="M140" s="18">
        <f t="shared" si="10"/>
        <v>30</v>
      </c>
      <c r="N140" s="19">
        <f t="shared" si="11"/>
        <v>1</v>
      </c>
      <c r="O140" s="18">
        <f t="shared" si="12"/>
        <v>0</v>
      </c>
      <c r="P140" s="18" t="str">
        <f t="shared" si="13"/>
        <v>OK</v>
      </c>
      <c r="Q140" s="12" t="s">
        <v>175</v>
      </c>
      <c r="R140" s="10">
        <f t="shared" si="14"/>
        <v>0</v>
      </c>
      <c r="S140" s="10">
        <v>0</v>
      </c>
      <c r="T140" s="10">
        <v>0</v>
      </c>
      <c r="U140" s="10">
        <v>0</v>
      </c>
      <c r="V140" s="12"/>
    </row>
    <row r="141" spans="1:22" x14ac:dyDescent="0.25">
      <c r="A141" t="s">
        <v>112</v>
      </c>
      <c r="B141" t="s">
        <v>187</v>
      </c>
      <c r="C141" s="1">
        <v>46327</v>
      </c>
      <c r="D141" t="s">
        <v>174</v>
      </c>
      <c r="E141" s="10">
        <v>30</v>
      </c>
      <c r="F141" s="7">
        <v>1</v>
      </c>
      <c r="G141" s="10">
        <v>0</v>
      </c>
      <c r="H141" s="7">
        <v>0</v>
      </c>
      <c r="I141" s="10">
        <v>0</v>
      </c>
      <c r="J141" s="7">
        <v>0</v>
      </c>
      <c r="K141" s="12">
        <v>0</v>
      </c>
      <c r="L141" s="7">
        <v>0</v>
      </c>
      <c r="M141" s="18">
        <f t="shared" si="10"/>
        <v>30</v>
      </c>
      <c r="N141" s="19">
        <f t="shared" si="11"/>
        <v>1</v>
      </c>
      <c r="O141" s="18">
        <f t="shared" si="12"/>
        <v>0</v>
      </c>
      <c r="P141" s="18" t="str">
        <f t="shared" si="13"/>
        <v>OK</v>
      </c>
      <c r="Q141" s="12" t="s">
        <v>175</v>
      </c>
      <c r="R141" s="10">
        <f t="shared" si="14"/>
        <v>0</v>
      </c>
      <c r="S141" s="10">
        <v>0</v>
      </c>
      <c r="T141" s="10">
        <v>0</v>
      </c>
      <c r="U141" s="10">
        <v>0</v>
      </c>
      <c r="V141" s="12"/>
    </row>
    <row r="142" spans="1:22" x14ac:dyDescent="0.25">
      <c r="A142" t="s">
        <v>112</v>
      </c>
      <c r="B142" t="s">
        <v>188</v>
      </c>
      <c r="C142" s="1">
        <v>46357</v>
      </c>
      <c r="D142" t="s">
        <v>182</v>
      </c>
      <c r="E142" s="10">
        <v>30</v>
      </c>
      <c r="F142" s="7">
        <v>1</v>
      </c>
      <c r="G142" s="10">
        <v>0</v>
      </c>
      <c r="H142" s="7">
        <v>0</v>
      </c>
      <c r="I142" s="10">
        <v>0</v>
      </c>
      <c r="J142" s="7">
        <v>0</v>
      </c>
      <c r="K142" s="12">
        <v>0</v>
      </c>
      <c r="L142" s="7">
        <v>0</v>
      </c>
      <c r="M142" s="18">
        <f t="shared" si="10"/>
        <v>30</v>
      </c>
      <c r="N142" s="19">
        <f t="shared" si="11"/>
        <v>1</v>
      </c>
      <c r="O142" s="18">
        <f t="shared" si="12"/>
        <v>0</v>
      </c>
      <c r="P142" s="18" t="str">
        <f t="shared" si="13"/>
        <v>OK</v>
      </c>
      <c r="Q142" s="12" t="s">
        <v>175</v>
      </c>
      <c r="R142" s="10">
        <f t="shared" si="14"/>
        <v>0</v>
      </c>
      <c r="S142" s="10">
        <v>0</v>
      </c>
      <c r="T142" s="10">
        <v>0</v>
      </c>
      <c r="U142" s="10">
        <v>0</v>
      </c>
      <c r="V142" s="12"/>
    </row>
    <row r="143" spans="1:22" x14ac:dyDescent="0.25">
      <c r="A143" t="s">
        <v>112</v>
      </c>
      <c r="B143" t="s">
        <v>189</v>
      </c>
      <c r="C143" s="1">
        <v>46357</v>
      </c>
      <c r="D143" t="s">
        <v>174</v>
      </c>
      <c r="E143" s="10">
        <v>30</v>
      </c>
      <c r="F143" s="7">
        <v>1</v>
      </c>
      <c r="G143" s="10">
        <v>0</v>
      </c>
      <c r="H143" s="7">
        <v>0</v>
      </c>
      <c r="I143" s="10">
        <v>0</v>
      </c>
      <c r="J143" s="7">
        <v>0</v>
      </c>
      <c r="K143" s="12">
        <v>0</v>
      </c>
      <c r="L143" s="7">
        <v>0</v>
      </c>
      <c r="M143" s="18">
        <f t="shared" si="10"/>
        <v>30</v>
      </c>
      <c r="N143" s="19">
        <f t="shared" si="11"/>
        <v>1</v>
      </c>
      <c r="O143" s="18">
        <f t="shared" si="12"/>
        <v>0</v>
      </c>
      <c r="P143" s="18" t="str">
        <f t="shared" si="13"/>
        <v>OK</v>
      </c>
      <c r="Q143" s="12" t="s">
        <v>175</v>
      </c>
      <c r="R143" s="10">
        <f t="shared" si="14"/>
        <v>0</v>
      </c>
      <c r="S143" s="10">
        <v>0</v>
      </c>
      <c r="T143" s="10">
        <v>0</v>
      </c>
      <c r="U143" s="10">
        <v>0</v>
      </c>
      <c r="V143" s="12"/>
    </row>
    <row r="144" spans="1:22" x14ac:dyDescent="0.25">
      <c r="A144" t="s">
        <v>114</v>
      </c>
      <c r="B144" t="s">
        <v>173</v>
      </c>
      <c r="C144" s="1">
        <v>46023</v>
      </c>
      <c r="D144" t="s">
        <v>174</v>
      </c>
      <c r="E144" s="10">
        <v>30</v>
      </c>
      <c r="F144" s="7">
        <v>1</v>
      </c>
      <c r="G144" s="10">
        <v>0</v>
      </c>
      <c r="H144" s="7">
        <v>0</v>
      </c>
      <c r="I144" s="10">
        <v>0</v>
      </c>
      <c r="J144" s="7">
        <v>0</v>
      </c>
      <c r="K144" s="12">
        <v>0</v>
      </c>
      <c r="L144" s="7">
        <v>0</v>
      </c>
      <c r="M144" s="18">
        <f t="shared" si="10"/>
        <v>30</v>
      </c>
      <c r="N144" s="19">
        <f t="shared" si="11"/>
        <v>1</v>
      </c>
      <c r="O144" s="18">
        <f t="shared" si="12"/>
        <v>0</v>
      </c>
      <c r="P144" s="18" t="str">
        <f t="shared" si="13"/>
        <v>OK</v>
      </c>
      <c r="Q144" s="12" t="s">
        <v>175</v>
      </c>
      <c r="R144" s="10">
        <f t="shared" si="14"/>
        <v>0</v>
      </c>
      <c r="S144" s="10">
        <v>0</v>
      </c>
      <c r="T144" s="10">
        <v>0</v>
      </c>
      <c r="U144" s="10">
        <v>0</v>
      </c>
      <c r="V144" s="12"/>
    </row>
    <row r="145" spans="1:22" x14ac:dyDescent="0.25">
      <c r="A145" t="s">
        <v>114</v>
      </c>
      <c r="B145" t="s">
        <v>176</v>
      </c>
      <c r="C145" s="1">
        <v>46054</v>
      </c>
      <c r="D145" t="s">
        <v>174</v>
      </c>
      <c r="E145" s="10">
        <v>30</v>
      </c>
      <c r="F145" s="7">
        <v>1</v>
      </c>
      <c r="G145" s="10">
        <v>0</v>
      </c>
      <c r="H145" s="7">
        <v>0</v>
      </c>
      <c r="I145" s="10">
        <v>0</v>
      </c>
      <c r="J145" s="7">
        <v>0</v>
      </c>
      <c r="K145" s="12">
        <v>0</v>
      </c>
      <c r="L145" s="7">
        <v>0</v>
      </c>
      <c r="M145" s="18">
        <f t="shared" si="10"/>
        <v>30</v>
      </c>
      <c r="N145" s="19">
        <f t="shared" si="11"/>
        <v>1</v>
      </c>
      <c r="O145" s="18">
        <f t="shared" si="12"/>
        <v>0</v>
      </c>
      <c r="P145" s="18" t="str">
        <f t="shared" si="13"/>
        <v>OK</v>
      </c>
      <c r="Q145" s="12" t="s">
        <v>175</v>
      </c>
      <c r="R145" s="10">
        <f t="shared" si="14"/>
        <v>0</v>
      </c>
      <c r="S145" s="10">
        <v>0</v>
      </c>
      <c r="T145" s="10">
        <v>0</v>
      </c>
      <c r="U145" s="10">
        <v>0</v>
      </c>
      <c r="V145" s="12"/>
    </row>
    <row r="146" spans="1:22" x14ac:dyDescent="0.25">
      <c r="A146" t="s">
        <v>114</v>
      </c>
      <c r="B146" t="s">
        <v>177</v>
      </c>
      <c r="C146" s="1">
        <v>46082</v>
      </c>
      <c r="D146" t="s">
        <v>174</v>
      </c>
      <c r="E146" s="10">
        <v>30</v>
      </c>
      <c r="F146" s="7">
        <v>1</v>
      </c>
      <c r="G146" s="10">
        <v>0</v>
      </c>
      <c r="H146" s="7">
        <v>0</v>
      </c>
      <c r="I146" s="10">
        <v>0</v>
      </c>
      <c r="J146" s="7">
        <v>0</v>
      </c>
      <c r="K146" s="12">
        <v>0</v>
      </c>
      <c r="L146" s="7">
        <v>0</v>
      </c>
      <c r="M146" s="18">
        <f t="shared" si="10"/>
        <v>30</v>
      </c>
      <c r="N146" s="19">
        <f t="shared" si="11"/>
        <v>1</v>
      </c>
      <c r="O146" s="18">
        <f t="shared" si="12"/>
        <v>0</v>
      </c>
      <c r="P146" s="18" t="str">
        <f t="shared" si="13"/>
        <v>OK</v>
      </c>
      <c r="Q146" s="12" t="s">
        <v>175</v>
      </c>
      <c r="R146" s="10">
        <f t="shared" si="14"/>
        <v>0</v>
      </c>
      <c r="S146" s="10">
        <v>0</v>
      </c>
      <c r="T146" s="10">
        <v>0</v>
      </c>
      <c r="U146" s="10">
        <v>0</v>
      </c>
      <c r="V146" s="12"/>
    </row>
    <row r="147" spans="1:22" x14ac:dyDescent="0.25">
      <c r="A147" t="s">
        <v>114</v>
      </c>
      <c r="B147" t="s">
        <v>178</v>
      </c>
      <c r="C147" s="1">
        <v>46113</v>
      </c>
      <c r="D147" t="s">
        <v>174</v>
      </c>
      <c r="E147" s="10">
        <v>30</v>
      </c>
      <c r="F147" s="7">
        <v>1</v>
      </c>
      <c r="G147" s="10">
        <v>0</v>
      </c>
      <c r="H147" s="7">
        <v>0</v>
      </c>
      <c r="I147" s="10">
        <v>0</v>
      </c>
      <c r="J147" s="7">
        <v>0</v>
      </c>
      <c r="K147" s="12">
        <v>0</v>
      </c>
      <c r="L147" s="7">
        <v>0</v>
      </c>
      <c r="M147" s="18">
        <f t="shared" si="10"/>
        <v>30</v>
      </c>
      <c r="N147" s="19">
        <f t="shared" si="11"/>
        <v>1</v>
      </c>
      <c r="O147" s="18">
        <f t="shared" si="12"/>
        <v>0</v>
      </c>
      <c r="P147" s="18" t="str">
        <f t="shared" si="13"/>
        <v>OK</v>
      </c>
      <c r="Q147" s="12" t="s">
        <v>175</v>
      </c>
      <c r="R147" s="10">
        <f t="shared" si="14"/>
        <v>0</v>
      </c>
      <c r="S147" s="10">
        <v>0</v>
      </c>
      <c r="T147" s="10">
        <v>0</v>
      </c>
      <c r="U147" s="10">
        <v>0</v>
      </c>
      <c r="V147" s="12"/>
    </row>
    <row r="148" spans="1:22" x14ac:dyDescent="0.25">
      <c r="A148" t="s">
        <v>114</v>
      </c>
      <c r="B148" t="s">
        <v>179</v>
      </c>
      <c r="C148" s="1">
        <v>46143</v>
      </c>
      <c r="D148" t="s">
        <v>174</v>
      </c>
      <c r="E148" s="10">
        <v>30</v>
      </c>
      <c r="F148" s="7">
        <v>1</v>
      </c>
      <c r="G148" s="10">
        <v>0</v>
      </c>
      <c r="H148" s="7">
        <v>0</v>
      </c>
      <c r="I148" s="10">
        <v>0</v>
      </c>
      <c r="J148" s="7">
        <v>0</v>
      </c>
      <c r="K148" s="12">
        <v>0</v>
      </c>
      <c r="L148" s="7">
        <v>0</v>
      </c>
      <c r="M148" s="18">
        <f t="shared" si="10"/>
        <v>30</v>
      </c>
      <c r="N148" s="19">
        <f t="shared" si="11"/>
        <v>1</v>
      </c>
      <c r="O148" s="18">
        <f t="shared" si="12"/>
        <v>0</v>
      </c>
      <c r="P148" s="18" t="str">
        <f t="shared" si="13"/>
        <v>OK</v>
      </c>
      <c r="Q148" s="12" t="s">
        <v>175</v>
      </c>
      <c r="R148" s="10">
        <f t="shared" si="14"/>
        <v>0</v>
      </c>
      <c r="S148" s="10">
        <v>0</v>
      </c>
      <c r="T148" s="10">
        <v>0</v>
      </c>
      <c r="U148" s="10">
        <v>0</v>
      </c>
      <c r="V148" s="12"/>
    </row>
    <row r="149" spans="1:22" x14ac:dyDescent="0.25">
      <c r="A149" t="s">
        <v>114</v>
      </c>
      <c r="B149" t="s">
        <v>180</v>
      </c>
      <c r="C149" s="1">
        <v>46174</v>
      </c>
      <c r="D149" t="s">
        <v>174</v>
      </c>
      <c r="E149" s="10">
        <v>30</v>
      </c>
      <c r="F149" s="7">
        <v>1</v>
      </c>
      <c r="G149" s="10">
        <v>0</v>
      </c>
      <c r="H149" s="7">
        <v>0</v>
      </c>
      <c r="I149" s="10">
        <v>0</v>
      </c>
      <c r="J149" s="7">
        <v>0</v>
      </c>
      <c r="K149" s="12">
        <v>0</v>
      </c>
      <c r="L149" s="7">
        <v>0</v>
      </c>
      <c r="M149" s="18">
        <f t="shared" si="10"/>
        <v>30</v>
      </c>
      <c r="N149" s="19">
        <f t="shared" si="11"/>
        <v>1</v>
      </c>
      <c r="O149" s="18">
        <f t="shared" si="12"/>
        <v>0</v>
      </c>
      <c r="P149" s="18" t="str">
        <f t="shared" si="13"/>
        <v>OK</v>
      </c>
      <c r="Q149" s="12" t="s">
        <v>175</v>
      </c>
      <c r="R149" s="10">
        <f t="shared" si="14"/>
        <v>0</v>
      </c>
      <c r="S149" s="10">
        <v>0</v>
      </c>
      <c r="T149" s="10">
        <v>0</v>
      </c>
      <c r="U149" s="10">
        <v>0</v>
      </c>
      <c r="V149" s="12"/>
    </row>
    <row r="150" spans="1:22" x14ac:dyDescent="0.25">
      <c r="A150" t="s">
        <v>114</v>
      </c>
      <c r="B150" t="s">
        <v>181</v>
      </c>
      <c r="C150" s="1">
        <v>46204</v>
      </c>
      <c r="D150" t="s">
        <v>182</v>
      </c>
      <c r="E150" s="10">
        <v>30</v>
      </c>
      <c r="F150" s="7">
        <v>1</v>
      </c>
      <c r="G150" s="10">
        <v>0</v>
      </c>
      <c r="H150" s="7">
        <v>0</v>
      </c>
      <c r="I150" s="10">
        <v>0</v>
      </c>
      <c r="J150" s="7">
        <v>0</v>
      </c>
      <c r="K150" s="12">
        <v>0</v>
      </c>
      <c r="L150" s="7">
        <v>0</v>
      </c>
      <c r="M150" s="18">
        <f t="shared" si="10"/>
        <v>30</v>
      </c>
      <c r="N150" s="19">
        <f t="shared" si="11"/>
        <v>1</v>
      </c>
      <c r="O150" s="18">
        <f t="shared" si="12"/>
        <v>0</v>
      </c>
      <c r="P150" s="18" t="str">
        <f t="shared" si="13"/>
        <v>OK</v>
      </c>
      <c r="Q150" s="12" t="s">
        <v>175</v>
      </c>
      <c r="R150" s="10">
        <f t="shared" si="14"/>
        <v>0</v>
      </c>
      <c r="S150" s="10">
        <v>0</v>
      </c>
      <c r="T150" s="10">
        <v>0</v>
      </c>
      <c r="U150" s="10">
        <v>0</v>
      </c>
      <c r="V150" s="12"/>
    </row>
    <row r="151" spans="1:22" x14ac:dyDescent="0.25">
      <c r="A151" t="s">
        <v>114</v>
      </c>
      <c r="B151" t="s">
        <v>183</v>
      </c>
      <c r="C151" s="1">
        <v>46204</v>
      </c>
      <c r="D151" t="s">
        <v>174</v>
      </c>
      <c r="E151" s="10">
        <v>30</v>
      </c>
      <c r="F151" s="7">
        <v>1</v>
      </c>
      <c r="G151" s="10">
        <v>0</v>
      </c>
      <c r="H151" s="7">
        <v>0</v>
      </c>
      <c r="I151" s="10">
        <v>0</v>
      </c>
      <c r="J151" s="7">
        <v>0</v>
      </c>
      <c r="K151" s="12">
        <v>0</v>
      </c>
      <c r="L151" s="7">
        <v>0</v>
      </c>
      <c r="M151" s="18">
        <f t="shared" si="10"/>
        <v>30</v>
      </c>
      <c r="N151" s="19">
        <f t="shared" si="11"/>
        <v>1</v>
      </c>
      <c r="O151" s="18">
        <f t="shared" si="12"/>
        <v>0</v>
      </c>
      <c r="P151" s="18" t="str">
        <f t="shared" si="13"/>
        <v>OK</v>
      </c>
      <c r="Q151" s="12" t="s">
        <v>175</v>
      </c>
      <c r="R151" s="10">
        <f t="shared" si="14"/>
        <v>0</v>
      </c>
      <c r="S151" s="10">
        <v>0</v>
      </c>
      <c r="T151" s="10">
        <v>0</v>
      </c>
      <c r="U151" s="10">
        <v>0</v>
      </c>
      <c r="V151" s="12"/>
    </row>
    <row r="152" spans="1:22" x14ac:dyDescent="0.25">
      <c r="A152" t="s">
        <v>114</v>
      </c>
      <c r="B152" t="s">
        <v>184</v>
      </c>
      <c r="C152" s="1">
        <v>46235</v>
      </c>
      <c r="D152" t="s">
        <v>174</v>
      </c>
      <c r="E152" s="10">
        <v>30</v>
      </c>
      <c r="F152" s="7">
        <v>1</v>
      </c>
      <c r="G152" s="10">
        <v>0</v>
      </c>
      <c r="H152" s="7">
        <v>0</v>
      </c>
      <c r="I152" s="10">
        <v>0</v>
      </c>
      <c r="J152" s="7">
        <v>0</v>
      </c>
      <c r="K152" s="12">
        <v>0</v>
      </c>
      <c r="L152" s="7">
        <v>0</v>
      </c>
      <c r="M152" s="18">
        <f t="shared" si="10"/>
        <v>30</v>
      </c>
      <c r="N152" s="19">
        <f t="shared" si="11"/>
        <v>1</v>
      </c>
      <c r="O152" s="18">
        <f t="shared" si="12"/>
        <v>0</v>
      </c>
      <c r="P152" s="18" t="str">
        <f t="shared" si="13"/>
        <v>OK</v>
      </c>
      <c r="Q152" s="12" t="s">
        <v>175</v>
      </c>
      <c r="R152" s="10">
        <f t="shared" si="14"/>
        <v>0</v>
      </c>
      <c r="S152" s="10">
        <v>0</v>
      </c>
      <c r="T152" s="10">
        <v>0</v>
      </c>
      <c r="U152" s="10">
        <v>0</v>
      </c>
      <c r="V152" s="12"/>
    </row>
    <row r="153" spans="1:22" x14ac:dyDescent="0.25">
      <c r="A153" t="s">
        <v>114</v>
      </c>
      <c r="B153" t="s">
        <v>185</v>
      </c>
      <c r="C153" s="1">
        <v>46266</v>
      </c>
      <c r="D153" t="s">
        <v>174</v>
      </c>
      <c r="E153" s="10">
        <v>30</v>
      </c>
      <c r="F153" s="7">
        <v>1</v>
      </c>
      <c r="G153" s="10">
        <v>0</v>
      </c>
      <c r="H153" s="7">
        <v>0</v>
      </c>
      <c r="I153" s="10">
        <v>0</v>
      </c>
      <c r="J153" s="7">
        <v>0</v>
      </c>
      <c r="K153" s="12">
        <v>0</v>
      </c>
      <c r="L153" s="7">
        <v>0</v>
      </c>
      <c r="M153" s="18">
        <f t="shared" si="10"/>
        <v>30</v>
      </c>
      <c r="N153" s="19">
        <f t="shared" si="11"/>
        <v>1</v>
      </c>
      <c r="O153" s="18">
        <f t="shared" si="12"/>
        <v>0</v>
      </c>
      <c r="P153" s="18" t="str">
        <f t="shared" si="13"/>
        <v>OK</v>
      </c>
      <c r="Q153" s="12" t="s">
        <v>175</v>
      </c>
      <c r="R153" s="10">
        <f t="shared" si="14"/>
        <v>0</v>
      </c>
      <c r="S153" s="10">
        <v>0</v>
      </c>
      <c r="T153" s="10">
        <v>0</v>
      </c>
      <c r="U153" s="10">
        <v>0</v>
      </c>
      <c r="V153" s="12"/>
    </row>
    <row r="154" spans="1:22" x14ac:dyDescent="0.25">
      <c r="A154" t="s">
        <v>114</v>
      </c>
      <c r="B154" t="s">
        <v>186</v>
      </c>
      <c r="C154" s="1">
        <v>46296</v>
      </c>
      <c r="D154" t="s">
        <v>174</v>
      </c>
      <c r="E154" s="10">
        <v>30</v>
      </c>
      <c r="F154" s="7">
        <v>1</v>
      </c>
      <c r="G154" s="10">
        <v>0</v>
      </c>
      <c r="H154" s="7">
        <v>0</v>
      </c>
      <c r="I154" s="10">
        <v>0</v>
      </c>
      <c r="J154" s="7">
        <v>0</v>
      </c>
      <c r="K154" s="12">
        <v>0</v>
      </c>
      <c r="L154" s="7">
        <v>0</v>
      </c>
      <c r="M154" s="18">
        <f t="shared" si="10"/>
        <v>30</v>
      </c>
      <c r="N154" s="19">
        <f t="shared" si="11"/>
        <v>1</v>
      </c>
      <c r="O154" s="18">
        <f t="shared" si="12"/>
        <v>0</v>
      </c>
      <c r="P154" s="18" t="str">
        <f t="shared" si="13"/>
        <v>OK</v>
      </c>
      <c r="Q154" s="12" t="s">
        <v>175</v>
      </c>
      <c r="R154" s="10">
        <f t="shared" si="14"/>
        <v>0</v>
      </c>
      <c r="S154" s="10">
        <v>0</v>
      </c>
      <c r="T154" s="10">
        <v>0</v>
      </c>
      <c r="U154" s="10">
        <v>0</v>
      </c>
      <c r="V154" s="12"/>
    </row>
    <row r="155" spans="1:22" x14ac:dyDescent="0.25">
      <c r="A155" t="s">
        <v>114</v>
      </c>
      <c r="B155" t="s">
        <v>187</v>
      </c>
      <c r="C155" s="1">
        <v>46327</v>
      </c>
      <c r="D155" t="s">
        <v>174</v>
      </c>
      <c r="E155" s="10">
        <v>30</v>
      </c>
      <c r="F155" s="7">
        <v>1</v>
      </c>
      <c r="G155" s="10">
        <v>0</v>
      </c>
      <c r="H155" s="7">
        <v>0</v>
      </c>
      <c r="I155" s="10">
        <v>0</v>
      </c>
      <c r="J155" s="7">
        <v>0</v>
      </c>
      <c r="K155" s="12">
        <v>0</v>
      </c>
      <c r="L155" s="7">
        <v>0</v>
      </c>
      <c r="M155" s="18">
        <f t="shared" si="10"/>
        <v>30</v>
      </c>
      <c r="N155" s="19">
        <f t="shared" si="11"/>
        <v>1</v>
      </c>
      <c r="O155" s="18">
        <f t="shared" si="12"/>
        <v>0</v>
      </c>
      <c r="P155" s="18" t="str">
        <f t="shared" si="13"/>
        <v>OK</v>
      </c>
      <c r="Q155" s="12" t="s">
        <v>175</v>
      </c>
      <c r="R155" s="10">
        <f t="shared" si="14"/>
        <v>0</v>
      </c>
      <c r="S155" s="10">
        <v>0</v>
      </c>
      <c r="T155" s="10">
        <v>0</v>
      </c>
      <c r="U155" s="10">
        <v>0</v>
      </c>
      <c r="V155" s="12"/>
    </row>
    <row r="156" spans="1:22" x14ac:dyDescent="0.25">
      <c r="A156" t="s">
        <v>114</v>
      </c>
      <c r="B156" t="s">
        <v>188</v>
      </c>
      <c r="C156" s="1">
        <v>46357</v>
      </c>
      <c r="D156" t="s">
        <v>182</v>
      </c>
      <c r="E156" s="10">
        <v>30</v>
      </c>
      <c r="F156" s="7">
        <v>1</v>
      </c>
      <c r="G156" s="10">
        <v>0</v>
      </c>
      <c r="H156" s="7">
        <v>0</v>
      </c>
      <c r="I156" s="10">
        <v>0</v>
      </c>
      <c r="J156" s="7">
        <v>0</v>
      </c>
      <c r="K156" s="12">
        <v>0</v>
      </c>
      <c r="L156" s="7">
        <v>0</v>
      </c>
      <c r="M156" s="18">
        <f t="shared" si="10"/>
        <v>30</v>
      </c>
      <c r="N156" s="19">
        <f t="shared" si="11"/>
        <v>1</v>
      </c>
      <c r="O156" s="18">
        <f t="shared" si="12"/>
        <v>0</v>
      </c>
      <c r="P156" s="18" t="str">
        <f t="shared" si="13"/>
        <v>OK</v>
      </c>
      <c r="Q156" s="12" t="s">
        <v>175</v>
      </c>
      <c r="R156" s="10">
        <f t="shared" si="14"/>
        <v>0</v>
      </c>
      <c r="S156" s="10">
        <v>0</v>
      </c>
      <c r="T156" s="10">
        <v>0</v>
      </c>
      <c r="U156" s="10">
        <v>0</v>
      </c>
      <c r="V156" s="12"/>
    </row>
    <row r="157" spans="1:22" x14ac:dyDescent="0.25">
      <c r="A157" t="s">
        <v>114</v>
      </c>
      <c r="B157" t="s">
        <v>189</v>
      </c>
      <c r="C157" s="1">
        <v>46357</v>
      </c>
      <c r="D157" t="s">
        <v>174</v>
      </c>
      <c r="E157" s="10">
        <v>30</v>
      </c>
      <c r="F157" s="7">
        <v>1</v>
      </c>
      <c r="G157" s="10">
        <v>0</v>
      </c>
      <c r="H157" s="7">
        <v>0</v>
      </c>
      <c r="I157" s="10">
        <v>0</v>
      </c>
      <c r="J157" s="7">
        <v>0</v>
      </c>
      <c r="K157" s="12">
        <v>0</v>
      </c>
      <c r="L157" s="7">
        <v>0</v>
      </c>
      <c r="M157" s="18">
        <f t="shared" si="10"/>
        <v>30</v>
      </c>
      <c r="N157" s="19">
        <f t="shared" si="11"/>
        <v>1</v>
      </c>
      <c r="O157" s="18">
        <f t="shared" si="12"/>
        <v>0</v>
      </c>
      <c r="P157" s="18" t="str">
        <f t="shared" si="13"/>
        <v>OK</v>
      </c>
      <c r="Q157" s="12" t="s">
        <v>175</v>
      </c>
      <c r="R157" s="10">
        <f t="shared" si="14"/>
        <v>0</v>
      </c>
      <c r="S157" s="10">
        <v>0</v>
      </c>
      <c r="T157" s="10">
        <v>0</v>
      </c>
      <c r="U157" s="10">
        <v>0</v>
      </c>
      <c r="V157" s="12"/>
    </row>
    <row r="158" spans="1:22" x14ac:dyDescent="0.25">
      <c r="A158" t="s">
        <v>116</v>
      </c>
      <c r="B158" t="s">
        <v>173</v>
      </c>
      <c r="C158" s="1">
        <v>46023</v>
      </c>
      <c r="D158" t="s">
        <v>174</v>
      </c>
      <c r="E158" s="10">
        <v>30</v>
      </c>
      <c r="F158" s="7">
        <v>1</v>
      </c>
      <c r="G158" s="10">
        <v>0</v>
      </c>
      <c r="H158" s="7">
        <v>0</v>
      </c>
      <c r="I158" s="10">
        <v>0</v>
      </c>
      <c r="J158" s="7">
        <v>0</v>
      </c>
      <c r="K158" s="12">
        <v>0</v>
      </c>
      <c r="L158" s="7">
        <v>0</v>
      </c>
      <c r="M158" s="18">
        <f t="shared" si="10"/>
        <v>30</v>
      </c>
      <c r="N158" s="19">
        <f t="shared" si="11"/>
        <v>1</v>
      </c>
      <c r="O158" s="18">
        <f t="shared" si="12"/>
        <v>0</v>
      </c>
      <c r="P158" s="18" t="str">
        <f t="shared" si="13"/>
        <v>OK</v>
      </c>
      <c r="Q158" s="12" t="s">
        <v>175</v>
      </c>
      <c r="R158" s="10">
        <f t="shared" si="14"/>
        <v>0</v>
      </c>
      <c r="S158" s="10">
        <v>0</v>
      </c>
      <c r="T158" s="10">
        <v>0</v>
      </c>
      <c r="U158" s="10">
        <v>0</v>
      </c>
      <c r="V158" s="12"/>
    </row>
    <row r="159" spans="1:22" x14ac:dyDescent="0.25">
      <c r="A159" t="s">
        <v>116</v>
      </c>
      <c r="B159" t="s">
        <v>176</v>
      </c>
      <c r="C159" s="1">
        <v>46054</v>
      </c>
      <c r="D159" t="s">
        <v>174</v>
      </c>
      <c r="E159" s="10">
        <v>30</v>
      </c>
      <c r="F159" s="7">
        <v>1</v>
      </c>
      <c r="G159" s="10">
        <v>0</v>
      </c>
      <c r="H159" s="7">
        <v>0</v>
      </c>
      <c r="I159" s="10">
        <v>0</v>
      </c>
      <c r="J159" s="7">
        <v>0</v>
      </c>
      <c r="K159" s="12">
        <v>0</v>
      </c>
      <c r="L159" s="7">
        <v>0</v>
      </c>
      <c r="M159" s="18">
        <f t="shared" si="10"/>
        <v>30</v>
      </c>
      <c r="N159" s="19">
        <f t="shared" si="11"/>
        <v>1</v>
      </c>
      <c r="O159" s="18">
        <f t="shared" si="12"/>
        <v>0</v>
      </c>
      <c r="P159" s="18" t="str">
        <f t="shared" si="13"/>
        <v>OK</v>
      </c>
      <c r="Q159" s="12" t="s">
        <v>175</v>
      </c>
      <c r="R159" s="10">
        <f t="shared" si="14"/>
        <v>0</v>
      </c>
      <c r="S159" s="10">
        <v>0</v>
      </c>
      <c r="T159" s="10">
        <v>0</v>
      </c>
      <c r="U159" s="10">
        <v>0</v>
      </c>
      <c r="V159" s="12"/>
    </row>
    <row r="160" spans="1:22" x14ac:dyDescent="0.25">
      <c r="A160" t="s">
        <v>116</v>
      </c>
      <c r="B160" t="s">
        <v>177</v>
      </c>
      <c r="C160" s="1">
        <v>46082</v>
      </c>
      <c r="D160" t="s">
        <v>174</v>
      </c>
      <c r="E160" s="10">
        <v>30</v>
      </c>
      <c r="F160" s="7">
        <v>1</v>
      </c>
      <c r="G160" s="10">
        <v>0</v>
      </c>
      <c r="H160" s="7">
        <v>0</v>
      </c>
      <c r="I160" s="10">
        <v>0</v>
      </c>
      <c r="J160" s="7">
        <v>0</v>
      </c>
      <c r="K160" s="12">
        <v>0</v>
      </c>
      <c r="L160" s="7">
        <v>0</v>
      </c>
      <c r="M160" s="18">
        <f t="shared" si="10"/>
        <v>30</v>
      </c>
      <c r="N160" s="19">
        <f t="shared" si="11"/>
        <v>1</v>
      </c>
      <c r="O160" s="18">
        <f t="shared" si="12"/>
        <v>0</v>
      </c>
      <c r="P160" s="18" t="str">
        <f t="shared" si="13"/>
        <v>OK</v>
      </c>
      <c r="Q160" s="12" t="s">
        <v>175</v>
      </c>
      <c r="R160" s="10">
        <f t="shared" si="14"/>
        <v>0</v>
      </c>
      <c r="S160" s="10">
        <v>0</v>
      </c>
      <c r="T160" s="10">
        <v>0</v>
      </c>
      <c r="U160" s="10">
        <v>0</v>
      </c>
      <c r="V160" s="12"/>
    </row>
    <row r="161" spans="1:24" x14ac:dyDescent="0.25">
      <c r="A161" t="s">
        <v>116</v>
      </c>
      <c r="B161" t="s">
        <v>178</v>
      </c>
      <c r="C161" s="1">
        <v>46113</v>
      </c>
      <c r="D161" t="s">
        <v>174</v>
      </c>
      <c r="E161" s="10">
        <v>30</v>
      </c>
      <c r="F161" s="7">
        <v>1</v>
      </c>
      <c r="G161" s="10">
        <v>0</v>
      </c>
      <c r="H161" s="7">
        <v>0</v>
      </c>
      <c r="I161" s="10">
        <v>0</v>
      </c>
      <c r="J161" s="7">
        <v>0</v>
      </c>
      <c r="K161" s="12">
        <v>0</v>
      </c>
      <c r="L161" s="7">
        <v>0</v>
      </c>
      <c r="M161" s="18">
        <f t="shared" si="10"/>
        <v>30</v>
      </c>
      <c r="N161" s="19">
        <f t="shared" si="11"/>
        <v>1</v>
      </c>
      <c r="O161" s="18">
        <f t="shared" si="12"/>
        <v>0</v>
      </c>
      <c r="P161" s="18" t="str">
        <f t="shared" si="13"/>
        <v>OK</v>
      </c>
      <c r="Q161" s="12" t="s">
        <v>175</v>
      </c>
      <c r="R161" s="10">
        <f t="shared" si="14"/>
        <v>0</v>
      </c>
      <c r="S161" s="10">
        <v>0</v>
      </c>
      <c r="T161" s="10">
        <v>0</v>
      </c>
      <c r="U161" s="10">
        <v>0</v>
      </c>
      <c r="V161" s="12"/>
    </row>
    <row r="162" spans="1:24" x14ac:dyDescent="0.25">
      <c r="A162" t="s">
        <v>116</v>
      </c>
      <c r="B162" t="s">
        <v>179</v>
      </c>
      <c r="C162" s="1">
        <v>46143</v>
      </c>
      <c r="D162" t="s">
        <v>174</v>
      </c>
      <c r="E162" s="10">
        <v>30</v>
      </c>
      <c r="F162" s="7">
        <v>1</v>
      </c>
      <c r="G162" s="10">
        <v>0</v>
      </c>
      <c r="H162" s="7">
        <v>0</v>
      </c>
      <c r="I162" s="10">
        <v>0</v>
      </c>
      <c r="J162" s="7">
        <v>0</v>
      </c>
      <c r="K162" s="12">
        <v>0</v>
      </c>
      <c r="L162" s="7">
        <v>0</v>
      </c>
      <c r="M162" s="18">
        <f t="shared" si="10"/>
        <v>30</v>
      </c>
      <c r="N162" s="19">
        <f t="shared" si="11"/>
        <v>1</v>
      </c>
      <c r="O162" s="18">
        <f t="shared" si="12"/>
        <v>0</v>
      </c>
      <c r="P162" s="18" t="str">
        <f t="shared" si="13"/>
        <v>OK</v>
      </c>
      <c r="Q162" s="12" t="s">
        <v>175</v>
      </c>
      <c r="R162" s="10">
        <f t="shared" si="14"/>
        <v>0</v>
      </c>
      <c r="S162" s="10">
        <v>0</v>
      </c>
      <c r="T162" s="10">
        <v>0</v>
      </c>
      <c r="U162" s="10">
        <v>0</v>
      </c>
      <c r="V162" s="12"/>
    </row>
    <row r="163" spans="1:24" x14ac:dyDescent="0.25">
      <c r="A163" t="s">
        <v>116</v>
      </c>
      <c r="B163" t="s">
        <v>180</v>
      </c>
      <c r="C163" s="1">
        <v>46174</v>
      </c>
      <c r="D163" t="s">
        <v>174</v>
      </c>
      <c r="E163" s="10">
        <v>30</v>
      </c>
      <c r="F163" s="7">
        <v>1</v>
      </c>
      <c r="G163" s="10">
        <v>0</v>
      </c>
      <c r="H163" s="7">
        <v>0</v>
      </c>
      <c r="I163" s="10">
        <v>0</v>
      </c>
      <c r="J163" s="7">
        <v>0</v>
      </c>
      <c r="K163" s="12">
        <v>0</v>
      </c>
      <c r="L163" s="7">
        <v>0</v>
      </c>
      <c r="M163" s="18">
        <f t="shared" si="10"/>
        <v>30</v>
      </c>
      <c r="N163" s="19">
        <f t="shared" si="11"/>
        <v>1</v>
      </c>
      <c r="O163" s="18">
        <f t="shared" si="12"/>
        <v>0</v>
      </c>
      <c r="P163" s="18" t="str">
        <f t="shared" si="13"/>
        <v>OK</v>
      </c>
      <c r="Q163" s="12" t="s">
        <v>175</v>
      </c>
      <c r="R163" s="10">
        <f t="shared" si="14"/>
        <v>0</v>
      </c>
      <c r="S163" s="10">
        <v>0</v>
      </c>
      <c r="T163" s="10">
        <v>0</v>
      </c>
      <c r="U163" s="10">
        <v>0</v>
      </c>
      <c r="V163" s="12"/>
    </row>
    <row r="164" spans="1:24" x14ac:dyDescent="0.25">
      <c r="A164" t="s">
        <v>116</v>
      </c>
      <c r="B164" t="s">
        <v>181</v>
      </c>
      <c r="C164" s="1">
        <v>46204</v>
      </c>
      <c r="D164" t="s">
        <v>182</v>
      </c>
      <c r="E164" s="10">
        <v>30</v>
      </c>
      <c r="F164" s="7">
        <v>1</v>
      </c>
      <c r="G164" s="10">
        <v>0</v>
      </c>
      <c r="H164" s="7">
        <v>0</v>
      </c>
      <c r="I164" s="10">
        <v>0</v>
      </c>
      <c r="J164" s="7">
        <v>0</v>
      </c>
      <c r="K164" s="12">
        <v>0</v>
      </c>
      <c r="L164" s="7">
        <v>0</v>
      </c>
      <c r="M164" s="18">
        <f t="shared" si="10"/>
        <v>30</v>
      </c>
      <c r="N164" s="19">
        <f t="shared" si="11"/>
        <v>1</v>
      </c>
      <c r="O164" s="18">
        <f t="shared" si="12"/>
        <v>0</v>
      </c>
      <c r="P164" s="18" t="str">
        <f t="shared" si="13"/>
        <v>OK</v>
      </c>
      <c r="Q164" s="12" t="s">
        <v>175</v>
      </c>
      <c r="R164" s="10">
        <f t="shared" si="14"/>
        <v>0</v>
      </c>
      <c r="S164" s="10">
        <v>0</v>
      </c>
      <c r="T164" s="10">
        <v>0</v>
      </c>
      <c r="U164" s="10">
        <v>0</v>
      </c>
      <c r="V164" s="12"/>
    </row>
    <row r="165" spans="1:24" x14ac:dyDescent="0.25">
      <c r="A165" t="s">
        <v>116</v>
      </c>
      <c r="B165" t="s">
        <v>183</v>
      </c>
      <c r="C165" s="1">
        <v>46204</v>
      </c>
      <c r="D165" t="s">
        <v>174</v>
      </c>
      <c r="E165" s="10">
        <v>27</v>
      </c>
      <c r="F165" s="7">
        <v>0.75</v>
      </c>
      <c r="G165" s="10">
        <v>3</v>
      </c>
      <c r="H165" s="7">
        <v>1</v>
      </c>
      <c r="I165" s="10">
        <v>0</v>
      </c>
      <c r="J165" s="7">
        <v>0</v>
      </c>
      <c r="K165" s="12">
        <v>0</v>
      </c>
      <c r="L165" s="7">
        <v>0</v>
      </c>
      <c r="M165" s="18">
        <f t="shared" si="10"/>
        <v>30</v>
      </c>
      <c r="N165" s="19">
        <f t="shared" si="11"/>
        <v>0.77500000000000002</v>
      </c>
      <c r="O165" s="18">
        <f t="shared" si="12"/>
        <v>6.75</v>
      </c>
      <c r="P165" s="18" t="str">
        <f t="shared" si="13"/>
        <v>OK</v>
      </c>
      <c r="Q165" s="12" t="s">
        <v>190</v>
      </c>
      <c r="R165" s="10">
        <v>170.04</v>
      </c>
      <c r="S165" s="10">
        <v>0</v>
      </c>
      <c r="T165" s="10">
        <v>0</v>
      </c>
      <c r="U165" s="10">
        <v>0</v>
      </c>
      <c r="V165" s="12"/>
      <c r="W165" s="10">
        <v>5101.2</v>
      </c>
    </row>
    <row r="166" spans="1:24" x14ac:dyDescent="0.25">
      <c r="A166" t="s">
        <v>116</v>
      </c>
      <c r="B166" t="s">
        <v>184</v>
      </c>
      <c r="C166" s="1">
        <v>46235</v>
      </c>
      <c r="D166" t="s">
        <v>174</v>
      </c>
      <c r="E166" s="10">
        <v>30</v>
      </c>
      <c r="F166" s="7">
        <v>1</v>
      </c>
      <c r="G166" s="10">
        <v>0</v>
      </c>
      <c r="H166" s="7">
        <v>0</v>
      </c>
      <c r="I166" s="10">
        <v>0</v>
      </c>
      <c r="J166" s="7">
        <v>0</v>
      </c>
      <c r="K166" s="12">
        <v>0</v>
      </c>
      <c r="L166" s="7">
        <v>0</v>
      </c>
      <c r="M166" s="18">
        <f t="shared" si="10"/>
        <v>30</v>
      </c>
      <c r="N166" s="19">
        <f t="shared" si="11"/>
        <v>1</v>
      </c>
      <c r="O166" s="18">
        <f t="shared" si="12"/>
        <v>0</v>
      </c>
      <c r="P166" s="18" t="str">
        <f t="shared" si="13"/>
        <v>OK</v>
      </c>
      <c r="Q166" s="12" t="s">
        <v>175</v>
      </c>
      <c r="R166" s="10">
        <f t="shared" si="14"/>
        <v>0</v>
      </c>
      <c r="S166" s="10">
        <v>0</v>
      </c>
      <c r="T166" s="10">
        <v>0</v>
      </c>
      <c r="U166" s="10">
        <v>0</v>
      </c>
      <c r="V166" s="12"/>
    </row>
    <row r="167" spans="1:24" x14ac:dyDescent="0.25">
      <c r="A167" t="s">
        <v>116</v>
      </c>
      <c r="B167" t="s">
        <v>185</v>
      </c>
      <c r="C167" s="1">
        <v>46266</v>
      </c>
      <c r="D167" t="s">
        <v>174</v>
      </c>
      <c r="E167" s="10">
        <v>15</v>
      </c>
      <c r="F167" s="7">
        <v>1</v>
      </c>
      <c r="G167" s="10">
        <v>15</v>
      </c>
      <c r="H167" s="7">
        <v>0.75</v>
      </c>
      <c r="I167" s="10">
        <v>0</v>
      </c>
      <c r="J167" s="7">
        <v>0</v>
      </c>
      <c r="K167" s="12">
        <v>0</v>
      </c>
      <c r="L167" s="7">
        <v>0</v>
      </c>
      <c r="M167" s="18">
        <f t="shared" si="10"/>
        <v>30</v>
      </c>
      <c r="N167" s="19">
        <f t="shared" si="11"/>
        <v>0.875</v>
      </c>
      <c r="O167" s="18">
        <f t="shared" si="12"/>
        <v>3.75</v>
      </c>
      <c r="P167" s="18" t="str">
        <f t="shared" si="13"/>
        <v>OK</v>
      </c>
      <c r="Q167" s="12" t="s">
        <v>190</v>
      </c>
      <c r="R167" s="10">
        <f t="shared" si="14"/>
        <v>170.04</v>
      </c>
      <c r="S167" s="10">
        <v>0</v>
      </c>
      <c r="T167" s="10">
        <v>0</v>
      </c>
      <c r="U167" s="10">
        <v>0</v>
      </c>
      <c r="V167" s="12" t="s">
        <v>191</v>
      </c>
      <c r="W167" s="10">
        <v>5101.2</v>
      </c>
      <c r="X167">
        <v>99.8</v>
      </c>
    </row>
    <row r="168" spans="1:24" x14ac:dyDescent="0.25">
      <c r="A168" t="s">
        <v>116</v>
      </c>
      <c r="B168" t="s">
        <v>186</v>
      </c>
      <c r="C168" s="1">
        <v>46296</v>
      </c>
      <c r="D168" t="s">
        <v>174</v>
      </c>
      <c r="E168" s="10">
        <v>30</v>
      </c>
      <c r="F168" s="7">
        <v>1</v>
      </c>
      <c r="G168" s="10">
        <v>0</v>
      </c>
      <c r="H168" s="7">
        <v>0</v>
      </c>
      <c r="I168" s="10">
        <v>0</v>
      </c>
      <c r="J168" s="7">
        <v>0</v>
      </c>
      <c r="K168" s="12">
        <v>0</v>
      </c>
      <c r="L168" s="7">
        <v>0</v>
      </c>
      <c r="M168" s="18">
        <f t="shared" si="10"/>
        <v>30</v>
      </c>
      <c r="N168" s="19">
        <f t="shared" si="11"/>
        <v>1</v>
      </c>
      <c r="O168" s="18">
        <f t="shared" si="12"/>
        <v>0</v>
      </c>
      <c r="P168" s="18" t="str">
        <f t="shared" si="13"/>
        <v>OK</v>
      </c>
      <c r="Q168" s="12" t="s">
        <v>175</v>
      </c>
      <c r="R168" s="10">
        <f t="shared" si="14"/>
        <v>0</v>
      </c>
      <c r="S168" s="10">
        <v>0</v>
      </c>
      <c r="T168" s="10">
        <v>0</v>
      </c>
      <c r="U168" s="10">
        <v>0</v>
      </c>
      <c r="V168" s="12"/>
    </row>
    <row r="169" spans="1:24" x14ac:dyDescent="0.25">
      <c r="A169" t="s">
        <v>116</v>
      </c>
      <c r="B169" t="s">
        <v>187</v>
      </c>
      <c r="C169" s="1">
        <v>46327</v>
      </c>
      <c r="D169" t="s">
        <v>174</v>
      </c>
      <c r="E169" s="10">
        <v>30</v>
      </c>
      <c r="F169" s="7">
        <v>1</v>
      </c>
      <c r="G169" s="10">
        <v>0</v>
      </c>
      <c r="H169" s="7">
        <v>0</v>
      </c>
      <c r="I169" s="10">
        <v>0</v>
      </c>
      <c r="J169" s="7">
        <v>0</v>
      </c>
      <c r="K169" s="12">
        <v>0</v>
      </c>
      <c r="L169" s="7">
        <v>0</v>
      </c>
      <c r="M169" s="18">
        <f t="shared" si="10"/>
        <v>30</v>
      </c>
      <c r="N169" s="19">
        <f t="shared" si="11"/>
        <v>1</v>
      </c>
      <c r="O169" s="18">
        <f t="shared" si="12"/>
        <v>0</v>
      </c>
      <c r="P169" s="18" t="str">
        <f t="shared" si="13"/>
        <v>OK</v>
      </c>
      <c r="Q169" s="12" t="s">
        <v>175</v>
      </c>
      <c r="R169" s="10">
        <f t="shared" si="14"/>
        <v>0</v>
      </c>
      <c r="S169" s="10">
        <v>0</v>
      </c>
      <c r="T169" s="10">
        <v>0</v>
      </c>
      <c r="U169" s="10">
        <v>0</v>
      </c>
      <c r="V169" s="12"/>
    </row>
    <row r="170" spans="1:24" x14ac:dyDescent="0.25">
      <c r="A170" t="s">
        <v>116</v>
      </c>
      <c r="B170" t="s">
        <v>188</v>
      </c>
      <c r="C170" s="1">
        <v>46357</v>
      </c>
      <c r="D170" t="s">
        <v>182</v>
      </c>
      <c r="E170" s="10">
        <v>30</v>
      </c>
      <c r="F170" s="7">
        <v>1</v>
      </c>
      <c r="G170" s="10">
        <v>0</v>
      </c>
      <c r="H170" s="7">
        <v>0</v>
      </c>
      <c r="I170" s="10">
        <v>0</v>
      </c>
      <c r="J170" s="7">
        <v>0</v>
      </c>
      <c r="K170" s="12">
        <v>0</v>
      </c>
      <c r="L170" s="7">
        <v>0</v>
      </c>
      <c r="M170" s="18">
        <f t="shared" si="10"/>
        <v>30</v>
      </c>
      <c r="N170" s="19">
        <f t="shared" si="11"/>
        <v>1</v>
      </c>
      <c r="O170" s="18">
        <f t="shared" si="12"/>
        <v>0</v>
      </c>
      <c r="P170" s="18" t="str">
        <f t="shared" si="13"/>
        <v>OK</v>
      </c>
      <c r="Q170" s="12" t="s">
        <v>175</v>
      </c>
      <c r="R170" s="10">
        <f t="shared" si="14"/>
        <v>0</v>
      </c>
      <c r="S170" s="10">
        <v>0</v>
      </c>
      <c r="T170" s="10">
        <v>0</v>
      </c>
      <c r="U170" s="10">
        <v>0</v>
      </c>
      <c r="V170" s="12"/>
    </row>
    <row r="171" spans="1:24" x14ac:dyDescent="0.25">
      <c r="A171" t="s">
        <v>116</v>
      </c>
      <c r="B171" t="s">
        <v>189</v>
      </c>
      <c r="C171" s="1">
        <v>46357</v>
      </c>
      <c r="D171" t="s">
        <v>174</v>
      </c>
      <c r="E171" s="10">
        <v>30</v>
      </c>
      <c r="F171" s="7">
        <v>1</v>
      </c>
      <c r="G171" s="10">
        <v>0</v>
      </c>
      <c r="H171" s="7">
        <v>0</v>
      </c>
      <c r="I171" s="10">
        <v>0</v>
      </c>
      <c r="J171" s="7">
        <v>0</v>
      </c>
      <c r="K171" s="12">
        <v>0</v>
      </c>
      <c r="L171" s="7">
        <v>0</v>
      </c>
      <c r="M171" s="18">
        <f t="shared" si="10"/>
        <v>30</v>
      </c>
      <c r="N171" s="19">
        <f t="shared" si="11"/>
        <v>1</v>
      </c>
      <c r="O171" s="18">
        <f t="shared" si="12"/>
        <v>0</v>
      </c>
      <c r="P171" s="18" t="str">
        <f t="shared" si="13"/>
        <v>OK</v>
      </c>
      <c r="Q171" s="12" t="s">
        <v>175</v>
      </c>
      <c r="R171" s="10">
        <f t="shared" si="14"/>
        <v>0</v>
      </c>
      <c r="S171" s="10">
        <v>0</v>
      </c>
      <c r="T171" s="10">
        <v>0</v>
      </c>
      <c r="U171" s="10">
        <v>0</v>
      </c>
      <c r="V171" s="12"/>
    </row>
    <row r="172" spans="1:24" x14ac:dyDescent="0.25">
      <c r="A172" t="s">
        <v>118</v>
      </c>
      <c r="B172" t="s">
        <v>173</v>
      </c>
      <c r="C172" s="1">
        <v>46023</v>
      </c>
      <c r="D172" t="s">
        <v>174</v>
      </c>
      <c r="E172" s="10">
        <v>30</v>
      </c>
      <c r="F172" s="7">
        <v>1</v>
      </c>
      <c r="G172" s="10">
        <v>0</v>
      </c>
      <c r="H172" s="7">
        <v>0</v>
      </c>
      <c r="I172" s="10">
        <v>0</v>
      </c>
      <c r="J172" s="7">
        <v>0</v>
      </c>
      <c r="K172" s="12">
        <v>0</v>
      </c>
      <c r="L172" s="7">
        <v>0</v>
      </c>
      <c r="M172" s="18">
        <f t="shared" si="10"/>
        <v>30</v>
      </c>
      <c r="N172" s="19">
        <f t="shared" si="11"/>
        <v>1</v>
      </c>
      <c r="O172" s="18">
        <f t="shared" si="12"/>
        <v>0</v>
      </c>
      <c r="P172" s="18" t="str">
        <f t="shared" si="13"/>
        <v>OK</v>
      </c>
      <c r="Q172" s="12" t="s">
        <v>175</v>
      </c>
      <c r="R172" s="10">
        <f t="shared" si="14"/>
        <v>0</v>
      </c>
      <c r="S172" s="10">
        <v>0</v>
      </c>
      <c r="T172" s="10">
        <v>0</v>
      </c>
      <c r="U172" s="10">
        <v>0</v>
      </c>
      <c r="V172" s="12"/>
    </row>
    <row r="173" spans="1:24" x14ac:dyDescent="0.25">
      <c r="A173" t="s">
        <v>118</v>
      </c>
      <c r="B173" t="s">
        <v>176</v>
      </c>
      <c r="C173" s="1">
        <v>46054</v>
      </c>
      <c r="D173" t="s">
        <v>174</v>
      </c>
      <c r="E173" s="10">
        <v>30</v>
      </c>
      <c r="F173" s="7">
        <v>1</v>
      </c>
      <c r="G173" s="10">
        <v>0</v>
      </c>
      <c r="H173" s="7">
        <v>0</v>
      </c>
      <c r="I173" s="10">
        <v>0</v>
      </c>
      <c r="J173" s="7">
        <v>0</v>
      </c>
      <c r="K173" s="12">
        <v>0</v>
      </c>
      <c r="L173" s="7">
        <v>0</v>
      </c>
      <c r="M173" s="18">
        <f t="shared" si="10"/>
        <v>30</v>
      </c>
      <c r="N173" s="19">
        <f t="shared" si="11"/>
        <v>1</v>
      </c>
      <c r="O173" s="18">
        <f t="shared" si="12"/>
        <v>0</v>
      </c>
      <c r="P173" s="18" t="str">
        <f t="shared" si="13"/>
        <v>OK</v>
      </c>
      <c r="Q173" s="12" t="s">
        <v>175</v>
      </c>
      <c r="R173" s="10">
        <f t="shared" si="14"/>
        <v>0</v>
      </c>
      <c r="S173" s="10">
        <v>0</v>
      </c>
      <c r="T173" s="10">
        <v>0</v>
      </c>
      <c r="U173" s="10">
        <v>0</v>
      </c>
      <c r="V173" s="12"/>
    </row>
    <row r="174" spans="1:24" x14ac:dyDescent="0.25">
      <c r="A174" t="s">
        <v>118</v>
      </c>
      <c r="B174" t="s">
        <v>177</v>
      </c>
      <c r="C174" s="1">
        <v>46082</v>
      </c>
      <c r="D174" t="s">
        <v>174</v>
      </c>
      <c r="E174" s="10">
        <v>30</v>
      </c>
      <c r="F174" s="7">
        <v>1</v>
      </c>
      <c r="G174" s="10">
        <v>0</v>
      </c>
      <c r="H174" s="7">
        <v>0</v>
      </c>
      <c r="I174" s="10">
        <v>0</v>
      </c>
      <c r="J174" s="7">
        <v>0</v>
      </c>
      <c r="K174" s="12">
        <v>0</v>
      </c>
      <c r="L174" s="7">
        <v>0</v>
      </c>
      <c r="M174" s="18">
        <f t="shared" si="10"/>
        <v>30</v>
      </c>
      <c r="N174" s="19">
        <f t="shared" si="11"/>
        <v>1</v>
      </c>
      <c r="O174" s="18">
        <f t="shared" si="12"/>
        <v>0</v>
      </c>
      <c r="P174" s="18" t="str">
        <f t="shared" si="13"/>
        <v>OK</v>
      </c>
      <c r="Q174" s="12" t="s">
        <v>175</v>
      </c>
      <c r="R174" s="10">
        <f t="shared" si="14"/>
        <v>0</v>
      </c>
      <c r="S174" s="10">
        <v>0</v>
      </c>
      <c r="T174" s="10">
        <v>0</v>
      </c>
      <c r="U174" s="10">
        <v>0</v>
      </c>
      <c r="V174" s="12"/>
    </row>
    <row r="175" spans="1:24" x14ac:dyDescent="0.25">
      <c r="A175" t="s">
        <v>118</v>
      </c>
      <c r="B175" t="s">
        <v>178</v>
      </c>
      <c r="C175" s="1">
        <v>46113</v>
      </c>
      <c r="D175" t="s">
        <v>174</v>
      </c>
      <c r="E175" s="10">
        <v>30</v>
      </c>
      <c r="F175" s="7">
        <v>1</v>
      </c>
      <c r="G175" s="10">
        <v>0</v>
      </c>
      <c r="H175" s="7">
        <v>0</v>
      </c>
      <c r="I175" s="10">
        <v>0</v>
      </c>
      <c r="J175" s="7">
        <v>0</v>
      </c>
      <c r="K175" s="12">
        <v>0</v>
      </c>
      <c r="L175" s="7">
        <v>0</v>
      </c>
      <c r="M175" s="18">
        <f t="shared" si="10"/>
        <v>30</v>
      </c>
      <c r="N175" s="19">
        <f t="shared" si="11"/>
        <v>1</v>
      </c>
      <c r="O175" s="18">
        <f t="shared" si="12"/>
        <v>0</v>
      </c>
      <c r="P175" s="18" t="str">
        <f t="shared" si="13"/>
        <v>OK</v>
      </c>
      <c r="Q175" s="12" t="s">
        <v>175</v>
      </c>
      <c r="R175" s="10">
        <f t="shared" si="14"/>
        <v>0</v>
      </c>
      <c r="S175" s="10">
        <v>0</v>
      </c>
      <c r="T175" s="10">
        <v>0</v>
      </c>
      <c r="U175" s="10">
        <v>0</v>
      </c>
      <c r="V175" s="12"/>
    </row>
    <row r="176" spans="1:24" x14ac:dyDescent="0.25">
      <c r="A176" t="s">
        <v>118</v>
      </c>
      <c r="B176" t="s">
        <v>179</v>
      </c>
      <c r="C176" s="1">
        <v>46143</v>
      </c>
      <c r="D176" t="s">
        <v>174</v>
      </c>
      <c r="E176" s="10">
        <v>30</v>
      </c>
      <c r="F176" s="7">
        <v>1</v>
      </c>
      <c r="G176" s="10">
        <v>0</v>
      </c>
      <c r="H176" s="7">
        <v>0</v>
      </c>
      <c r="I176" s="10">
        <v>0</v>
      </c>
      <c r="J176" s="7">
        <v>0</v>
      </c>
      <c r="K176" s="12">
        <v>0</v>
      </c>
      <c r="L176" s="7">
        <v>0</v>
      </c>
      <c r="M176" s="18">
        <f t="shared" si="10"/>
        <v>30</v>
      </c>
      <c r="N176" s="19">
        <f t="shared" si="11"/>
        <v>1</v>
      </c>
      <c r="O176" s="18">
        <f t="shared" si="12"/>
        <v>0</v>
      </c>
      <c r="P176" s="18" t="str">
        <f t="shared" si="13"/>
        <v>OK</v>
      </c>
      <c r="Q176" s="12" t="s">
        <v>175</v>
      </c>
      <c r="R176" s="10">
        <f t="shared" si="14"/>
        <v>0</v>
      </c>
      <c r="S176" s="10">
        <v>0</v>
      </c>
      <c r="T176" s="10">
        <v>0</v>
      </c>
      <c r="U176" s="10">
        <v>0</v>
      </c>
      <c r="V176" s="12"/>
    </row>
    <row r="177" spans="1:22" x14ac:dyDescent="0.25">
      <c r="A177" t="s">
        <v>118</v>
      </c>
      <c r="B177" t="s">
        <v>180</v>
      </c>
      <c r="C177" s="1">
        <v>46174</v>
      </c>
      <c r="D177" t="s">
        <v>174</v>
      </c>
      <c r="E177" s="10">
        <v>30</v>
      </c>
      <c r="F177" s="7">
        <v>1</v>
      </c>
      <c r="G177" s="10">
        <v>0</v>
      </c>
      <c r="H177" s="7">
        <v>0</v>
      </c>
      <c r="I177" s="10">
        <v>0</v>
      </c>
      <c r="J177" s="7">
        <v>0</v>
      </c>
      <c r="K177" s="12">
        <v>0</v>
      </c>
      <c r="L177" s="7">
        <v>0</v>
      </c>
      <c r="M177" s="18">
        <f t="shared" si="10"/>
        <v>30</v>
      </c>
      <c r="N177" s="19">
        <f t="shared" si="11"/>
        <v>1</v>
      </c>
      <c r="O177" s="18">
        <f t="shared" si="12"/>
        <v>0</v>
      </c>
      <c r="P177" s="18" t="str">
        <f t="shared" si="13"/>
        <v>OK</v>
      </c>
      <c r="Q177" s="12" t="s">
        <v>175</v>
      </c>
      <c r="R177" s="10">
        <f t="shared" si="14"/>
        <v>0</v>
      </c>
      <c r="S177" s="10">
        <v>0</v>
      </c>
      <c r="T177" s="10">
        <v>0</v>
      </c>
      <c r="U177" s="10">
        <v>0</v>
      </c>
      <c r="V177" s="12"/>
    </row>
    <row r="178" spans="1:22" x14ac:dyDescent="0.25">
      <c r="A178" t="s">
        <v>118</v>
      </c>
      <c r="B178" t="s">
        <v>181</v>
      </c>
      <c r="C178" s="1">
        <v>46204</v>
      </c>
      <c r="D178" t="s">
        <v>182</v>
      </c>
      <c r="E178" s="10">
        <v>30</v>
      </c>
      <c r="F178" s="7">
        <v>1</v>
      </c>
      <c r="G178" s="10">
        <v>0</v>
      </c>
      <c r="H178" s="7">
        <v>0</v>
      </c>
      <c r="I178" s="10">
        <v>0</v>
      </c>
      <c r="J178" s="7">
        <v>0</v>
      </c>
      <c r="K178" s="12">
        <v>0</v>
      </c>
      <c r="L178" s="7">
        <v>0</v>
      </c>
      <c r="M178" s="18">
        <f t="shared" si="10"/>
        <v>30</v>
      </c>
      <c r="N178" s="19">
        <f t="shared" si="11"/>
        <v>1</v>
      </c>
      <c r="O178" s="18">
        <f t="shared" si="12"/>
        <v>0</v>
      </c>
      <c r="P178" s="18" t="str">
        <f t="shared" si="13"/>
        <v>OK</v>
      </c>
      <c r="Q178" s="12" t="s">
        <v>175</v>
      </c>
      <c r="R178" s="10">
        <f t="shared" si="14"/>
        <v>0</v>
      </c>
      <c r="S178" s="10">
        <v>0</v>
      </c>
      <c r="T178" s="10">
        <v>0</v>
      </c>
      <c r="U178" s="10">
        <v>0</v>
      </c>
      <c r="V178" s="12"/>
    </row>
    <row r="179" spans="1:22" x14ac:dyDescent="0.25">
      <c r="A179" t="s">
        <v>118</v>
      </c>
      <c r="B179" t="s">
        <v>183</v>
      </c>
      <c r="C179" s="1">
        <v>46204</v>
      </c>
      <c r="D179" t="s">
        <v>174</v>
      </c>
      <c r="E179" s="10">
        <v>30</v>
      </c>
      <c r="F179" s="7">
        <v>1</v>
      </c>
      <c r="G179" s="10">
        <v>0</v>
      </c>
      <c r="H179" s="7">
        <v>0</v>
      </c>
      <c r="I179" s="10">
        <v>0</v>
      </c>
      <c r="J179" s="7">
        <v>0</v>
      </c>
      <c r="K179" s="12">
        <v>0</v>
      </c>
      <c r="L179" s="7">
        <v>0</v>
      </c>
      <c r="M179" s="18">
        <f t="shared" si="10"/>
        <v>30</v>
      </c>
      <c r="N179" s="19">
        <f t="shared" si="11"/>
        <v>1</v>
      </c>
      <c r="O179" s="18">
        <f t="shared" si="12"/>
        <v>0</v>
      </c>
      <c r="P179" s="18" t="str">
        <f t="shared" si="13"/>
        <v>OK</v>
      </c>
      <c r="Q179" s="12" t="s">
        <v>175</v>
      </c>
      <c r="R179" s="10">
        <f t="shared" si="14"/>
        <v>0</v>
      </c>
      <c r="S179" s="10">
        <v>0</v>
      </c>
      <c r="T179" s="10">
        <v>0</v>
      </c>
      <c r="U179" s="10">
        <v>0</v>
      </c>
      <c r="V179" s="12"/>
    </row>
    <row r="180" spans="1:22" x14ac:dyDescent="0.25">
      <c r="A180" t="s">
        <v>118</v>
      </c>
      <c r="B180" t="s">
        <v>184</v>
      </c>
      <c r="C180" s="1">
        <v>46235</v>
      </c>
      <c r="D180" t="s">
        <v>174</v>
      </c>
      <c r="E180" s="10">
        <v>30</v>
      </c>
      <c r="F180" s="7">
        <v>1</v>
      </c>
      <c r="G180" s="10">
        <v>0</v>
      </c>
      <c r="H180" s="7">
        <v>0</v>
      </c>
      <c r="I180" s="10">
        <v>0</v>
      </c>
      <c r="J180" s="7">
        <v>0</v>
      </c>
      <c r="K180" s="12">
        <v>0</v>
      </c>
      <c r="L180" s="7">
        <v>0</v>
      </c>
      <c r="M180" s="18">
        <f t="shared" si="10"/>
        <v>30</v>
      </c>
      <c r="N180" s="19">
        <f t="shared" si="11"/>
        <v>1</v>
      </c>
      <c r="O180" s="18">
        <f t="shared" si="12"/>
        <v>0</v>
      </c>
      <c r="P180" s="18" t="str">
        <f t="shared" si="13"/>
        <v>OK</v>
      </c>
      <c r="Q180" s="12" t="s">
        <v>175</v>
      </c>
      <c r="R180" s="10">
        <f t="shared" si="14"/>
        <v>0</v>
      </c>
      <c r="S180" s="10">
        <v>0</v>
      </c>
      <c r="T180" s="10">
        <v>0</v>
      </c>
      <c r="U180" s="10">
        <v>0</v>
      </c>
      <c r="V180" s="12"/>
    </row>
    <row r="181" spans="1:22" x14ac:dyDescent="0.25">
      <c r="A181" t="s">
        <v>118</v>
      </c>
      <c r="B181" t="s">
        <v>185</v>
      </c>
      <c r="C181" s="1">
        <v>46266</v>
      </c>
      <c r="D181" t="s">
        <v>174</v>
      </c>
      <c r="E181" s="10">
        <v>30</v>
      </c>
      <c r="F181" s="7">
        <v>1</v>
      </c>
      <c r="G181" s="10">
        <v>0</v>
      </c>
      <c r="H181" s="7">
        <v>0</v>
      </c>
      <c r="I181" s="10">
        <v>0</v>
      </c>
      <c r="J181" s="7">
        <v>0</v>
      </c>
      <c r="K181" s="12">
        <v>0</v>
      </c>
      <c r="L181" s="7">
        <v>0</v>
      </c>
      <c r="M181" s="18">
        <f t="shared" si="10"/>
        <v>30</v>
      </c>
      <c r="N181" s="19">
        <f t="shared" si="11"/>
        <v>1</v>
      </c>
      <c r="O181" s="18">
        <f t="shared" si="12"/>
        <v>0</v>
      </c>
      <c r="P181" s="18" t="str">
        <f t="shared" si="13"/>
        <v>OK</v>
      </c>
      <c r="Q181" s="12" t="s">
        <v>175</v>
      </c>
      <c r="R181" s="10">
        <f t="shared" si="14"/>
        <v>0</v>
      </c>
      <c r="S181" s="10">
        <v>0</v>
      </c>
      <c r="T181" s="10">
        <v>0</v>
      </c>
      <c r="U181" s="10">
        <v>0</v>
      </c>
      <c r="V181" s="12"/>
    </row>
    <row r="182" spans="1:22" x14ac:dyDescent="0.25">
      <c r="A182" t="s">
        <v>118</v>
      </c>
      <c r="B182" t="s">
        <v>186</v>
      </c>
      <c r="C182" s="1">
        <v>46296</v>
      </c>
      <c r="D182" t="s">
        <v>174</v>
      </c>
      <c r="E182" s="10">
        <v>30</v>
      </c>
      <c r="F182" s="7">
        <v>1</v>
      </c>
      <c r="G182" s="10">
        <v>0</v>
      </c>
      <c r="H182" s="7">
        <v>0</v>
      </c>
      <c r="I182" s="10">
        <v>0</v>
      </c>
      <c r="J182" s="7">
        <v>0</v>
      </c>
      <c r="K182" s="12">
        <v>0</v>
      </c>
      <c r="L182" s="7">
        <v>0</v>
      </c>
      <c r="M182" s="18">
        <f t="shared" si="10"/>
        <v>30</v>
      </c>
      <c r="N182" s="19">
        <f t="shared" si="11"/>
        <v>1</v>
      </c>
      <c r="O182" s="18">
        <f t="shared" si="12"/>
        <v>0</v>
      </c>
      <c r="P182" s="18" t="str">
        <f t="shared" si="13"/>
        <v>OK</v>
      </c>
      <c r="Q182" s="12" t="s">
        <v>175</v>
      </c>
      <c r="R182" s="10">
        <f t="shared" si="14"/>
        <v>0</v>
      </c>
      <c r="S182" s="10">
        <v>0</v>
      </c>
      <c r="T182" s="10">
        <v>0</v>
      </c>
      <c r="U182" s="10">
        <v>0</v>
      </c>
      <c r="V182" s="12"/>
    </row>
    <row r="183" spans="1:22" x14ac:dyDescent="0.25">
      <c r="A183" t="s">
        <v>118</v>
      </c>
      <c r="B183" t="s">
        <v>187</v>
      </c>
      <c r="C183" s="1">
        <v>46327</v>
      </c>
      <c r="D183" t="s">
        <v>174</v>
      </c>
      <c r="E183" s="10">
        <v>30</v>
      </c>
      <c r="F183" s="7">
        <v>1</v>
      </c>
      <c r="G183" s="10">
        <v>0</v>
      </c>
      <c r="H183" s="7">
        <v>0</v>
      </c>
      <c r="I183" s="10">
        <v>0</v>
      </c>
      <c r="J183" s="7">
        <v>0</v>
      </c>
      <c r="K183" s="12">
        <v>0</v>
      </c>
      <c r="L183" s="7">
        <v>0</v>
      </c>
      <c r="M183" s="18">
        <f t="shared" si="10"/>
        <v>30</v>
      </c>
      <c r="N183" s="19">
        <f t="shared" si="11"/>
        <v>1</v>
      </c>
      <c r="O183" s="18">
        <f t="shared" si="12"/>
        <v>0</v>
      </c>
      <c r="P183" s="18" t="str">
        <f t="shared" si="13"/>
        <v>OK</v>
      </c>
      <c r="Q183" s="12" t="s">
        <v>175</v>
      </c>
      <c r="R183" s="10">
        <f t="shared" si="14"/>
        <v>0</v>
      </c>
      <c r="S183" s="10">
        <v>0</v>
      </c>
      <c r="T183" s="10">
        <v>0</v>
      </c>
      <c r="U183" s="10">
        <v>0</v>
      </c>
      <c r="V183" s="12"/>
    </row>
    <row r="184" spans="1:22" x14ac:dyDescent="0.25">
      <c r="A184" t="s">
        <v>118</v>
      </c>
      <c r="B184" t="s">
        <v>188</v>
      </c>
      <c r="C184" s="1">
        <v>46357</v>
      </c>
      <c r="D184" t="s">
        <v>182</v>
      </c>
      <c r="E184" s="10">
        <v>30</v>
      </c>
      <c r="F184" s="7">
        <v>1</v>
      </c>
      <c r="G184" s="10">
        <v>0</v>
      </c>
      <c r="H184" s="7">
        <v>0</v>
      </c>
      <c r="I184" s="10">
        <v>0</v>
      </c>
      <c r="J184" s="7">
        <v>0</v>
      </c>
      <c r="K184" s="12">
        <v>0</v>
      </c>
      <c r="L184" s="7">
        <v>0</v>
      </c>
      <c r="M184" s="18">
        <f t="shared" si="10"/>
        <v>30</v>
      </c>
      <c r="N184" s="19">
        <f t="shared" si="11"/>
        <v>1</v>
      </c>
      <c r="O184" s="18">
        <f t="shared" si="12"/>
        <v>0</v>
      </c>
      <c r="P184" s="18" t="str">
        <f t="shared" si="13"/>
        <v>OK</v>
      </c>
      <c r="Q184" s="12" t="s">
        <v>175</v>
      </c>
      <c r="R184" s="10">
        <f t="shared" si="14"/>
        <v>0</v>
      </c>
      <c r="S184" s="10">
        <v>0</v>
      </c>
      <c r="T184" s="10">
        <v>0</v>
      </c>
      <c r="U184" s="10">
        <v>0</v>
      </c>
      <c r="V184" s="12"/>
    </row>
    <row r="185" spans="1:22" x14ac:dyDescent="0.25">
      <c r="A185" t="s">
        <v>118</v>
      </c>
      <c r="B185" t="s">
        <v>189</v>
      </c>
      <c r="C185" s="1">
        <v>46357</v>
      </c>
      <c r="D185" t="s">
        <v>174</v>
      </c>
      <c r="E185" s="10">
        <v>30</v>
      </c>
      <c r="F185" s="7">
        <v>1</v>
      </c>
      <c r="G185" s="10">
        <v>0</v>
      </c>
      <c r="H185" s="7">
        <v>0</v>
      </c>
      <c r="I185" s="10">
        <v>0</v>
      </c>
      <c r="J185" s="7">
        <v>0</v>
      </c>
      <c r="K185" s="12">
        <v>0</v>
      </c>
      <c r="L185" s="7">
        <v>0</v>
      </c>
      <c r="M185" s="18">
        <f t="shared" si="10"/>
        <v>30</v>
      </c>
      <c r="N185" s="19">
        <f t="shared" si="11"/>
        <v>1</v>
      </c>
      <c r="O185" s="18">
        <f t="shared" si="12"/>
        <v>0</v>
      </c>
      <c r="P185" s="18" t="str">
        <f t="shared" si="13"/>
        <v>OK</v>
      </c>
      <c r="Q185" s="12" t="s">
        <v>175</v>
      </c>
      <c r="R185" s="10">
        <f t="shared" si="14"/>
        <v>0</v>
      </c>
      <c r="S185" s="10">
        <v>0</v>
      </c>
      <c r="T185" s="10">
        <v>0</v>
      </c>
      <c r="U185" s="10">
        <v>0</v>
      </c>
      <c r="V185" s="12"/>
    </row>
    <row r="186" spans="1:22" x14ac:dyDescent="0.25">
      <c r="A186" t="s">
        <v>120</v>
      </c>
      <c r="B186" t="s">
        <v>173</v>
      </c>
      <c r="C186" s="1">
        <v>46023</v>
      </c>
      <c r="D186" t="s">
        <v>174</v>
      </c>
      <c r="E186" s="10">
        <v>30</v>
      </c>
      <c r="F186" s="7">
        <v>1</v>
      </c>
      <c r="G186" s="10">
        <v>0</v>
      </c>
      <c r="H186" s="7">
        <v>0</v>
      </c>
      <c r="I186" s="10">
        <v>0</v>
      </c>
      <c r="J186" s="7">
        <v>0</v>
      </c>
      <c r="K186" s="12">
        <v>0</v>
      </c>
      <c r="L186" s="7">
        <v>0</v>
      </c>
      <c r="M186" s="18">
        <f t="shared" si="10"/>
        <v>30</v>
      </c>
      <c r="N186" s="19">
        <f t="shared" si="11"/>
        <v>1</v>
      </c>
      <c r="O186" s="18">
        <f t="shared" si="12"/>
        <v>0</v>
      </c>
      <c r="P186" s="18" t="str">
        <f t="shared" si="13"/>
        <v>OK</v>
      </c>
      <c r="Q186" s="12" t="s">
        <v>175</v>
      </c>
      <c r="R186" s="10">
        <f t="shared" si="14"/>
        <v>0</v>
      </c>
      <c r="S186" s="10">
        <v>0</v>
      </c>
      <c r="T186" s="10">
        <v>0</v>
      </c>
      <c r="U186" s="10">
        <v>0</v>
      </c>
      <c r="V186" s="12"/>
    </row>
    <row r="187" spans="1:22" x14ac:dyDescent="0.25">
      <c r="A187" t="s">
        <v>120</v>
      </c>
      <c r="B187" t="s">
        <v>176</v>
      </c>
      <c r="C187" s="1">
        <v>46054</v>
      </c>
      <c r="D187" t="s">
        <v>174</v>
      </c>
      <c r="E187" s="10">
        <v>30</v>
      </c>
      <c r="F187" s="7">
        <v>1</v>
      </c>
      <c r="G187" s="10">
        <v>0</v>
      </c>
      <c r="H187" s="7">
        <v>0</v>
      </c>
      <c r="I187" s="10">
        <v>0</v>
      </c>
      <c r="J187" s="7">
        <v>0</v>
      </c>
      <c r="K187" s="12">
        <v>0</v>
      </c>
      <c r="L187" s="7">
        <v>0</v>
      </c>
      <c r="M187" s="18">
        <f t="shared" si="10"/>
        <v>30</v>
      </c>
      <c r="N187" s="19">
        <f t="shared" si="11"/>
        <v>1</v>
      </c>
      <c r="O187" s="18">
        <f t="shared" si="12"/>
        <v>0</v>
      </c>
      <c r="P187" s="18" t="str">
        <f t="shared" si="13"/>
        <v>OK</v>
      </c>
      <c r="Q187" s="12" t="s">
        <v>175</v>
      </c>
      <c r="R187" s="10">
        <f t="shared" si="14"/>
        <v>0</v>
      </c>
      <c r="S187" s="10">
        <v>0</v>
      </c>
      <c r="T187" s="10">
        <v>0</v>
      </c>
      <c r="U187" s="10">
        <v>0</v>
      </c>
      <c r="V187" s="12"/>
    </row>
    <row r="188" spans="1:22" x14ac:dyDescent="0.25">
      <c r="A188" t="s">
        <v>120</v>
      </c>
      <c r="B188" t="s">
        <v>177</v>
      </c>
      <c r="C188" s="1">
        <v>46082</v>
      </c>
      <c r="D188" t="s">
        <v>174</v>
      </c>
      <c r="E188" s="10">
        <v>30</v>
      </c>
      <c r="F188" s="7">
        <v>1</v>
      </c>
      <c r="G188" s="10">
        <v>0</v>
      </c>
      <c r="H188" s="7">
        <v>0</v>
      </c>
      <c r="I188" s="10">
        <v>0</v>
      </c>
      <c r="J188" s="7">
        <v>0</v>
      </c>
      <c r="K188" s="12">
        <v>0</v>
      </c>
      <c r="L188" s="7">
        <v>0</v>
      </c>
      <c r="M188" s="18">
        <f t="shared" si="10"/>
        <v>30</v>
      </c>
      <c r="N188" s="19">
        <f t="shared" si="11"/>
        <v>1</v>
      </c>
      <c r="O188" s="18">
        <f t="shared" si="12"/>
        <v>0</v>
      </c>
      <c r="P188" s="18" t="str">
        <f t="shared" si="13"/>
        <v>OK</v>
      </c>
      <c r="Q188" s="12" t="s">
        <v>175</v>
      </c>
      <c r="R188" s="10">
        <f t="shared" si="14"/>
        <v>0</v>
      </c>
      <c r="S188" s="10">
        <v>0</v>
      </c>
      <c r="T188" s="10">
        <v>0</v>
      </c>
      <c r="U188" s="10">
        <v>0</v>
      </c>
      <c r="V188" s="12"/>
    </row>
    <row r="189" spans="1:22" x14ac:dyDescent="0.25">
      <c r="A189" t="s">
        <v>120</v>
      </c>
      <c r="B189" t="s">
        <v>178</v>
      </c>
      <c r="C189" s="1">
        <v>46113</v>
      </c>
      <c r="D189" t="s">
        <v>174</v>
      </c>
      <c r="E189" s="10">
        <v>30</v>
      </c>
      <c r="F189" s="7">
        <v>1</v>
      </c>
      <c r="G189" s="10">
        <v>0</v>
      </c>
      <c r="H189" s="7">
        <v>0</v>
      </c>
      <c r="I189" s="10">
        <v>0</v>
      </c>
      <c r="J189" s="7">
        <v>0</v>
      </c>
      <c r="K189" s="12">
        <v>0</v>
      </c>
      <c r="L189" s="7">
        <v>0</v>
      </c>
      <c r="M189" s="18">
        <f t="shared" si="10"/>
        <v>30</v>
      </c>
      <c r="N189" s="19">
        <f t="shared" si="11"/>
        <v>1</v>
      </c>
      <c r="O189" s="18">
        <f t="shared" si="12"/>
        <v>0</v>
      </c>
      <c r="P189" s="18" t="str">
        <f t="shared" si="13"/>
        <v>OK</v>
      </c>
      <c r="Q189" s="12" t="s">
        <v>175</v>
      </c>
      <c r="R189" s="10">
        <f t="shared" si="14"/>
        <v>0</v>
      </c>
      <c r="S189" s="10">
        <v>0</v>
      </c>
      <c r="T189" s="10">
        <v>0</v>
      </c>
      <c r="U189" s="10">
        <v>0</v>
      </c>
      <c r="V189" s="12"/>
    </row>
    <row r="190" spans="1:22" x14ac:dyDescent="0.25">
      <c r="A190" t="s">
        <v>120</v>
      </c>
      <c r="B190" t="s">
        <v>179</v>
      </c>
      <c r="C190" s="1">
        <v>46143</v>
      </c>
      <c r="D190" t="s">
        <v>174</v>
      </c>
      <c r="E190" s="10">
        <v>30</v>
      </c>
      <c r="F190" s="7">
        <v>1</v>
      </c>
      <c r="G190" s="10">
        <v>0</v>
      </c>
      <c r="H190" s="7">
        <v>0</v>
      </c>
      <c r="I190" s="10">
        <v>0</v>
      </c>
      <c r="J190" s="7">
        <v>0</v>
      </c>
      <c r="K190" s="12">
        <v>0</v>
      </c>
      <c r="L190" s="7">
        <v>0</v>
      </c>
      <c r="M190" s="18">
        <f t="shared" si="10"/>
        <v>30</v>
      </c>
      <c r="N190" s="19">
        <f t="shared" si="11"/>
        <v>1</v>
      </c>
      <c r="O190" s="18">
        <f t="shared" si="12"/>
        <v>0</v>
      </c>
      <c r="P190" s="18" t="str">
        <f t="shared" si="13"/>
        <v>OK</v>
      </c>
      <c r="Q190" s="12" t="s">
        <v>175</v>
      </c>
      <c r="R190" s="10">
        <f t="shared" si="14"/>
        <v>0</v>
      </c>
      <c r="S190" s="10">
        <v>0</v>
      </c>
      <c r="T190" s="10">
        <v>0</v>
      </c>
      <c r="U190" s="10">
        <v>0</v>
      </c>
      <c r="V190" s="12"/>
    </row>
    <row r="191" spans="1:22" x14ac:dyDescent="0.25">
      <c r="A191" t="s">
        <v>120</v>
      </c>
      <c r="B191" t="s">
        <v>180</v>
      </c>
      <c r="C191" s="1">
        <v>46174</v>
      </c>
      <c r="D191" t="s">
        <v>174</v>
      </c>
      <c r="E191" s="10">
        <v>30</v>
      </c>
      <c r="F191" s="7">
        <v>1</v>
      </c>
      <c r="G191" s="10">
        <v>0</v>
      </c>
      <c r="H191" s="7">
        <v>0</v>
      </c>
      <c r="I191" s="10">
        <v>0</v>
      </c>
      <c r="J191" s="7">
        <v>0</v>
      </c>
      <c r="K191" s="12">
        <v>0</v>
      </c>
      <c r="L191" s="7">
        <v>0</v>
      </c>
      <c r="M191" s="18">
        <f t="shared" si="10"/>
        <v>30</v>
      </c>
      <c r="N191" s="19">
        <f t="shared" si="11"/>
        <v>1</v>
      </c>
      <c r="O191" s="18">
        <f t="shared" si="12"/>
        <v>0</v>
      </c>
      <c r="P191" s="18" t="str">
        <f t="shared" si="13"/>
        <v>OK</v>
      </c>
      <c r="Q191" s="12" t="s">
        <v>175</v>
      </c>
      <c r="R191" s="10">
        <f t="shared" si="14"/>
        <v>0</v>
      </c>
      <c r="S191" s="10">
        <v>0</v>
      </c>
      <c r="T191" s="10">
        <v>0</v>
      </c>
      <c r="U191" s="10">
        <v>0</v>
      </c>
      <c r="V191" s="12"/>
    </row>
    <row r="192" spans="1:22" x14ac:dyDescent="0.25">
      <c r="A192" t="s">
        <v>120</v>
      </c>
      <c r="B192" t="s">
        <v>181</v>
      </c>
      <c r="C192" s="1">
        <v>46204</v>
      </c>
      <c r="D192" t="s">
        <v>182</v>
      </c>
      <c r="E192" s="10">
        <v>30</v>
      </c>
      <c r="F192" s="7">
        <v>1</v>
      </c>
      <c r="G192" s="10">
        <v>0</v>
      </c>
      <c r="H192" s="7">
        <v>0</v>
      </c>
      <c r="I192" s="10">
        <v>0</v>
      </c>
      <c r="J192" s="7">
        <v>0</v>
      </c>
      <c r="K192" s="12">
        <v>0</v>
      </c>
      <c r="L192" s="7">
        <v>0</v>
      </c>
      <c r="M192" s="18">
        <f t="shared" si="10"/>
        <v>30</v>
      </c>
      <c r="N192" s="19">
        <f t="shared" si="11"/>
        <v>1</v>
      </c>
      <c r="O192" s="18">
        <f t="shared" si="12"/>
        <v>0</v>
      </c>
      <c r="P192" s="18" t="str">
        <f t="shared" si="13"/>
        <v>OK</v>
      </c>
      <c r="Q192" s="12" t="s">
        <v>175</v>
      </c>
      <c r="R192" s="10">
        <f t="shared" si="14"/>
        <v>0</v>
      </c>
      <c r="S192" s="10">
        <v>0</v>
      </c>
      <c r="T192" s="10">
        <v>0</v>
      </c>
      <c r="U192" s="10">
        <v>0</v>
      </c>
      <c r="V192" s="12"/>
    </row>
    <row r="193" spans="1:22" x14ac:dyDescent="0.25">
      <c r="A193" t="s">
        <v>120</v>
      </c>
      <c r="B193" t="s">
        <v>183</v>
      </c>
      <c r="C193" s="1">
        <v>46204</v>
      </c>
      <c r="D193" t="s">
        <v>174</v>
      </c>
      <c r="E193" s="10">
        <v>30</v>
      </c>
      <c r="F193" s="7">
        <v>1</v>
      </c>
      <c r="G193" s="10">
        <v>0</v>
      </c>
      <c r="H193" s="7">
        <v>0</v>
      </c>
      <c r="I193" s="10">
        <v>0</v>
      </c>
      <c r="J193" s="7">
        <v>0</v>
      </c>
      <c r="K193" s="12">
        <v>0</v>
      </c>
      <c r="L193" s="7">
        <v>0</v>
      </c>
      <c r="M193" s="18">
        <f t="shared" si="10"/>
        <v>30</v>
      </c>
      <c r="N193" s="19">
        <f t="shared" si="11"/>
        <v>1</v>
      </c>
      <c r="O193" s="18">
        <f t="shared" si="12"/>
        <v>0</v>
      </c>
      <c r="P193" s="18" t="str">
        <f t="shared" si="13"/>
        <v>OK</v>
      </c>
      <c r="Q193" s="12" t="s">
        <v>175</v>
      </c>
      <c r="R193" s="10">
        <f t="shared" si="14"/>
        <v>0</v>
      </c>
      <c r="S193" s="10">
        <v>0</v>
      </c>
      <c r="T193" s="10">
        <v>0</v>
      </c>
      <c r="U193" s="10">
        <v>0</v>
      </c>
      <c r="V193" s="12"/>
    </row>
    <row r="194" spans="1:22" x14ac:dyDescent="0.25">
      <c r="A194" t="s">
        <v>120</v>
      </c>
      <c r="B194" t="s">
        <v>184</v>
      </c>
      <c r="C194" s="1">
        <v>46235</v>
      </c>
      <c r="D194" t="s">
        <v>174</v>
      </c>
      <c r="E194" s="10">
        <v>30</v>
      </c>
      <c r="F194" s="7">
        <v>1</v>
      </c>
      <c r="G194" s="10">
        <v>0</v>
      </c>
      <c r="H194" s="7">
        <v>0</v>
      </c>
      <c r="I194" s="10">
        <v>0</v>
      </c>
      <c r="J194" s="7">
        <v>0</v>
      </c>
      <c r="K194" s="12">
        <v>0</v>
      </c>
      <c r="L194" s="7">
        <v>0</v>
      </c>
      <c r="M194" s="18">
        <f t="shared" si="10"/>
        <v>30</v>
      </c>
      <c r="N194" s="19">
        <f t="shared" si="11"/>
        <v>1</v>
      </c>
      <c r="O194" s="18">
        <f t="shared" si="12"/>
        <v>0</v>
      </c>
      <c r="P194" s="18" t="str">
        <f t="shared" si="13"/>
        <v>OK</v>
      </c>
      <c r="Q194" s="12" t="s">
        <v>175</v>
      </c>
      <c r="R194" s="10">
        <f t="shared" si="14"/>
        <v>0</v>
      </c>
      <c r="S194" s="10">
        <v>0</v>
      </c>
      <c r="T194" s="10">
        <v>0</v>
      </c>
      <c r="U194" s="10">
        <v>0</v>
      </c>
      <c r="V194" s="12"/>
    </row>
    <row r="195" spans="1:22" x14ac:dyDescent="0.25">
      <c r="A195" t="s">
        <v>120</v>
      </c>
      <c r="B195" t="s">
        <v>185</v>
      </c>
      <c r="C195" s="1">
        <v>46266</v>
      </c>
      <c r="D195" t="s">
        <v>174</v>
      </c>
      <c r="E195" s="10">
        <v>30</v>
      </c>
      <c r="F195" s="7">
        <v>1</v>
      </c>
      <c r="G195" s="10">
        <v>0</v>
      </c>
      <c r="H195" s="7">
        <v>0</v>
      </c>
      <c r="I195" s="10">
        <v>0</v>
      </c>
      <c r="J195" s="7">
        <v>0</v>
      </c>
      <c r="K195" s="12">
        <v>0</v>
      </c>
      <c r="L195" s="7">
        <v>0</v>
      </c>
      <c r="M195" s="18">
        <f t="shared" si="10"/>
        <v>30</v>
      </c>
      <c r="N195" s="19">
        <f t="shared" si="11"/>
        <v>1</v>
      </c>
      <c r="O195" s="18">
        <f t="shared" si="12"/>
        <v>0</v>
      </c>
      <c r="P195" s="18" t="str">
        <f t="shared" si="13"/>
        <v>OK</v>
      </c>
      <c r="Q195" s="12" t="s">
        <v>175</v>
      </c>
      <c r="R195" s="10">
        <f t="shared" si="14"/>
        <v>0</v>
      </c>
      <c r="S195" s="10">
        <v>0</v>
      </c>
      <c r="T195" s="10">
        <v>0</v>
      </c>
      <c r="U195" s="10">
        <v>0</v>
      </c>
      <c r="V195" s="12"/>
    </row>
    <row r="196" spans="1:22" x14ac:dyDescent="0.25">
      <c r="A196" t="s">
        <v>120</v>
      </c>
      <c r="B196" t="s">
        <v>186</v>
      </c>
      <c r="C196" s="1">
        <v>46296</v>
      </c>
      <c r="D196" t="s">
        <v>174</v>
      </c>
      <c r="E196" s="10">
        <v>30</v>
      </c>
      <c r="F196" s="7">
        <v>1</v>
      </c>
      <c r="G196" s="10">
        <v>0</v>
      </c>
      <c r="H196" s="7">
        <v>0</v>
      </c>
      <c r="I196" s="10">
        <v>0</v>
      </c>
      <c r="J196" s="7">
        <v>0</v>
      </c>
      <c r="K196" s="12">
        <v>0</v>
      </c>
      <c r="L196" s="7">
        <v>0</v>
      </c>
      <c r="M196" s="18">
        <f t="shared" ref="M196:M259" si="15">SUM(E196,G196,I196,K196)</f>
        <v>30</v>
      </c>
      <c r="N196" s="19">
        <f t="shared" ref="N196:N259" si="16">IF(M196=0,0,(E196*F196+G196*H196+I196*J196+K196*L196)/30)</f>
        <v>1</v>
      </c>
      <c r="O196" s="18">
        <f t="shared" ref="O196:O259" si="17">IF(Q196="Nacimiento/cuidado menor",E196*(1-F196)+G196*(1-H196)+I196*(1-J196)+K196*(1-L196),0)</f>
        <v>0</v>
      </c>
      <c r="P196" s="18" t="str">
        <f t="shared" ref="P196:P259" si="18">IF(M196=30,"OK","ERROR · "&amp;M196&amp;" días")</f>
        <v>OK</v>
      </c>
      <c r="Q196" s="12" t="s">
        <v>175</v>
      </c>
      <c r="R196" s="10">
        <f t="shared" ref="R196:R259" si="19">IF($Q196="Nacimiento/cuidado menor",IF($W196&gt;0,$W196/30,0),0)</f>
        <v>0</v>
      </c>
      <c r="S196" s="10">
        <v>0</v>
      </c>
      <c r="T196" s="10">
        <v>0</v>
      </c>
      <c r="U196" s="10">
        <v>0</v>
      </c>
      <c r="V196" s="12"/>
    </row>
    <row r="197" spans="1:22" x14ac:dyDescent="0.25">
      <c r="A197" t="s">
        <v>120</v>
      </c>
      <c r="B197" t="s">
        <v>187</v>
      </c>
      <c r="C197" s="1">
        <v>46327</v>
      </c>
      <c r="D197" t="s">
        <v>174</v>
      </c>
      <c r="E197" s="10">
        <v>30</v>
      </c>
      <c r="F197" s="7">
        <v>1</v>
      </c>
      <c r="G197" s="10">
        <v>0</v>
      </c>
      <c r="H197" s="7">
        <v>0</v>
      </c>
      <c r="I197" s="10">
        <v>0</v>
      </c>
      <c r="J197" s="7">
        <v>0</v>
      </c>
      <c r="K197" s="12">
        <v>0</v>
      </c>
      <c r="L197" s="7">
        <v>0</v>
      </c>
      <c r="M197" s="18">
        <f t="shared" si="15"/>
        <v>30</v>
      </c>
      <c r="N197" s="19">
        <f t="shared" si="16"/>
        <v>1</v>
      </c>
      <c r="O197" s="18">
        <f t="shared" si="17"/>
        <v>0</v>
      </c>
      <c r="P197" s="18" t="str">
        <f t="shared" si="18"/>
        <v>OK</v>
      </c>
      <c r="Q197" s="12" t="s">
        <v>175</v>
      </c>
      <c r="R197" s="10">
        <f t="shared" si="19"/>
        <v>0</v>
      </c>
      <c r="S197" s="10">
        <v>0</v>
      </c>
      <c r="T197" s="10">
        <v>0</v>
      </c>
      <c r="U197" s="10">
        <v>0</v>
      </c>
      <c r="V197" s="12"/>
    </row>
    <row r="198" spans="1:22" x14ac:dyDescent="0.25">
      <c r="A198" t="s">
        <v>120</v>
      </c>
      <c r="B198" t="s">
        <v>188</v>
      </c>
      <c r="C198" s="1">
        <v>46357</v>
      </c>
      <c r="D198" t="s">
        <v>182</v>
      </c>
      <c r="E198" s="10">
        <v>30</v>
      </c>
      <c r="F198" s="7">
        <v>1</v>
      </c>
      <c r="G198" s="10">
        <v>0</v>
      </c>
      <c r="H198" s="7">
        <v>0</v>
      </c>
      <c r="I198" s="10">
        <v>0</v>
      </c>
      <c r="J198" s="7">
        <v>0</v>
      </c>
      <c r="K198" s="12">
        <v>0</v>
      </c>
      <c r="L198" s="7">
        <v>0</v>
      </c>
      <c r="M198" s="18">
        <f t="shared" si="15"/>
        <v>30</v>
      </c>
      <c r="N198" s="19">
        <f t="shared" si="16"/>
        <v>1</v>
      </c>
      <c r="O198" s="18">
        <f t="shared" si="17"/>
        <v>0</v>
      </c>
      <c r="P198" s="18" t="str">
        <f t="shared" si="18"/>
        <v>OK</v>
      </c>
      <c r="Q198" s="12" t="s">
        <v>175</v>
      </c>
      <c r="R198" s="10">
        <f t="shared" si="19"/>
        <v>0</v>
      </c>
      <c r="S198" s="10">
        <v>0</v>
      </c>
      <c r="T198" s="10">
        <v>0</v>
      </c>
      <c r="U198" s="10">
        <v>0</v>
      </c>
      <c r="V198" s="12"/>
    </row>
    <row r="199" spans="1:22" x14ac:dyDescent="0.25">
      <c r="A199" t="s">
        <v>120</v>
      </c>
      <c r="B199" t="s">
        <v>189</v>
      </c>
      <c r="C199" s="1">
        <v>46357</v>
      </c>
      <c r="D199" t="s">
        <v>174</v>
      </c>
      <c r="E199" s="10">
        <v>30</v>
      </c>
      <c r="F199" s="7">
        <v>1</v>
      </c>
      <c r="G199" s="10">
        <v>0</v>
      </c>
      <c r="H199" s="7">
        <v>0</v>
      </c>
      <c r="I199" s="10">
        <v>0</v>
      </c>
      <c r="J199" s="7">
        <v>0</v>
      </c>
      <c r="K199" s="12">
        <v>0</v>
      </c>
      <c r="L199" s="7">
        <v>0</v>
      </c>
      <c r="M199" s="18">
        <f t="shared" si="15"/>
        <v>30</v>
      </c>
      <c r="N199" s="19">
        <f t="shared" si="16"/>
        <v>1</v>
      </c>
      <c r="O199" s="18">
        <f t="shared" si="17"/>
        <v>0</v>
      </c>
      <c r="P199" s="18" t="str">
        <f t="shared" si="18"/>
        <v>OK</v>
      </c>
      <c r="Q199" s="12" t="s">
        <v>175</v>
      </c>
      <c r="R199" s="10">
        <f t="shared" si="19"/>
        <v>0</v>
      </c>
      <c r="S199" s="10">
        <v>0</v>
      </c>
      <c r="T199" s="10">
        <v>0</v>
      </c>
      <c r="U199" s="10">
        <v>0</v>
      </c>
      <c r="V199" s="12"/>
    </row>
    <row r="200" spans="1:22" x14ac:dyDescent="0.25">
      <c r="A200" t="s">
        <v>122</v>
      </c>
      <c r="B200" t="s">
        <v>173</v>
      </c>
      <c r="C200" s="1">
        <v>46023</v>
      </c>
      <c r="D200" t="s">
        <v>174</v>
      </c>
      <c r="E200" s="10">
        <v>30</v>
      </c>
      <c r="F200" s="7">
        <v>1</v>
      </c>
      <c r="G200" s="10">
        <v>0</v>
      </c>
      <c r="H200" s="7">
        <v>0</v>
      </c>
      <c r="I200" s="10">
        <v>0</v>
      </c>
      <c r="J200" s="7">
        <v>0</v>
      </c>
      <c r="K200" s="12">
        <v>0</v>
      </c>
      <c r="L200" s="7">
        <v>0</v>
      </c>
      <c r="M200" s="18">
        <f t="shared" si="15"/>
        <v>30</v>
      </c>
      <c r="N200" s="19">
        <f t="shared" si="16"/>
        <v>1</v>
      </c>
      <c r="O200" s="18">
        <f t="shared" si="17"/>
        <v>0</v>
      </c>
      <c r="P200" s="18" t="str">
        <f t="shared" si="18"/>
        <v>OK</v>
      </c>
      <c r="Q200" s="12" t="s">
        <v>175</v>
      </c>
      <c r="R200" s="10">
        <f t="shared" si="19"/>
        <v>0</v>
      </c>
      <c r="S200" s="10">
        <v>0</v>
      </c>
      <c r="T200" s="10">
        <v>0</v>
      </c>
      <c r="U200" s="10">
        <v>0</v>
      </c>
      <c r="V200" s="12"/>
    </row>
    <row r="201" spans="1:22" x14ac:dyDescent="0.25">
      <c r="A201" t="s">
        <v>122</v>
      </c>
      <c r="B201" t="s">
        <v>176</v>
      </c>
      <c r="C201" s="1">
        <v>46054</v>
      </c>
      <c r="D201" t="s">
        <v>174</v>
      </c>
      <c r="E201" s="10">
        <v>30</v>
      </c>
      <c r="F201" s="7">
        <v>1</v>
      </c>
      <c r="G201" s="10">
        <v>0</v>
      </c>
      <c r="H201" s="7">
        <v>0</v>
      </c>
      <c r="I201" s="10">
        <v>0</v>
      </c>
      <c r="J201" s="7">
        <v>0</v>
      </c>
      <c r="K201" s="12">
        <v>0</v>
      </c>
      <c r="L201" s="7">
        <v>0</v>
      </c>
      <c r="M201" s="18">
        <f t="shared" si="15"/>
        <v>30</v>
      </c>
      <c r="N201" s="19">
        <f t="shared" si="16"/>
        <v>1</v>
      </c>
      <c r="O201" s="18">
        <f t="shared" si="17"/>
        <v>0</v>
      </c>
      <c r="P201" s="18" t="str">
        <f t="shared" si="18"/>
        <v>OK</v>
      </c>
      <c r="Q201" s="12" t="s">
        <v>175</v>
      </c>
      <c r="R201" s="10">
        <f t="shared" si="19"/>
        <v>0</v>
      </c>
      <c r="S201" s="10">
        <v>0</v>
      </c>
      <c r="T201" s="10">
        <v>0</v>
      </c>
      <c r="U201" s="10">
        <v>0</v>
      </c>
      <c r="V201" s="12"/>
    </row>
    <row r="202" spans="1:22" x14ac:dyDescent="0.25">
      <c r="A202" t="s">
        <v>122</v>
      </c>
      <c r="B202" t="s">
        <v>177</v>
      </c>
      <c r="C202" s="1">
        <v>46082</v>
      </c>
      <c r="D202" t="s">
        <v>174</v>
      </c>
      <c r="E202" s="10">
        <v>30</v>
      </c>
      <c r="F202" s="7">
        <v>1</v>
      </c>
      <c r="G202" s="10">
        <v>0</v>
      </c>
      <c r="H202" s="7">
        <v>0</v>
      </c>
      <c r="I202" s="10">
        <v>0</v>
      </c>
      <c r="J202" s="7">
        <v>0</v>
      </c>
      <c r="K202" s="12">
        <v>0</v>
      </c>
      <c r="L202" s="7">
        <v>0</v>
      </c>
      <c r="M202" s="18">
        <f t="shared" si="15"/>
        <v>30</v>
      </c>
      <c r="N202" s="19">
        <f t="shared" si="16"/>
        <v>1</v>
      </c>
      <c r="O202" s="18">
        <f t="shared" si="17"/>
        <v>0</v>
      </c>
      <c r="P202" s="18" t="str">
        <f t="shared" si="18"/>
        <v>OK</v>
      </c>
      <c r="Q202" s="12" t="s">
        <v>175</v>
      </c>
      <c r="R202" s="10">
        <f t="shared" si="19"/>
        <v>0</v>
      </c>
      <c r="S202" s="10">
        <v>0</v>
      </c>
      <c r="T202" s="10">
        <v>0</v>
      </c>
      <c r="U202" s="10">
        <v>0</v>
      </c>
      <c r="V202" s="12"/>
    </row>
    <row r="203" spans="1:22" x14ac:dyDescent="0.25">
      <c r="A203" t="s">
        <v>122</v>
      </c>
      <c r="B203" t="s">
        <v>178</v>
      </c>
      <c r="C203" s="1">
        <v>46113</v>
      </c>
      <c r="D203" t="s">
        <v>174</v>
      </c>
      <c r="E203" s="10">
        <v>30</v>
      </c>
      <c r="F203" s="7">
        <v>1</v>
      </c>
      <c r="G203" s="10">
        <v>0</v>
      </c>
      <c r="H203" s="7">
        <v>0</v>
      </c>
      <c r="I203" s="10">
        <v>0</v>
      </c>
      <c r="J203" s="7">
        <v>0</v>
      </c>
      <c r="K203" s="12">
        <v>0</v>
      </c>
      <c r="L203" s="7">
        <v>0</v>
      </c>
      <c r="M203" s="18">
        <f t="shared" si="15"/>
        <v>30</v>
      </c>
      <c r="N203" s="19">
        <f t="shared" si="16"/>
        <v>1</v>
      </c>
      <c r="O203" s="18">
        <f t="shared" si="17"/>
        <v>0</v>
      </c>
      <c r="P203" s="18" t="str">
        <f t="shared" si="18"/>
        <v>OK</v>
      </c>
      <c r="Q203" s="12" t="s">
        <v>175</v>
      </c>
      <c r="R203" s="10">
        <f t="shared" si="19"/>
        <v>0</v>
      </c>
      <c r="S203" s="10">
        <v>0</v>
      </c>
      <c r="T203" s="10">
        <v>0</v>
      </c>
      <c r="U203" s="10">
        <v>0</v>
      </c>
      <c r="V203" s="12"/>
    </row>
    <row r="204" spans="1:22" x14ac:dyDescent="0.25">
      <c r="A204" t="s">
        <v>122</v>
      </c>
      <c r="B204" t="s">
        <v>179</v>
      </c>
      <c r="C204" s="1">
        <v>46143</v>
      </c>
      <c r="D204" t="s">
        <v>174</v>
      </c>
      <c r="E204" s="10">
        <v>30</v>
      </c>
      <c r="F204" s="7">
        <v>1</v>
      </c>
      <c r="G204" s="10">
        <v>0</v>
      </c>
      <c r="H204" s="7">
        <v>0</v>
      </c>
      <c r="I204" s="10">
        <v>0</v>
      </c>
      <c r="J204" s="7">
        <v>0</v>
      </c>
      <c r="K204" s="12">
        <v>0</v>
      </c>
      <c r="L204" s="7">
        <v>0</v>
      </c>
      <c r="M204" s="18">
        <f t="shared" si="15"/>
        <v>30</v>
      </c>
      <c r="N204" s="19">
        <f t="shared" si="16"/>
        <v>1</v>
      </c>
      <c r="O204" s="18">
        <f t="shared" si="17"/>
        <v>0</v>
      </c>
      <c r="P204" s="18" t="str">
        <f t="shared" si="18"/>
        <v>OK</v>
      </c>
      <c r="Q204" s="12" t="s">
        <v>175</v>
      </c>
      <c r="R204" s="10">
        <f t="shared" si="19"/>
        <v>0</v>
      </c>
      <c r="S204" s="10">
        <v>0</v>
      </c>
      <c r="T204" s="10">
        <v>0</v>
      </c>
      <c r="U204" s="10">
        <v>0</v>
      </c>
      <c r="V204" s="12"/>
    </row>
    <row r="205" spans="1:22" x14ac:dyDescent="0.25">
      <c r="A205" t="s">
        <v>122</v>
      </c>
      <c r="B205" t="s">
        <v>180</v>
      </c>
      <c r="C205" s="1">
        <v>46174</v>
      </c>
      <c r="D205" t="s">
        <v>174</v>
      </c>
      <c r="E205" s="10">
        <v>30</v>
      </c>
      <c r="F205" s="7">
        <v>1</v>
      </c>
      <c r="G205" s="10">
        <v>0</v>
      </c>
      <c r="H205" s="7">
        <v>0</v>
      </c>
      <c r="I205" s="10">
        <v>0</v>
      </c>
      <c r="J205" s="7">
        <v>0</v>
      </c>
      <c r="K205" s="12">
        <v>0</v>
      </c>
      <c r="L205" s="7">
        <v>0</v>
      </c>
      <c r="M205" s="18">
        <f t="shared" si="15"/>
        <v>30</v>
      </c>
      <c r="N205" s="19">
        <f t="shared" si="16"/>
        <v>1</v>
      </c>
      <c r="O205" s="18">
        <f t="shared" si="17"/>
        <v>0</v>
      </c>
      <c r="P205" s="18" t="str">
        <f t="shared" si="18"/>
        <v>OK</v>
      </c>
      <c r="Q205" s="12" t="s">
        <v>175</v>
      </c>
      <c r="R205" s="10">
        <f t="shared" si="19"/>
        <v>0</v>
      </c>
      <c r="S205" s="10">
        <v>0</v>
      </c>
      <c r="T205" s="10">
        <v>0</v>
      </c>
      <c r="U205" s="10">
        <v>0</v>
      </c>
      <c r="V205" s="12"/>
    </row>
    <row r="206" spans="1:22" x14ac:dyDescent="0.25">
      <c r="A206" t="s">
        <v>122</v>
      </c>
      <c r="B206" t="s">
        <v>181</v>
      </c>
      <c r="C206" s="1">
        <v>46204</v>
      </c>
      <c r="D206" t="s">
        <v>182</v>
      </c>
      <c r="E206" s="10">
        <v>30</v>
      </c>
      <c r="F206" s="7">
        <v>1</v>
      </c>
      <c r="G206" s="10">
        <v>0</v>
      </c>
      <c r="H206" s="7">
        <v>0</v>
      </c>
      <c r="I206" s="10">
        <v>0</v>
      </c>
      <c r="J206" s="7">
        <v>0</v>
      </c>
      <c r="K206" s="12">
        <v>0</v>
      </c>
      <c r="L206" s="7">
        <v>0</v>
      </c>
      <c r="M206" s="18">
        <f t="shared" si="15"/>
        <v>30</v>
      </c>
      <c r="N206" s="19">
        <f t="shared" si="16"/>
        <v>1</v>
      </c>
      <c r="O206" s="18">
        <f t="shared" si="17"/>
        <v>0</v>
      </c>
      <c r="P206" s="18" t="str">
        <f t="shared" si="18"/>
        <v>OK</v>
      </c>
      <c r="Q206" s="12" t="s">
        <v>175</v>
      </c>
      <c r="R206" s="10">
        <f t="shared" si="19"/>
        <v>0</v>
      </c>
      <c r="S206" s="10">
        <v>0</v>
      </c>
      <c r="T206" s="10">
        <v>0</v>
      </c>
      <c r="U206" s="10">
        <v>0</v>
      </c>
      <c r="V206" s="12"/>
    </row>
    <row r="207" spans="1:22" x14ac:dyDescent="0.25">
      <c r="A207" t="s">
        <v>122</v>
      </c>
      <c r="B207" t="s">
        <v>183</v>
      </c>
      <c r="C207" s="1">
        <v>46204</v>
      </c>
      <c r="D207" t="s">
        <v>174</v>
      </c>
      <c r="E207" s="10">
        <v>30</v>
      </c>
      <c r="F207" s="7">
        <v>1</v>
      </c>
      <c r="G207" s="10">
        <v>0</v>
      </c>
      <c r="H207" s="7">
        <v>0</v>
      </c>
      <c r="I207" s="10">
        <v>0</v>
      </c>
      <c r="J207" s="7">
        <v>0</v>
      </c>
      <c r="K207" s="12">
        <v>0</v>
      </c>
      <c r="L207" s="7">
        <v>0</v>
      </c>
      <c r="M207" s="18">
        <f t="shared" si="15"/>
        <v>30</v>
      </c>
      <c r="N207" s="19">
        <f t="shared" si="16"/>
        <v>1</v>
      </c>
      <c r="O207" s="18">
        <f t="shared" si="17"/>
        <v>0</v>
      </c>
      <c r="P207" s="18" t="str">
        <f t="shared" si="18"/>
        <v>OK</v>
      </c>
      <c r="Q207" s="12" t="s">
        <v>175</v>
      </c>
      <c r="R207" s="10">
        <f t="shared" si="19"/>
        <v>0</v>
      </c>
      <c r="S207" s="10">
        <v>0</v>
      </c>
      <c r="T207" s="10">
        <v>0</v>
      </c>
      <c r="U207" s="10">
        <v>0</v>
      </c>
      <c r="V207" s="12"/>
    </row>
    <row r="208" spans="1:22" x14ac:dyDescent="0.25">
      <c r="A208" t="s">
        <v>122</v>
      </c>
      <c r="B208" t="s">
        <v>184</v>
      </c>
      <c r="C208" s="1">
        <v>46235</v>
      </c>
      <c r="D208" t="s">
        <v>174</v>
      </c>
      <c r="E208" s="10">
        <v>30</v>
      </c>
      <c r="F208" s="7">
        <v>1</v>
      </c>
      <c r="G208" s="10">
        <v>0</v>
      </c>
      <c r="H208" s="7">
        <v>0</v>
      </c>
      <c r="I208" s="10">
        <v>0</v>
      </c>
      <c r="J208" s="7">
        <v>0</v>
      </c>
      <c r="K208" s="12">
        <v>0</v>
      </c>
      <c r="L208" s="7">
        <v>0</v>
      </c>
      <c r="M208" s="18">
        <f t="shared" si="15"/>
        <v>30</v>
      </c>
      <c r="N208" s="19">
        <f t="shared" si="16"/>
        <v>1</v>
      </c>
      <c r="O208" s="18">
        <f t="shared" si="17"/>
        <v>0</v>
      </c>
      <c r="P208" s="18" t="str">
        <f t="shared" si="18"/>
        <v>OK</v>
      </c>
      <c r="Q208" s="12" t="s">
        <v>175</v>
      </c>
      <c r="R208" s="10">
        <f t="shared" si="19"/>
        <v>0</v>
      </c>
      <c r="S208" s="10">
        <v>0</v>
      </c>
      <c r="T208" s="10">
        <v>0</v>
      </c>
      <c r="U208" s="10">
        <v>0</v>
      </c>
      <c r="V208" s="12"/>
    </row>
    <row r="209" spans="1:22" x14ac:dyDescent="0.25">
      <c r="A209" t="s">
        <v>122</v>
      </c>
      <c r="B209" t="s">
        <v>185</v>
      </c>
      <c r="C209" s="1">
        <v>46266</v>
      </c>
      <c r="D209" t="s">
        <v>174</v>
      </c>
      <c r="E209" s="10">
        <v>30</v>
      </c>
      <c r="F209" s="7">
        <v>1</v>
      </c>
      <c r="G209" s="10">
        <v>0</v>
      </c>
      <c r="H209" s="7">
        <v>0</v>
      </c>
      <c r="I209" s="10">
        <v>0</v>
      </c>
      <c r="J209" s="7">
        <v>0</v>
      </c>
      <c r="K209" s="12">
        <v>0</v>
      </c>
      <c r="L209" s="7">
        <v>0</v>
      </c>
      <c r="M209" s="18">
        <f t="shared" si="15"/>
        <v>30</v>
      </c>
      <c r="N209" s="19">
        <f t="shared" si="16"/>
        <v>1</v>
      </c>
      <c r="O209" s="18">
        <f t="shared" si="17"/>
        <v>0</v>
      </c>
      <c r="P209" s="18" t="str">
        <f t="shared" si="18"/>
        <v>OK</v>
      </c>
      <c r="Q209" s="12" t="s">
        <v>175</v>
      </c>
      <c r="R209" s="10">
        <f t="shared" si="19"/>
        <v>0</v>
      </c>
      <c r="S209" s="10">
        <v>0</v>
      </c>
      <c r="T209" s="10">
        <v>0</v>
      </c>
      <c r="U209" s="10">
        <v>0</v>
      </c>
      <c r="V209" s="12"/>
    </row>
    <row r="210" spans="1:22" x14ac:dyDescent="0.25">
      <c r="A210" t="s">
        <v>122</v>
      </c>
      <c r="B210" t="s">
        <v>186</v>
      </c>
      <c r="C210" s="1">
        <v>46296</v>
      </c>
      <c r="D210" t="s">
        <v>174</v>
      </c>
      <c r="E210" s="10">
        <v>30</v>
      </c>
      <c r="F210" s="7">
        <v>1</v>
      </c>
      <c r="G210" s="10">
        <v>0</v>
      </c>
      <c r="H210" s="7">
        <v>0</v>
      </c>
      <c r="I210" s="10">
        <v>0</v>
      </c>
      <c r="J210" s="7">
        <v>0</v>
      </c>
      <c r="K210" s="12">
        <v>0</v>
      </c>
      <c r="L210" s="7">
        <v>0</v>
      </c>
      <c r="M210" s="18">
        <f t="shared" si="15"/>
        <v>30</v>
      </c>
      <c r="N210" s="19">
        <f t="shared" si="16"/>
        <v>1</v>
      </c>
      <c r="O210" s="18">
        <f t="shared" si="17"/>
        <v>0</v>
      </c>
      <c r="P210" s="18" t="str">
        <f t="shared" si="18"/>
        <v>OK</v>
      </c>
      <c r="Q210" s="12" t="s">
        <v>175</v>
      </c>
      <c r="R210" s="10">
        <f t="shared" si="19"/>
        <v>0</v>
      </c>
      <c r="S210" s="10">
        <v>0</v>
      </c>
      <c r="T210" s="10">
        <v>0</v>
      </c>
      <c r="U210" s="10">
        <v>0</v>
      </c>
      <c r="V210" s="12"/>
    </row>
    <row r="211" spans="1:22" x14ac:dyDescent="0.25">
      <c r="A211" t="s">
        <v>122</v>
      </c>
      <c r="B211" t="s">
        <v>187</v>
      </c>
      <c r="C211" s="1">
        <v>46327</v>
      </c>
      <c r="D211" t="s">
        <v>174</v>
      </c>
      <c r="E211" s="10">
        <v>30</v>
      </c>
      <c r="F211" s="7">
        <v>1</v>
      </c>
      <c r="G211" s="10">
        <v>0</v>
      </c>
      <c r="H211" s="7">
        <v>0</v>
      </c>
      <c r="I211" s="10">
        <v>0</v>
      </c>
      <c r="J211" s="7">
        <v>0</v>
      </c>
      <c r="K211" s="12">
        <v>0</v>
      </c>
      <c r="L211" s="7">
        <v>0</v>
      </c>
      <c r="M211" s="18">
        <f t="shared" si="15"/>
        <v>30</v>
      </c>
      <c r="N211" s="19">
        <f t="shared" si="16"/>
        <v>1</v>
      </c>
      <c r="O211" s="18">
        <f t="shared" si="17"/>
        <v>0</v>
      </c>
      <c r="P211" s="18" t="str">
        <f t="shared" si="18"/>
        <v>OK</v>
      </c>
      <c r="Q211" s="12" t="s">
        <v>175</v>
      </c>
      <c r="R211" s="10">
        <f t="shared" si="19"/>
        <v>0</v>
      </c>
      <c r="S211" s="10">
        <v>0</v>
      </c>
      <c r="T211" s="10">
        <v>0</v>
      </c>
      <c r="U211" s="10">
        <v>0</v>
      </c>
      <c r="V211" s="12"/>
    </row>
    <row r="212" spans="1:22" x14ac:dyDescent="0.25">
      <c r="A212" t="s">
        <v>122</v>
      </c>
      <c r="B212" t="s">
        <v>188</v>
      </c>
      <c r="C212" s="1">
        <v>46357</v>
      </c>
      <c r="D212" t="s">
        <v>182</v>
      </c>
      <c r="E212" s="10">
        <v>30</v>
      </c>
      <c r="F212" s="7">
        <v>1</v>
      </c>
      <c r="G212" s="10">
        <v>0</v>
      </c>
      <c r="H212" s="7">
        <v>0</v>
      </c>
      <c r="I212" s="10">
        <v>0</v>
      </c>
      <c r="J212" s="7">
        <v>0</v>
      </c>
      <c r="K212" s="12">
        <v>0</v>
      </c>
      <c r="L212" s="7">
        <v>0</v>
      </c>
      <c r="M212" s="18">
        <f t="shared" si="15"/>
        <v>30</v>
      </c>
      <c r="N212" s="19">
        <f t="shared" si="16"/>
        <v>1</v>
      </c>
      <c r="O212" s="18">
        <f t="shared" si="17"/>
        <v>0</v>
      </c>
      <c r="P212" s="18" t="str">
        <f t="shared" si="18"/>
        <v>OK</v>
      </c>
      <c r="Q212" s="12" t="s">
        <v>175</v>
      </c>
      <c r="R212" s="10">
        <f t="shared" si="19"/>
        <v>0</v>
      </c>
      <c r="S212" s="10">
        <v>0</v>
      </c>
      <c r="T212" s="10">
        <v>0</v>
      </c>
      <c r="U212" s="10">
        <v>0</v>
      </c>
      <c r="V212" s="12"/>
    </row>
    <row r="213" spans="1:22" x14ac:dyDescent="0.25">
      <c r="A213" t="s">
        <v>122</v>
      </c>
      <c r="B213" t="s">
        <v>189</v>
      </c>
      <c r="C213" s="1">
        <v>46357</v>
      </c>
      <c r="D213" t="s">
        <v>174</v>
      </c>
      <c r="E213" s="10">
        <v>30</v>
      </c>
      <c r="F213" s="7">
        <v>1</v>
      </c>
      <c r="G213" s="10">
        <v>0</v>
      </c>
      <c r="H213" s="7">
        <v>0</v>
      </c>
      <c r="I213" s="10">
        <v>0</v>
      </c>
      <c r="J213" s="7">
        <v>0</v>
      </c>
      <c r="K213" s="12">
        <v>0</v>
      </c>
      <c r="L213" s="7">
        <v>0</v>
      </c>
      <c r="M213" s="18">
        <f t="shared" si="15"/>
        <v>30</v>
      </c>
      <c r="N213" s="19">
        <f t="shared" si="16"/>
        <v>1</v>
      </c>
      <c r="O213" s="18">
        <f t="shared" si="17"/>
        <v>0</v>
      </c>
      <c r="P213" s="18" t="str">
        <f t="shared" si="18"/>
        <v>OK</v>
      </c>
      <c r="Q213" s="12" t="s">
        <v>175</v>
      </c>
      <c r="R213" s="10">
        <f t="shared" si="19"/>
        <v>0</v>
      </c>
      <c r="S213" s="10">
        <v>0</v>
      </c>
      <c r="T213" s="10">
        <v>0</v>
      </c>
      <c r="U213" s="10">
        <v>0</v>
      </c>
      <c r="V213" s="12"/>
    </row>
    <row r="214" spans="1:22" x14ac:dyDescent="0.25">
      <c r="A214" t="s">
        <v>124</v>
      </c>
      <c r="B214" t="s">
        <v>173</v>
      </c>
      <c r="C214" s="1">
        <v>46023</v>
      </c>
      <c r="D214" t="s">
        <v>174</v>
      </c>
      <c r="E214" s="10">
        <v>30</v>
      </c>
      <c r="F214" s="7">
        <v>1</v>
      </c>
      <c r="G214" s="10">
        <v>0</v>
      </c>
      <c r="H214" s="7">
        <v>0</v>
      </c>
      <c r="I214" s="10">
        <v>0</v>
      </c>
      <c r="J214" s="7">
        <v>0</v>
      </c>
      <c r="K214" s="12">
        <v>0</v>
      </c>
      <c r="L214" s="7">
        <v>0</v>
      </c>
      <c r="M214" s="18">
        <f t="shared" si="15"/>
        <v>30</v>
      </c>
      <c r="N214" s="19">
        <f t="shared" si="16"/>
        <v>1</v>
      </c>
      <c r="O214" s="18">
        <f t="shared" si="17"/>
        <v>0</v>
      </c>
      <c r="P214" s="18" t="str">
        <f t="shared" si="18"/>
        <v>OK</v>
      </c>
      <c r="Q214" s="12" t="s">
        <v>175</v>
      </c>
      <c r="R214" s="10">
        <f t="shared" si="19"/>
        <v>0</v>
      </c>
      <c r="S214" s="10">
        <v>0</v>
      </c>
      <c r="T214" s="10">
        <v>0</v>
      </c>
      <c r="U214" s="10">
        <v>0</v>
      </c>
      <c r="V214" s="12"/>
    </row>
    <row r="215" spans="1:22" x14ac:dyDescent="0.25">
      <c r="A215" t="s">
        <v>124</v>
      </c>
      <c r="B215" t="s">
        <v>176</v>
      </c>
      <c r="C215" s="1">
        <v>46054</v>
      </c>
      <c r="D215" t="s">
        <v>174</v>
      </c>
      <c r="E215" s="10">
        <v>30</v>
      </c>
      <c r="F215" s="7">
        <v>1</v>
      </c>
      <c r="G215" s="10">
        <v>0</v>
      </c>
      <c r="H215" s="7">
        <v>0</v>
      </c>
      <c r="I215" s="10">
        <v>0</v>
      </c>
      <c r="J215" s="7">
        <v>0</v>
      </c>
      <c r="K215" s="12">
        <v>0</v>
      </c>
      <c r="L215" s="7">
        <v>0</v>
      </c>
      <c r="M215" s="18">
        <f t="shared" si="15"/>
        <v>30</v>
      </c>
      <c r="N215" s="19">
        <f t="shared" si="16"/>
        <v>1</v>
      </c>
      <c r="O215" s="18">
        <f t="shared" si="17"/>
        <v>0</v>
      </c>
      <c r="P215" s="18" t="str">
        <f t="shared" si="18"/>
        <v>OK</v>
      </c>
      <c r="Q215" s="12" t="s">
        <v>175</v>
      </c>
      <c r="R215" s="10">
        <f t="shared" si="19"/>
        <v>0</v>
      </c>
      <c r="S215" s="10">
        <v>0</v>
      </c>
      <c r="T215" s="10">
        <v>0</v>
      </c>
      <c r="U215" s="10">
        <v>0</v>
      </c>
      <c r="V215" s="12"/>
    </row>
    <row r="216" spans="1:22" x14ac:dyDescent="0.25">
      <c r="A216" t="s">
        <v>124</v>
      </c>
      <c r="B216" t="s">
        <v>177</v>
      </c>
      <c r="C216" s="1">
        <v>46082</v>
      </c>
      <c r="D216" t="s">
        <v>174</v>
      </c>
      <c r="E216" s="10">
        <v>30</v>
      </c>
      <c r="F216" s="7">
        <v>1</v>
      </c>
      <c r="G216" s="10">
        <v>0</v>
      </c>
      <c r="H216" s="7">
        <v>0</v>
      </c>
      <c r="I216" s="10">
        <v>0</v>
      </c>
      <c r="J216" s="7">
        <v>0</v>
      </c>
      <c r="K216" s="12">
        <v>0</v>
      </c>
      <c r="L216" s="7">
        <v>0</v>
      </c>
      <c r="M216" s="18">
        <f t="shared" si="15"/>
        <v>30</v>
      </c>
      <c r="N216" s="19">
        <f t="shared" si="16"/>
        <v>1</v>
      </c>
      <c r="O216" s="18">
        <f t="shared" si="17"/>
        <v>0</v>
      </c>
      <c r="P216" s="18" t="str">
        <f t="shared" si="18"/>
        <v>OK</v>
      </c>
      <c r="Q216" s="12" t="s">
        <v>175</v>
      </c>
      <c r="R216" s="10">
        <f t="shared" si="19"/>
        <v>0</v>
      </c>
      <c r="S216" s="10">
        <v>0</v>
      </c>
      <c r="T216" s="10">
        <v>0</v>
      </c>
      <c r="U216" s="10">
        <v>0</v>
      </c>
      <c r="V216" s="12"/>
    </row>
    <row r="217" spans="1:22" x14ac:dyDescent="0.25">
      <c r="A217" t="s">
        <v>124</v>
      </c>
      <c r="B217" t="s">
        <v>178</v>
      </c>
      <c r="C217" s="1">
        <v>46113</v>
      </c>
      <c r="D217" t="s">
        <v>174</v>
      </c>
      <c r="E217" s="10">
        <v>30</v>
      </c>
      <c r="F217" s="7">
        <v>1</v>
      </c>
      <c r="G217" s="10">
        <v>0</v>
      </c>
      <c r="H217" s="7">
        <v>0</v>
      </c>
      <c r="I217" s="10">
        <v>0</v>
      </c>
      <c r="J217" s="7">
        <v>0</v>
      </c>
      <c r="K217" s="12">
        <v>0</v>
      </c>
      <c r="L217" s="7">
        <v>0</v>
      </c>
      <c r="M217" s="18">
        <f t="shared" si="15"/>
        <v>30</v>
      </c>
      <c r="N217" s="19">
        <f t="shared" si="16"/>
        <v>1</v>
      </c>
      <c r="O217" s="18">
        <f t="shared" si="17"/>
        <v>0</v>
      </c>
      <c r="P217" s="18" t="str">
        <f t="shared" si="18"/>
        <v>OK</v>
      </c>
      <c r="Q217" s="12" t="s">
        <v>175</v>
      </c>
      <c r="R217" s="10">
        <f t="shared" si="19"/>
        <v>0</v>
      </c>
      <c r="S217" s="10">
        <v>0</v>
      </c>
      <c r="T217" s="10">
        <v>0</v>
      </c>
      <c r="U217" s="10">
        <v>0</v>
      </c>
      <c r="V217" s="12"/>
    </row>
    <row r="218" spans="1:22" x14ac:dyDescent="0.25">
      <c r="A218" t="s">
        <v>124</v>
      </c>
      <c r="B218" t="s">
        <v>179</v>
      </c>
      <c r="C218" s="1">
        <v>46143</v>
      </c>
      <c r="D218" t="s">
        <v>174</v>
      </c>
      <c r="E218" s="10">
        <v>30</v>
      </c>
      <c r="F218" s="7">
        <v>1</v>
      </c>
      <c r="G218" s="10">
        <v>0</v>
      </c>
      <c r="H218" s="7">
        <v>0</v>
      </c>
      <c r="I218" s="10">
        <v>0</v>
      </c>
      <c r="J218" s="7">
        <v>0</v>
      </c>
      <c r="K218" s="12">
        <v>0</v>
      </c>
      <c r="L218" s="7">
        <v>0</v>
      </c>
      <c r="M218" s="18">
        <f t="shared" si="15"/>
        <v>30</v>
      </c>
      <c r="N218" s="19">
        <f t="shared" si="16"/>
        <v>1</v>
      </c>
      <c r="O218" s="18">
        <f t="shared" si="17"/>
        <v>0</v>
      </c>
      <c r="P218" s="18" t="str">
        <f t="shared" si="18"/>
        <v>OK</v>
      </c>
      <c r="Q218" s="12" t="s">
        <v>175</v>
      </c>
      <c r="R218" s="10">
        <f t="shared" si="19"/>
        <v>0</v>
      </c>
      <c r="S218" s="10">
        <v>0</v>
      </c>
      <c r="T218" s="10">
        <v>0</v>
      </c>
      <c r="U218" s="10">
        <v>0</v>
      </c>
      <c r="V218" s="12"/>
    </row>
    <row r="219" spans="1:22" x14ac:dyDescent="0.25">
      <c r="A219" t="s">
        <v>124</v>
      </c>
      <c r="B219" t="s">
        <v>180</v>
      </c>
      <c r="C219" s="1">
        <v>46174</v>
      </c>
      <c r="D219" t="s">
        <v>174</v>
      </c>
      <c r="E219" s="10">
        <v>30</v>
      </c>
      <c r="F219" s="7">
        <v>1</v>
      </c>
      <c r="G219" s="10">
        <v>0</v>
      </c>
      <c r="H219" s="7">
        <v>0</v>
      </c>
      <c r="I219" s="10">
        <v>0</v>
      </c>
      <c r="J219" s="7">
        <v>0</v>
      </c>
      <c r="K219" s="12">
        <v>0</v>
      </c>
      <c r="L219" s="7">
        <v>0</v>
      </c>
      <c r="M219" s="18">
        <f t="shared" si="15"/>
        <v>30</v>
      </c>
      <c r="N219" s="19">
        <f t="shared" si="16"/>
        <v>1</v>
      </c>
      <c r="O219" s="18">
        <f t="shared" si="17"/>
        <v>0</v>
      </c>
      <c r="P219" s="18" t="str">
        <f t="shared" si="18"/>
        <v>OK</v>
      </c>
      <c r="Q219" s="12" t="s">
        <v>175</v>
      </c>
      <c r="R219" s="10">
        <f t="shared" si="19"/>
        <v>0</v>
      </c>
      <c r="S219" s="10">
        <v>0</v>
      </c>
      <c r="T219" s="10">
        <v>0</v>
      </c>
      <c r="U219" s="10">
        <v>0</v>
      </c>
      <c r="V219" s="12"/>
    </row>
    <row r="220" spans="1:22" x14ac:dyDescent="0.25">
      <c r="A220" t="s">
        <v>124</v>
      </c>
      <c r="B220" t="s">
        <v>181</v>
      </c>
      <c r="C220" s="1">
        <v>46204</v>
      </c>
      <c r="D220" t="s">
        <v>182</v>
      </c>
      <c r="E220" s="10">
        <v>30</v>
      </c>
      <c r="F220" s="7">
        <v>1</v>
      </c>
      <c r="G220" s="10">
        <v>0</v>
      </c>
      <c r="H220" s="7">
        <v>0</v>
      </c>
      <c r="I220" s="10">
        <v>0</v>
      </c>
      <c r="J220" s="7">
        <v>0</v>
      </c>
      <c r="K220" s="12">
        <v>0</v>
      </c>
      <c r="L220" s="7">
        <v>0</v>
      </c>
      <c r="M220" s="18">
        <f t="shared" si="15"/>
        <v>30</v>
      </c>
      <c r="N220" s="19">
        <f t="shared" si="16"/>
        <v>1</v>
      </c>
      <c r="O220" s="18">
        <f t="shared" si="17"/>
        <v>0</v>
      </c>
      <c r="P220" s="18" t="str">
        <f t="shared" si="18"/>
        <v>OK</v>
      </c>
      <c r="Q220" s="12" t="s">
        <v>175</v>
      </c>
      <c r="R220" s="10">
        <f t="shared" si="19"/>
        <v>0</v>
      </c>
      <c r="S220" s="10">
        <v>0</v>
      </c>
      <c r="T220" s="10">
        <v>0</v>
      </c>
      <c r="U220" s="10">
        <v>0</v>
      </c>
      <c r="V220" s="12"/>
    </row>
    <row r="221" spans="1:22" x14ac:dyDescent="0.25">
      <c r="A221" t="s">
        <v>124</v>
      </c>
      <c r="B221" t="s">
        <v>183</v>
      </c>
      <c r="C221" s="1">
        <v>46204</v>
      </c>
      <c r="D221" t="s">
        <v>174</v>
      </c>
      <c r="E221" s="10">
        <v>30</v>
      </c>
      <c r="F221" s="7">
        <v>1</v>
      </c>
      <c r="G221" s="10">
        <v>0</v>
      </c>
      <c r="H221" s="7">
        <v>0</v>
      </c>
      <c r="I221" s="10">
        <v>0</v>
      </c>
      <c r="J221" s="7">
        <v>0</v>
      </c>
      <c r="K221" s="12">
        <v>0</v>
      </c>
      <c r="L221" s="7">
        <v>0</v>
      </c>
      <c r="M221" s="18">
        <f t="shared" si="15"/>
        <v>30</v>
      </c>
      <c r="N221" s="19">
        <f t="shared" si="16"/>
        <v>1</v>
      </c>
      <c r="O221" s="18">
        <f t="shared" si="17"/>
        <v>0</v>
      </c>
      <c r="P221" s="18" t="str">
        <f t="shared" si="18"/>
        <v>OK</v>
      </c>
      <c r="Q221" s="12" t="s">
        <v>175</v>
      </c>
      <c r="R221" s="10">
        <f t="shared" si="19"/>
        <v>0</v>
      </c>
      <c r="S221" s="10">
        <v>0</v>
      </c>
      <c r="T221" s="10">
        <v>0</v>
      </c>
      <c r="U221" s="10">
        <v>0</v>
      </c>
      <c r="V221" s="12"/>
    </row>
    <row r="222" spans="1:22" x14ac:dyDescent="0.25">
      <c r="A222" t="s">
        <v>124</v>
      </c>
      <c r="B222" t="s">
        <v>184</v>
      </c>
      <c r="C222" s="1">
        <v>46235</v>
      </c>
      <c r="D222" t="s">
        <v>174</v>
      </c>
      <c r="E222" s="10">
        <v>30</v>
      </c>
      <c r="F222" s="7">
        <v>1</v>
      </c>
      <c r="G222" s="10">
        <v>0</v>
      </c>
      <c r="H222" s="7">
        <v>0</v>
      </c>
      <c r="I222" s="10">
        <v>0</v>
      </c>
      <c r="J222" s="7">
        <v>0</v>
      </c>
      <c r="K222" s="12">
        <v>0</v>
      </c>
      <c r="L222" s="7">
        <v>0</v>
      </c>
      <c r="M222" s="18">
        <f t="shared" si="15"/>
        <v>30</v>
      </c>
      <c r="N222" s="19">
        <f t="shared" si="16"/>
        <v>1</v>
      </c>
      <c r="O222" s="18">
        <f t="shared" si="17"/>
        <v>0</v>
      </c>
      <c r="P222" s="18" t="str">
        <f t="shared" si="18"/>
        <v>OK</v>
      </c>
      <c r="Q222" s="12" t="s">
        <v>175</v>
      </c>
      <c r="R222" s="10">
        <f t="shared" si="19"/>
        <v>0</v>
      </c>
      <c r="S222" s="10">
        <v>0</v>
      </c>
      <c r="T222" s="10">
        <v>0</v>
      </c>
      <c r="U222" s="10">
        <v>0</v>
      </c>
      <c r="V222" s="12"/>
    </row>
    <row r="223" spans="1:22" x14ac:dyDescent="0.25">
      <c r="A223" t="s">
        <v>124</v>
      </c>
      <c r="B223" t="s">
        <v>185</v>
      </c>
      <c r="C223" s="1">
        <v>46266</v>
      </c>
      <c r="D223" t="s">
        <v>174</v>
      </c>
      <c r="E223" s="10">
        <v>30</v>
      </c>
      <c r="F223" s="7">
        <v>1</v>
      </c>
      <c r="G223" s="10">
        <v>0</v>
      </c>
      <c r="H223" s="7">
        <v>0</v>
      </c>
      <c r="I223" s="10">
        <v>0</v>
      </c>
      <c r="J223" s="7">
        <v>0</v>
      </c>
      <c r="K223" s="12">
        <v>0</v>
      </c>
      <c r="L223" s="7">
        <v>0</v>
      </c>
      <c r="M223" s="18">
        <f t="shared" si="15"/>
        <v>30</v>
      </c>
      <c r="N223" s="19">
        <f t="shared" si="16"/>
        <v>1</v>
      </c>
      <c r="O223" s="18">
        <f t="shared" si="17"/>
        <v>0</v>
      </c>
      <c r="P223" s="18" t="str">
        <f t="shared" si="18"/>
        <v>OK</v>
      </c>
      <c r="Q223" s="12" t="s">
        <v>175</v>
      </c>
      <c r="R223" s="10">
        <f t="shared" si="19"/>
        <v>0</v>
      </c>
      <c r="S223" s="10">
        <v>0</v>
      </c>
      <c r="T223" s="10">
        <v>0</v>
      </c>
      <c r="U223" s="10">
        <v>0</v>
      </c>
      <c r="V223" s="12"/>
    </row>
    <row r="224" spans="1:22" x14ac:dyDescent="0.25">
      <c r="A224" t="s">
        <v>124</v>
      </c>
      <c r="B224" t="s">
        <v>186</v>
      </c>
      <c r="C224" s="1">
        <v>46296</v>
      </c>
      <c r="D224" t="s">
        <v>174</v>
      </c>
      <c r="E224" s="10">
        <v>30</v>
      </c>
      <c r="F224" s="7">
        <v>1</v>
      </c>
      <c r="G224" s="10">
        <v>0</v>
      </c>
      <c r="H224" s="7">
        <v>0</v>
      </c>
      <c r="I224" s="10">
        <v>0</v>
      </c>
      <c r="J224" s="7">
        <v>0</v>
      </c>
      <c r="K224" s="12">
        <v>0</v>
      </c>
      <c r="L224" s="7">
        <v>0</v>
      </c>
      <c r="M224" s="18">
        <f t="shared" si="15"/>
        <v>30</v>
      </c>
      <c r="N224" s="19">
        <f t="shared" si="16"/>
        <v>1</v>
      </c>
      <c r="O224" s="18">
        <f t="shared" si="17"/>
        <v>0</v>
      </c>
      <c r="P224" s="18" t="str">
        <f t="shared" si="18"/>
        <v>OK</v>
      </c>
      <c r="Q224" s="12" t="s">
        <v>175</v>
      </c>
      <c r="R224" s="10">
        <f t="shared" si="19"/>
        <v>0</v>
      </c>
      <c r="S224" s="10">
        <v>0</v>
      </c>
      <c r="T224" s="10">
        <v>0</v>
      </c>
      <c r="U224" s="10">
        <v>0</v>
      </c>
      <c r="V224" s="12"/>
    </row>
    <row r="225" spans="1:22" x14ac:dyDescent="0.25">
      <c r="A225" t="s">
        <v>124</v>
      </c>
      <c r="B225" t="s">
        <v>187</v>
      </c>
      <c r="C225" s="1">
        <v>46327</v>
      </c>
      <c r="D225" t="s">
        <v>174</v>
      </c>
      <c r="E225" s="10">
        <v>30</v>
      </c>
      <c r="F225" s="7">
        <v>1</v>
      </c>
      <c r="G225" s="10">
        <v>0</v>
      </c>
      <c r="H225" s="7">
        <v>0</v>
      </c>
      <c r="I225" s="10">
        <v>0</v>
      </c>
      <c r="J225" s="7">
        <v>0</v>
      </c>
      <c r="K225" s="12">
        <v>0</v>
      </c>
      <c r="L225" s="7">
        <v>0</v>
      </c>
      <c r="M225" s="18">
        <f t="shared" si="15"/>
        <v>30</v>
      </c>
      <c r="N225" s="19">
        <f t="shared" si="16"/>
        <v>1</v>
      </c>
      <c r="O225" s="18">
        <f t="shared" si="17"/>
        <v>0</v>
      </c>
      <c r="P225" s="18" t="str">
        <f t="shared" si="18"/>
        <v>OK</v>
      </c>
      <c r="Q225" s="12" t="s">
        <v>175</v>
      </c>
      <c r="R225" s="10">
        <f t="shared" si="19"/>
        <v>0</v>
      </c>
      <c r="S225" s="10">
        <v>0</v>
      </c>
      <c r="T225" s="10">
        <v>0</v>
      </c>
      <c r="U225" s="10">
        <v>0</v>
      </c>
      <c r="V225" s="12"/>
    </row>
    <row r="226" spans="1:22" x14ac:dyDescent="0.25">
      <c r="A226" t="s">
        <v>124</v>
      </c>
      <c r="B226" t="s">
        <v>188</v>
      </c>
      <c r="C226" s="1">
        <v>46357</v>
      </c>
      <c r="D226" t="s">
        <v>182</v>
      </c>
      <c r="E226" s="10">
        <v>30</v>
      </c>
      <c r="F226" s="7">
        <v>1</v>
      </c>
      <c r="G226" s="10">
        <v>0</v>
      </c>
      <c r="H226" s="7">
        <v>0</v>
      </c>
      <c r="I226" s="10">
        <v>0</v>
      </c>
      <c r="J226" s="7">
        <v>0</v>
      </c>
      <c r="K226" s="12">
        <v>0</v>
      </c>
      <c r="L226" s="7">
        <v>0</v>
      </c>
      <c r="M226" s="18">
        <f t="shared" si="15"/>
        <v>30</v>
      </c>
      <c r="N226" s="19">
        <f t="shared" si="16"/>
        <v>1</v>
      </c>
      <c r="O226" s="18">
        <f t="shared" si="17"/>
        <v>0</v>
      </c>
      <c r="P226" s="18" t="str">
        <f t="shared" si="18"/>
        <v>OK</v>
      </c>
      <c r="Q226" s="12" t="s">
        <v>175</v>
      </c>
      <c r="R226" s="10">
        <f t="shared" si="19"/>
        <v>0</v>
      </c>
      <c r="S226" s="10">
        <v>0</v>
      </c>
      <c r="T226" s="10">
        <v>0</v>
      </c>
      <c r="U226" s="10">
        <v>0</v>
      </c>
      <c r="V226" s="12"/>
    </row>
    <row r="227" spans="1:22" x14ac:dyDescent="0.25">
      <c r="A227" t="s">
        <v>124</v>
      </c>
      <c r="B227" t="s">
        <v>189</v>
      </c>
      <c r="C227" s="1">
        <v>46357</v>
      </c>
      <c r="D227" t="s">
        <v>174</v>
      </c>
      <c r="E227" s="10">
        <v>30</v>
      </c>
      <c r="F227" s="7">
        <v>1</v>
      </c>
      <c r="G227" s="10">
        <v>0</v>
      </c>
      <c r="H227" s="7">
        <v>0</v>
      </c>
      <c r="I227" s="10">
        <v>0</v>
      </c>
      <c r="J227" s="7">
        <v>0</v>
      </c>
      <c r="K227" s="12">
        <v>0</v>
      </c>
      <c r="L227" s="7">
        <v>0</v>
      </c>
      <c r="M227" s="18">
        <f t="shared" si="15"/>
        <v>30</v>
      </c>
      <c r="N227" s="19">
        <f t="shared" si="16"/>
        <v>1</v>
      </c>
      <c r="O227" s="18">
        <f t="shared" si="17"/>
        <v>0</v>
      </c>
      <c r="P227" s="18" t="str">
        <f t="shared" si="18"/>
        <v>OK</v>
      </c>
      <c r="Q227" s="12" t="s">
        <v>175</v>
      </c>
      <c r="R227" s="10">
        <f t="shared" si="19"/>
        <v>0</v>
      </c>
      <c r="S227" s="10">
        <v>0</v>
      </c>
      <c r="T227" s="10">
        <v>0</v>
      </c>
      <c r="U227" s="10">
        <v>0</v>
      </c>
      <c r="V227" s="12"/>
    </row>
    <row r="228" spans="1:22" x14ac:dyDescent="0.25">
      <c r="A228" t="s">
        <v>126</v>
      </c>
      <c r="B228" t="s">
        <v>173</v>
      </c>
      <c r="C228" s="1">
        <v>46023</v>
      </c>
      <c r="D228" t="s">
        <v>174</v>
      </c>
      <c r="E228" s="10">
        <v>30</v>
      </c>
      <c r="F228" s="7">
        <v>1</v>
      </c>
      <c r="G228" s="10">
        <v>0</v>
      </c>
      <c r="H228" s="7">
        <v>0</v>
      </c>
      <c r="I228" s="10">
        <v>0</v>
      </c>
      <c r="J228" s="7">
        <v>0</v>
      </c>
      <c r="K228" s="12">
        <v>0</v>
      </c>
      <c r="L228" s="7">
        <v>0</v>
      </c>
      <c r="M228" s="18">
        <f t="shared" si="15"/>
        <v>30</v>
      </c>
      <c r="N228" s="19">
        <f t="shared" si="16"/>
        <v>1</v>
      </c>
      <c r="O228" s="18">
        <f t="shared" si="17"/>
        <v>0</v>
      </c>
      <c r="P228" s="18" t="str">
        <f t="shared" si="18"/>
        <v>OK</v>
      </c>
      <c r="Q228" s="12" t="s">
        <v>175</v>
      </c>
      <c r="R228" s="10">
        <f t="shared" si="19"/>
        <v>0</v>
      </c>
      <c r="S228" s="10">
        <v>0</v>
      </c>
      <c r="T228" s="10">
        <v>0</v>
      </c>
      <c r="U228" s="10">
        <v>0</v>
      </c>
      <c r="V228" s="12"/>
    </row>
    <row r="229" spans="1:22" x14ac:dyDescent="0.25">
      <c r="A229" t="s">
        <v>126</v>
      </c>
      <c r="B229" t="s">
        <v>176</v>
      </c>
      <c r="C229" s="1">
        <v>46054</v>
      </c>
      <c r="D229" t="s">
        <v>174</v>
      </c>
      <c r="E229" s="10">
        <v>30</v>
      </c>
      <c r="F229" s="7">
        <v>1</v>
      </c>
      <c r="G229" s="10">
        <v>0</v>
      </c>
      <c r="H229" s="7">
        <v>0</v>
      </c>
      <c r="I229" s="10">
        <v>0</v>
      </c>
      <c r="J229" s="7">
        <v>0</v>
      </c>
      <c r="K229" s="12">
        <v>0</v>
      </c>
      <c r="L229" s="7">
        <v>0</v>
      </c>
      <c r="M229" s="18">
        <f t="shared" si="15"/>
        <v>30</v>
      </c>
      <c r="N229" s="19">
        <f t="shared" si="16"/>
        <v>1</v>
      </c>
      <c r="O229" s="18">
        <f t="shared" si="17"/>
        <v>0</v>
      </c>
      <c r="P229" s="18" t="str">
        <f t="shared" si="18"/>
        <v>OK</v>
      </c>
      <c r="Q229" s="12" t="s">
        <v>175</v>
      </c>
      <c r="R229" s="10">
        <f t="shared" si="19"/>
        <v>0</v>
      </c>
      <c r="S229" s="10">
        <v>0</v>
      </c>
      <c r="T229" s="10">
        <v>0</v>
      </c>
      <c r="U229" s="10">
        <v>0</v>
      </c>
      <c r="V229" s="12"/>
    </row>
    <row r="230" spans="1:22" x14ac:dyDescent="0.25">
      <c r="A230" t="s">
        <v>126</v>
      </c>
      <c r="B230" t="s">
        <v>177</v>
      </c>
      <c r="C230" s="1">
        <v>46082</v>
      </c>
      <c r="D230" t="s">
        <v>174</v>
      </c>
      <c r="E230" s="10">
        <v>30</v>
      </c>
      <c r="F230" s="7">
        <v>1</v>
      </c>
      <c r="G230" s="10">
        <v>0</v>
      </c>
      <c r="H230" s="7">
        <v>0</v>
      </c>
      <c r="I230" s="10">
        <v>0</v>
      </c>
      <c r="J230" s="7">
        <v>0</v>
      </c>
      <c r="K230" s="12">
        <v>0</v>
      </c>
      <c r="L230" s="7">
        <v>0</v>
      </c>
      <c r="M230" s="18">
        <f t="shared" si="15"/>
        <v>30</v>
      </c>
      <c r="N230" s="19">
        <f t="shared" si="16"/>
        <v>1</v>
      </c>
      <c r="O230" s="18">
        <f t="shared" si="17"/>
        <v>0</v>
      </c>
      <c r="P230" s="18" t="str">
        <f t="shared" si="18"/>
        <v>OK</v>
      </c>
      <c r="Q230" s="12" t="s">
        <v>175</v>
      </c>
      <c r="R230" s="10">
        <f t="shared" si="19"/>
        <v>0</v>
      </c>
      <c r="S230" s="10">
        <v>0</v>
      </c>
      <c r="T230" s="10">
        <v>0</v>
      </c>
      <c r="U230" s="10">
        <v>0</v>
      </c>
      <c r="V230" s="12"/>
    </row>
    <row r="231" spans="1:22" x14ac:dyDescent="0.25">
      <c r="A231" t="s">
        <v>126</v>
      </c>
      <c r="B231" t="s">
        <v>178</v>
      </c>
      <c r="C231" s="1">
        <v>46113</v>
      </c>
      <c r="D231" t="s">
        <v>174</v>
      </c>
      <c r="E231" s="10">
        <v>30</v>
      </c>
      <c r="F231" s="7">
        <v>1</v>
      </c>
      <c r="G231" s="10">
        <v>0</v>
      </c>
      <c r="H231" s="7">
        <v>0</v>
      </c>
      <c r="I231" s="10">
        <v>0</v>
      </c>
      <c r="J231" s="7">
        <v>0</v>
      </c>
      <c r="K231" s="12">
        <v>0</v>
      </c>
      <c r="L231" s="7">
        <v>0</v>
      </c>
      <c r="M231" s="18">
        <f t="shared" si="15"/>
        <v>30</v>
      </c>
      <c r="N231" s="19">
        <f t="shared" si="16"/>
        <v>1</v>
      </c>
      <c r="O231" s="18">
        <f t="shared" si="17"/>
        <v>0</v>
      </c>
      <c r="P231" s="18" t="str">
        <f t="shared" si="18"/>
        <v>OK</v>
      </c>
      <c r="Q231" s="12" t="s">
        <v>175</v>
      </c>
      <c r="R231" s="10">
        <f t="shared" si="19"/>
        <v>0</v>
      </c>
      <c r="S231" s="10">
        <v>0</v>
      </c>
      <c r="T231" s="10">
        <v>0</v>
      </c>
      <c r="U231" s="10">
        <v>0</v>
      </c>
      <c r="V231" s="12"/>
    </row>
    <row r="232" spans="1:22" x14ac:dyDescent="0.25">
      <c r="A232" t="s">
        <v>126</v>
      </c>
      <c r="B232" t="s">
        <v>179</v>
      </c>
      <c r="C232" s="1">
        <v>46143</v>
      </c>
      <c r="D232" t="s">
        <v>174</v>
      </c>
      <c r="E232" s="10">
        <v>30</v>
      </c>
      <c r="F232" s="7">
        <v>1</v>
      </c>
      <c r="G232" s="10">
        <v>0</v>
      </c>
      <c r="H232" s="7">
        <v>0</v>
      </c>
      <c r="I232" s="10">
        <v>0</v>
      </c>
      <c r="J232" s="7">
        <v>0</v>
      </c>
      <c r="K232" s="12">
        <v>0</v>
      </c>
      <c r="L232" s="7">
        <v>0</v>
      </c>
      <c r="M232" s="18">
        <f t="shared" si="15"/>
        <v>30</v>
      </c>
      <c r="N232" s="19">
        <f t="shared" si="16"/>
        <v>1</v>
      </c>
      <c r="O232" s="18">
        <f t="shared" si="17"/>
        <v>0</v>
      </c>
      <c r="P232" s="18" t="str">
        <f t="shared" si="18"/>
        <v>OK</v>
      </c>
      <c r="Q232" s="12" t="s">
        <v>175</v>
      </c>
      <c r="R232" s="10">
        <f t="shared" si="19"/>
        <v>0</v>
      </c>
      <c r="S232" s="10">
        <v>0</v>
      </c>
      <c r="T232" s="10">
        <v>0</v>
      </c>
      <c r="U232" s="10">
        <v>0</v>
      </c>
      <c r="V232" s="12"/>
    </row>
    <row r="233" spans="1:22" x14ac:dyDescent="0.25">
      <c r="A233" t="s">
        <v>126</v>
      </c>
      <c r="B233" t="s">
        <v>180</v>
      </c>
      <c r="C233" s="1">
        <v>46174</v>
      </c>
      <c r="D233" t="s">
        <v>174</v>
      </c>
      <c r="E233" s="10">
        <v>30</v>
      </c>
      <c r="F233" s="7">
        <v>1</v>
      </c>
      <c r="G233" s="10">
        <v>0</v>
      </c>
      <c r="H233" s="7">
        <v>0</v>
      </c>
      <c r="I233" s="10">
        <v>0</v>
      </c>
      <c r="J233" s="7">
        <v>0</v>
      </c>
      <c r="K233" s="12">
        <v>0</v>
      </c>
      <c r="L233" s="7">
        <v>0</v>
      </c>
      <c r="M233" s="18">
        <f t="shared" si="15"/>
        <v>30</v>
      </c>
      <c r="N233" s="19">
        <f t="shared" si="16"/>
        <v>1</v>
      </c>
      <c r="O233" s="18">
        <f t="shared" si="17"/>
        <v>0</v>
      </c>
      <c r="P233" s="18" t="str">
        <f t="shared" si="18"/>
        <v>OK</v>
      </c>
      <c r="Q233" s="12" t="s">
        <v>175</v>
      </c>
      <c r="R233" s="10">
        <f t="shared" si="19"/>
        <v>0</v>
      </c>
      <c r="S233" s="10">
        <v>0</v>
      </c>
      <c r="T233" s="10">
        <v>0</v>
      </c>
      <c r="U233" s="10">
        <v>0</v>
      </c>
      <c r="V233" s="12"/>
    </row>
    <row r="234" spans="1:22" x14ac:dyDescent="0.25">
      <c r="A234" t="s">
        <v>126</v>
      </c>
      <c r="B234" t="s">
        <v>181</v>
      </c>
      <c r="C234" s="1">
        <v>46204</v>
      </c>
      <c r="D234" t="s">
        <v>182</v>
      </c>
      <c r="E234" s="10">
        <v>30</v>
      </c>
      <c r="F234" s="7">
        <v>1</v>
      </c>
      <c r="G234" s="10">
        <v>0</v>
      </c>
      <c r="H234" s="7">
        <v>0</v>
      </c>
      <c r="I234" s="10">
        <v>0</v>
      </c>
      <c r="J234" s="7">
        <v>0</v>
      </c>
      <c r="K234" s="12">
        <v>0</v>
      </c>
      <c r="L234" s="7">
        <v>0</v>
      </c>
      <c r="M234" s="18">
        <f t="shared" si="15"/>
        <v>30</v>
      </c>
      <c r="N234" s="19">
        <f t="shared" si="16"/>
        <v>1</v>
      </c>
      <c r="O234" s="18">
        <f t="shared" si="17"/>
        <v>0</v>
      </c>
      <c r="P234" s="18" t="str">
        <f t="shared" si="18"/>
        <v>OK</v>
      </c>
      <c r="Q234" s="12" t="s">
        <v>175</v>
      </c>
      <c r="R234" s="10">
        <f t="shared" si="19"/>
        <v>0</v>
      </c>
      <c r="S234" s="10">
        <v>0</v>
      </c>
      <c r="T234" s="10">
        <v>0</v>
      </c>
      <c r="U234" s="10">
        <v>0</v>
      </c>
      <c r="V234" s="12"/>
    </row>
    <row r="235" spans="1:22" x14ac:dyDescent="0.25">
      <c r="A235" t="s">
        <v>126</v>
      </c>
      <c r="B235" t="s">
        <v>183</v>
      </c>
      <c r="C235" s="1">
        <v>46204</v>
      </c>
      <c r="D235" t="s">
        <v>174</v>
      </c>
      <c r="E235" s="10">
        <v>30</v>
      </c>
      <c r="F235" s="7">
        <v>1</v>
      </c>
      <c r="G235" s="10">
        <v>0</v>
      </c>
      <c r="H235" s="7">
        <v>0</v>
      </c>
      <c r="I235" s="10">
        <v>0</v>
      </c>
      <c r="J235" s="7">
        <v>0</v>
      </c>
      <c r="K235" s="12">
        <v>0</v>
      </c>
      <c r="L235" s="7">
        <v>0</v>
      </c>
      <c r="M235" s="18">
        <f t="shared" si="15"/>
        <v>30</v>
      </c>
      <c r="N235" s="19">
        <f t="shared" si="16"/>
        <v>1</v>
      </c>
      <c r="O235" s="18">
        <f t="shared" si="17"/>
        <v>0</v>
      </c>
      <c r="P235" s="18" t="str">
        <f t="shared" si="18"/>
        <v>OK</v>
      </c>
      <c r="Q235" s="12" t="s">
        <v>175</v>
      </c>
      <c r="R235" s="10">
        <f t="shared" si="19"/>
        <v>0</v>
      </c>
      <c r="S235" s="10">
        <v>0</v>
      </c>
      <c r="T235" s="10">
        <v>0</v>
      </c>
      <c r="U235" s="10">
        <v>0</v>
      </c>
      <c r="V235" s="12"/>
    </row>
    <row r="236" spans="1:22" x14ac:dyDescent="0.25">
      <c r="A236" t="s">
        <v>126</v>
      </c>
      <c r="B236" t="s">
        <v>184</v>
      </c>
      <c r="C236" s="1">
        <v>46235</v>
      </c>
      <c r="D236" t="s">
        <v>174</v>
      </c>
      <c r="E236" s="10">
        <v>30</v>
      </c>
      <c r="F236" s="7">
        <v>1</v>
      </c>
      <c r="G236" s="10">
        <v>0</v>
      </c>
      <c r="H236" s="7">
        <v>0</v>
      </c>
      <c r="I236" s="10">
        <v>0</v>
      </c>
      <c r="J236" s="7">
        <v>0</v>
      </c>
      <c r="K236" s="12">
        <v>0</v>
      </c>
      <c r="L236" s="7">
        <v>0</v>
      </c>
      <c r="M236" s="18">
        <f t="shared" si="15"/>
        <v>30</v>
      </c>
      <c r="N236" s="19">
        <f t="shared" si="16"/>
        <v>1</v>
      </c>
      <c r="O236" s="18">
        <f t="shared" si="17"/>
        <v>0</v>
      </c>
      <c r="P236" s="18" t="str">
        <f t="shared" si="18"/>
        <v>OK</v>
      </c>
      <c r="Q236" s="12" t="s">
        <v>175</v>
      </c>
      <c r="R236" s="10">
        <f t="shared" si="19"/>
        <v>0</v>
      </c>
      <c r="S236" s="10">
        <v>0</v>
      </c>
      <c r="T236" s="10">
        <v>0</v>
      </c>
      <c r="U236" s="10">
        <v>0</v>
      </c>
      <c r="V236" s="12"/>
    </row>
    <row r="237" spans="1:22" x14ac:dyDescent="0.25">
      <c r="A237" t="s">
        <v>126</v>
      </c>
      <c r="B237" t="s">
        <v>185</v>
      </c>
      <c r="C237" s="1">
        <v>46266</v>
      </c>
      <c r="D237" t="s">
        <v>174</v>
      </c>
      <c r="E237" s="10">
        <v>30</v>
      </c>
      <c r="F237" s="7">
        <v>1</v>
      </c>
      <c r="G237" s="10">
        <v>0</v>
      </c>
      <c r="H237" s="7">
        <v>0</v>
      </c>
      <c r="I237" s="10">
        <v>0</v>
      </c>
      <c r="J237" s="7">
        <v>0</v>
      </c>
      <c r="K237" s="12">
        <v>0</v>
      </c>
      <c r="L237" s="7">
        <v>0</v>
      </c>
      <c r="M237" s="18">
        <f t="shared" si="15"/>
        <v>30</v>
      </c>
      <c r="N237" s="19">
        <f t="shared" si="16"/>
        <v>1</v>
      </c>
      <c r="O237" s="18">
        <f t="shared" si="17"/>
        <v>0</v>
      </c>
      <c r="P237" s="18" t="str">
        <f t="shared" si="18"/>
        <v>OK</v>
      </c>
      <c r="Q237" s="12" t="s">
        <v>175</v>
      </c>
      <c r="R237" s="10">
        <f t="shared" si="19"/>
        <v>0</v>
      </c>
      <c r="S237" s="10">
        <v>0</v>
      </c>
      <c r="T237" s="10">
        <v>0</v>
      </c>
      <c r="U237" s="10">
        <v>0</v>
      </c>
      <c r="V237" s="12"/>
    </row>
    <row r="238" spans="1:22" x14ac:dyDescent="0.25">
      <c r="A238" t="s">
        <v>126</v>
      </c>
      <c r="B238" t="s">
        <v>186</v>
      </c>
      <c r="C238" s="1">
        <v>46296</v>
      </c>
      <c r="D238" t="s">
        <v>174</v>
      </c>
      <c r="E238" s="10">
        <v>30</v>
      </c>
      <c r="F238" s="7">
        <v>1</v>
      </c>
      <c r="G238" s="10">
        <v>0</v>
      </c>
      <c r="H238" s="7">
        <v>0</v>
      </c>
      <c r="I238" s="10">
        <v>0</v>
      </c>
      <c r="J238" s="7">
        <v>0</v>
      </c>
      <c r="K238" s="12">
        <v>0</v>
      </c>
      <c r="L238" s="7">
        <v>0</v>
      </c>
      <c r="M238" s="18">
        <f t="shared" si="15"/>
        <v>30</v>
      </c>
      <c r="N238" s="19">
        <f t="shared" si="16"/>
        <v>1</v>
      </c>
      <c r="O238" s="18">
        <f t="shared" si="17"/>
        <v>0</v>
      </c>
      <c r="P238" s="18" t="str">
        <f t="shared" si="18"/>
        <v>OK</v>
      </c>
      <c r="Q238" s="12" t="s">
        <v>175</v>
      </c>
      <c r="R238" s="10">
        <f t="shared" si="19"/>
        <v>0</v>
      </c>
      <c r="S238" s="10">
        <v>0</v>
      </c>
      <c r="T238" s="10">
        <v>0</v>
      </c>
      <c r="U238" s="10">
        <v>0</v>
      </c>
      <c r="V238" s="12"/>
    </row>
    <row r="239" spans="1:22" x14ac:dyDescent="0.25">
      <c r="A239" t="s">
        <v>126</v>
      </c>
      <c r="B239" t="s">
        <v>187</v>
      </c>
      <c r="C239" s="1">
        <v>46327</v>
      </c>
      <c r="D239" t="s">
        <v>174</v>
      </c>
      <c r="E239" s="10">
        <v>30</v>
      </c>
      <c r="F239" s="7">
        <v>1</v>
      </c>
      <c r="G239" s="10">
        <v>0</v>
      </c>
      <c r="H239" s="7">
        <v>0</v>
      </c>
      <c r="I239" s="10">
        <v>0</v>
      </c>
      <c r="J239" s="7">
        <v>0</v>
      </c>
      <c r="K239" s="12">
        <v>0</v>
      </c>
      <c r="L239" s="7">
        <v>0</v>
      </c>
      <c r="M239" s="18">
        <f t="shared" si="15"/>
        <v>30</v>
      </c>
      <c r="N239" s="19">
        <f t="shared" si="16"/>
        <v>1</v>
      </c>
      <c r="O239" s="18">
        <f t="shared" si="17"/>
        <v>0</v>
      </c>
      <c r="P239" s="18" t="str">
        <f t="shared" si="18"/>
        <v>OK</v>
      </c>
      <c r="Q239" s="12" t="s">
        <v>175</v>
      </c>
      <c r="R239" s="10">
        <f t="shared" si="19"/>
        <v>0</v>
      </c>
      <c r="S239" s="10">
        <v>0</v>
      </c>
      <c r="T239" s="10">
        <v>0</v>
      </c>
      <c r="U239" s="10">
        <v>0</v>
      </c>
      <c r="V239" s="12"/>
    </row>
    <row r="240" spans="1:22" x14ac:dyDescent="0.25">
      <c r="A240" t="s">
        <v>126</v>
      </c>
      <c r="B240" t="s">
        <v>188</v>
      </c>
      <c r="C240" s="1">
        <v>46357</v>
      </c>
      <c r="D240" t="s">
        <v>182</v>
      </c>
      <c r="E240" s="10">
        <v>30</v>
      </c>
      <c r="F240" s="7">
        <v>1</v>
      </c>
      <c r="G240" s="10">
        <v>0</v>
      </c>
      <c r="H240" s="7">
        <v>0</v>
      </c>
      <c r="I240" s="10">
        <v>0</v>
      </c>
      <c r="J240" s="7">
        <v>0</v>
      </c>
      <c r="K240" s="12">
        <v>0</v>
      </c>
      <c r="L240" s="7">
        <v>0</v>
      </c>
      <c r="M240" s="18">
        <f t="shared" si="15"/>
        <v>30</v>
      </c>
      <c r="N240" s="19">
        <f t="shared" si="16"/>
        <v>1</v>
      </c>
      <c r="O240" s="18">
        <f t="shared" si="17"/>
        <v>0</v>
      </c>
      <c r="P240" s="18" t="str">
        <f t="shared" si="18"/>
        <v>OK</v>
      </c>
      <c r="Q240" s="12" t="s">
        <v>175</v>
      </c>
      <c r="R240" s="10">
        <f t="shared" si="19"/>
        <v>0</v>
      </c>
      <c r="S240" s="10">
        <v>0</v>
      </c>
      <c r="T240" s="10">
        <v>0</v>
      </c>
      <c r="U240" s="10">
        <v>0</v>
      </c>
      <c r="V240" s="12"/>
    </row>
    <row r="241" spans="1:22" x14ac:dyDescent="0.25">
      <c r="A241" t="s">
        <v>126</v>
      </c>
      <c r="B241" t="s">
        <v>189</v>
      </c>
      <c r="C241" s="1">
        <v>46357</v>
      </c>
      <c r="D241" t="s">
        <v>174</v>
      </c>
      <c r="E241" s="10">
        <v>30</v>
      </c>
      <c r="F241" s="7">
        <v>1</v>
      </c>
      <c r="G241" s="10">
        <v>0</v>
      </c>
      <c r="H241" s="7">
        <v>0</v>
      </c>
      <c r="I241" s="10">
        <v>0</v>
      </c>
      <c r="J241" s="7">
        <v>0</v>
      </c>
      <c r="K241" s="12">
        <v>0</v>
      </c>
      <c r="L241" s="7">
        <v>0</v>
      </c>
      <c r="M241" s="18">
        <f t="shared" si="15"/>
        <v>30</v>
      </c>
      <c r="N241" s="19">
        <f t="shared" si="16"/>
        <v>1</v>
      </c>
      <c r="O241" s="18">
        <f t="shared" si="17"/>
        <v>0</v>
      </c>
      <c r="P241" s="18" t="str">
        <f t="shared" si="18"/>
        <v>OK</v>
      </c>
      <c r="Q241" s="12" t="s">
        <v>175</v>
      </c>
      <c r="R241" s="10">
        <f t="shared" si="19"/>
        <v>0</v>
      </c>
      <c r="S241" s="10">
        <v>0</v>
      </c>
      <c r="T241" s="10">
        <v>0</v>
      </c>
      <c r="U241" s="10">
        <v>0</v>
      </c>
      <c r="V241" s="12"/>
    </row>
    <row r="242" spans="1:22" x14ac:dyDescent="0.25">
      <c r="A242" t="s">
        <v>128</v>
      </c>
      <c r="B242" t="s">
        <v>173</v>
      </c>
      <c r="C242" s="1">
        <v>46023</v>
      </c>
      <c r="D242" t="s">
        <v>174</v>
      </c>
      <c r="E242" s="10">
        <v>30</v>
      </c>
      <c r="F242" s="7">
        <v>1</v>
      </c>
      <c r="G242" s="10">
        <v>0</v>
      </c>
      <c r="H242" s="7">
        <v>0</v>
      </c>
      <c r="I242" s="10">
        <v>0</v>
      </c>
      <c r="J242" s="7">
        <v>0</v>
      </c>
      <c r="K242" s="12">
        <v>0</v>
      </c>
      <c r="L242" s="7">
        <v>0</v>
      </c>
      <c r="M242" s="18">
        <f t="shared" si="15"/>
        <v>30</v>
      </c>
      <c r="N242" s="19">
        <f t="shared" si="16"/>
        <v>1</v>
      </c>
      <c r="O242" s="18">
        <f t="shared" si="17"/>
        <v>0</v>
      </c>
      <c r="P242" s="18" t="str">
        <f t="shared" si="18"/>
        <v>OK</v>
      </c>
      <c r="Q242" s="12" t="s">
        <v>175</v>
      </c>
      <c r="R242" s="10">
        <f t="shared" si="19"/>
        <v>0</v>
      </c>
      <c r="S242" s="10">
        <v>0</v>
      </c>
      <c r="T242" s="10">
        <v>0</v>
      </c>
      <c r="U242" s="10">
        <v>0</v>
      </c>
      <c r="V242" s="12"/>
    </row>
    <row r="243" spans="1:22" x14ac:dyDescent="0.25">
      <c r="A243" t="s">
        <v>128</v>
      </c>
      <c r="B243" t="s">
        <v>176</v>
      </c>
      <c r="C243" s="1">
        <v>46054</v>
      </c>
      <c r="D243" t="s">
        <v>174</v>
      </c>
      <c r="E243" s="10">
        <v>30</v>
      </c>
      <c r="F243" s="7">
        <v>1</v>
      </c>
      <c r="G243" s="10">
        <v>0</v>
      </c>
      <c r="H243" s="7">
        <v>0</v>
      </c>
      <c r="I243" s="10">
        <v>0</v>
      </c>
      <c r="J243" s="7">
        <v>0</v>
      </c>
      <c r="K243" s="12">
        <v>0</v>
      </c>
      <c r="L243" s="7">
        <v>0</v>
      </c>
      <c r="M243" s="18">
        <f t="shared" si="15"/>
        <v>30</v>
      </c>
      <c r="N243" s="19">
        <f t="shared" si="16"/>
        <v>1</v>
      </c>
      <c r="O243" s="18">
        <f t="shared" si="17"/>
        <v>0</v>
      </c>
      <c r="P243" s="18" t="str">
        <f t="shared" si="18"/>
        <v>OK</v>
      </c>
      <c r="Q243" s="12" t="s">
        <v>175</v>
      </c>
      <c r="R243" s="10">
        <f t="shared" si="19"/>
        <v>0</v>
      </c>
      <c r="S243" s="10">
        <v>0</v>
      </c>
      <c r="T243" s="10">
        <v>0</v>
      </c>
      <c r="U243" s="10">
        <v>0</v>
      </c>
      <c r="V243" s="12"/>
    </row>
    <row r="244" spans="1:22" x14ac:dyDescent="0.25">
      <c r="A244" t="s">
        <v>128</v>
      </c>
      <c r="B244" t="s">
        <v>177</v>
      </c>
      <c r="C244" s="1">
        <v>46082</v>
      </c>
      <c r="D244" t="s">
        <v>174</v>
      </c>
      <c r="E244" s="10">
        <v>30</v>
      </c>
      <c r="F244" s="7">
        <v>1</v>
      </c>
      <c r="G244" s="10">
        <v>0</v>
      </c>
      <c r="H244" s="7">
        <v>0</v>
      </c>
      <c r="I244" s="10">
        <v>0</v>
      </c>
      <c r="J244" s="7">
        <v>0</v>
      </c>
      <c r="K244" s="12">
        <v>0</v>
      </c>
      <c r="L244" s="7">
        <v>0</v>
      </c>
      <c r="M244" s="18">
        <f t="shared" si="15"/>
        <v>30</v>
      </c>
      <c r="N244" s="19">
        <f t="shared" si="16"/>
        <v>1</v>
      </c>
      <c r="O244" s="18">
        <f t="shared" si="17"/>
        <v>0</v>
      </c>
      <c r="P244" s="18" t="str">
        <f t="shared" si="18"/>
        <v>OK</v>
      </c>
      <c r="Q244" s="12" t="s">
        <v>175</v>
      </c>
      <c r="R244" s="10">
        <f t="shared" si="19"/>
        <v>0</v>
      </c>
      <c r="S244" s="10">
        <v>0</v>
      </c>
      <c r="T244" s="10">
        <v>0</v>
      </c>
      <c r="U244" s="10">
        <v>0</v>
      </c>
      <c r="V244" s="12"/>
    </row>
    <row r="245" spans="1:22" x14ac:dyDescent="0.25">
      <c r="A245" t="s">
        <v>128</v>
      </c>
      <c r="B245" t="s">
        <v>178</v>
      </c>
      <c r="C245" s="1">
        <v>46113</v>
      </c>
      <c r="D245" t="s">
        <v>174</v>
      </c>
      <c r="E245" s="10">
        <v>30</v>
      </c>
      <c r="F245" s="7">
        <v>1</v>
      </c>
      <c r="G245" s="10">
        <v>0</v>
      </c>
      <c r="H245" s="7">
        <v>0</v>
      </c>
      <c r="I245" s="10">
        <v>0</v>
      </c>
      <c r="J245" s="7">
        <v>0</v>
      </c>
      <c r="K245" s="12">
        <v>0</v>
      </c>
      <c r="L245" s="7">
        <v>0</v>
      </c>
      <c r="M245" s="18">
        <f t="shared" si="15"/>
        <v>30</v>
      </c>
      <c r="N245" s="19">
        <f t="shared" si="16"/>
        <v>1</v>
      </c>
      <c r="O245" s="18">
        <f t="shared" si="17"/>
        <v>0</v>
      </c>
      <c r="P245" s="18" t="str">
        <f t="shared" si="18"/>
        <v>OK</v>
      </c>
      <c r="Q245" s="12" t="s">
        <v>175</v>
      </c>
      <c r="R245" s="10">
        <f t="shared" si="19"/>
        <v>0</v>
      </c>
      <c r="S245" s="10">
        <v>0</v>
      </c>
      <c r="T245" s="10">
        <v>0</v>
      </c>
      <c r="U245" s="10">
        <v>0</v>
      </c>
      <c r="V245" s="12"/>
    </row>
    <row r="246" spans="1:22" x14ac:dyDescent="0.25">
      <c r="A246" t="s">
        <v>128</v>
      </c>
      <c r="B246" t="s">
        <v>179</v>
      </c>
      <c r="C246" s="1">
        <v>46143</v>
      </c>
      <c r="D246" t="s">
        <v>174</v>
      </c>
      <c r="E246" s="10">
        <v>30</v>
      </c>
      <c r="F246" s="7">
        <v>1</v>
      </c>
      <c r="G246" s="10">
        <v>0</v>
      </c>
      <c r="H246" s="7">
        <v>0</v>
      </c>
      <c r="I246" s="10">
        <v>0</v>
      </c>
      <c r="J246" s="7">
        <v>0</v>
      </c>
      <c r="K246" s="12">
        <v>0</v>
      </c>
      <c r="L246" s="7">
        <v>0</v>
      </c>
      <c r="M246" s="18">
        <f t="shared" si="15"/>
        <v>30</v>
      </c>
      <c r="N246" s="19">
        <f t="shared" si="16"/>
        <v>1</v>
      </c>
      <c r="O246" s="18">
        <f t="shared" si="17"/>
        <v>0</v>
      </c>
      <c r="P246" s="18" t="str">
        <f t="shared" si="18"/>
        <v>OK</v>
      </c>
      <c r="Q246" s="12" t="s">
        <v>175</v>
      </c>
      <c r="R246" s="10">
        <f t="shared" si="19"/>
        <v>0</v>
      </c>
      <c r="S246" s="10">
        <v>0</v>
      </c>
      <c r="T246" s="10">
        <v>0</v>
      </c>
      <c r="U246" s="10">
        <v>0</v>
      </c>
      <c r="V246" s="12"/>
    </row>
    <row r="247" spans="1:22" x14ac:dyDescent="0.25">
      <c r="A247" t="s">
        <v>128</v>
      </c>
      <c r="B247" t="s">
        <v>180</v>
      </c>
      <c r="C247" s="1">
        <v>46174</v>
      </c>
      <c r="D247" t="s">
        <v>174</v>
      </c>
      <c r="E247" s="10">
        <v>30</v>
      </c>
      <c r="F247" s="7">
        <v>1</v>
      </c>
      <c r="G247" s="10">
        <v>0</v>
      </c>
      <c r="H247" s="7">
        <v>0</v>
      </c>
      <c r="I247" s="10">
        <v>0</v>
      </c>
      <c r="J247" s="7">
        <v>0</v>
      </c>
      <c r="K247" s="12">
        <v>0</v>
      </c>
      <c r="L247" s="7">
        <v>0</v>
      </c>
      <c r="M247" s="18">
        <f t="shared" si="15"/>
        <v>30</v>
      </c>
      <c r="N247" s="19">
        <f t="shared" si="16"/>
        <v>1</v>
      </c>
      <c r="O247" s="18">
        <f t="shared" si="17"/>
        <v>0</v>
      </c>
      <c r="P247" s="18" t="str">
        <f t="shared" si="18"/>
        <v>OK</v>
      </c>
      <c r="Q247" s="12" t="s">
        <v>175</v>
      </c>
      <c r="R247" s="10">
        <f t="shared" si="19"/>
        <v>0</v>
      </c>
      <c r="S247" s="10">
        <v>0</v>
      </c>
      <c r="T247" s="10">
        <v>0</v>
      </c>
      <c r="U247" s="10">
        <v>0</v>
      </c>
      <c r="V247" s="12"/>
    </row>
    <row r="248" spans="1:22" x14ac:dyDescent="0.25">
      <c r="A248" t="s">
        <v>128</v>
      </c>
      <c r="B248" t="s">
        <v>181</v>
      </c>
      <c r="C248" s="1">
        <v>46204</v>
      </c>
      <c r="D248" t="s">
        <v>182</v>
      </c>
      <c r="E248" s="10">
        <v>30</v>
      </c>
      <c r="F248" s="7">
        <v>1</v>
      </c>
      <c r="G248" s="10">
        <v>0</v>
      </c>
      <c r="H248" s="7">
        <v>0</v>
      </c>
      <c r="I248" s="10">
        <v>0</v>
      </c>
      <c r="J248" s="7">
        <v>0</v>
      </c>
      <c r="K248" s="12">
        <v>0</v>
      </c>
      <c r="L248" s="7">
        <v>0</v>
      </c>
      <c r="M248" s="18">
        <f t="shared" si="15"/>
        <v>30</v>
      </c>
      <c r="N248" s="19">
        <f t="shared" si="16"/>
        <v>1</v>
      </c>
      <c r="O248" s="18">
        <f t="shared" si="17"/>
        <v>0</v>
      </c>
      <c r="P248" s="18" t="str">
        <f t="shared" si="18"/>
        <v>OK</v>
      </c>
      <c r="Q248" s="12" t="s">
        <v>175</v>
      </c>
      <c r="R248" s="10">
        <f t="shared" si="19"/>
        <v>0</v>
      </c>
      <c r="S248" s="10">
        <v>0</v>
      </c>
      <c r="T248" s="10">
        <v>0</v>
      </c>
      <c r="U248" s="10">
        <v>0</v>
      </c>
      <c r="V248" s="12"/>
    </row>
    <row r="249" spans="1:22" x14ac:dyDescent="0.25">
      <c r="A249" t="s">
        <v>128</v>
      </c>
      <c r="B249" t="s">
        <v>183</v>
      </c>
      <c r="C249" s="1">
        <v>46204</v>
      </c>
      <c r="D249" t="s">
        <v>174</v>
      </c>
      <c r="E249" s="10">
        <v>30</v>
      </c>
      <c r="F249" s="7">
        <v>1</v>
      </c>
      <c r="G249" s="10">
        <v>0</v>
      </c>
      <c r="H249" s="7">
        <v>0</v>
      </c>
      <c r="I249" s="10">
        <v>0</v>
      </c>
      <c r="J249" s="7">
        <v>0</v>
      </c>
      <c r="K249" s="12">
        <v>0</v>
      </c>
      <c r="L249" s="7">
        <v>0</v>
      </c>
      <c r="M249" s="18">
        <f t="shared" si="15"/>
        <v>30</v>
      </c>
      <c r="N249" s="19">
        <f t="shared" si="16"/>
        <v>1</v>
      </c>
      <c r="O249" s="18">
        <f t="shared" si="17"/>
        <v>0</v>
      </c>
      <c r="P249" s="18" t="str">
        <f t="shared" si="18"/>
        <v>OK</v>
      </c>
      <c r="Q249" s="12" t="s">
        <v>175</v>
      </c>
      <c r="R249" s="10">
        <f t="shared" si="19"/>
        <v>0</v>
      </c>
      <c r="S249" s="10">
        <v>0</v>
      </c>
      <c r="T249" s="10">
        <v>0</v>
      </c>
      <c r="U249" s="10">
        <v>0</v>
      </c>
      <c r="V249" s="12"/>
    </row>
    <row r="250" spans="1:22" x14ac:dyDescent="0.25">
      <c r="A250" t="s">
        <v>128</v>
      </c>
      <c r="B250" t="s">
        <v>184</v>
      </c>
      <c r="C250" s="1">
        <v>46235</v>
      </c>
      <c r="D250" t="s">
        <v>174</v>
      </c>
      <c r="E250" s="10">
        <v>30</v>
      </c>
      <c r="F250" s="7">
        <v>1</v>
      </c>
      <c r="G250" s="10">
        <v>0</v>
      </c>
      <c r="H250" s="7">
        <v>0</v>
      </c>
      <c r="I250" s="10">
        <v>0</v>
      </c>
      <c r="J250" s="7">
        <v>0</v>
      </c>
      <c r="K250" s="12">
        <v>0</v>
      </c>
      <c r="L250" s="7">
        <v>0</v>
      </c>
      <c r="M250" s="18">
        <f t="shared" si="15"/>
        <v>30</v>
      </c>
      <c r="N250" s="19">
        <f t="shared" si="16"/>
        <v>1</v>
      </c>
      <c r="O250" s="18">
        <f t="shared" si="17"/>
        <v>0</v>
      </c>
      <c r="P250" s="18" t="str">
        <f t="shared" si="18"/>
        <v>OK</v>
      </c>
      <c r="Q250" s="12" t="s">
        <v>175</v>
      </c>
      <c r="R250" s="10">
        <f t="shared" si="19"/>
        <v>0</v>
      </c>
      <c r="S250" s="10">
        <v>0</v>
      </c>
      <c r="T250" s="10">
        <v>0</v>
      </c>
      <c r="U250" s="10">
        <v>0</v>
      </c>
      <c r="V250" s="12"/>
    </row>
    <row r="251" spans="1:22" x14ac:dyDescent="0.25">
      <c r="A251" t="s">
        <v>128</v>
      </c>
      <c r="B251" t="s">
        <v>185</v>
      </c>
      <c r="C251" s="1">
        <v>46266</v>
      </c>
      <c r="D251" t="s">
        <v>174</v>
      </c>
      <c r="E251" s="10">
        <v>30</v>
      </c>
      <c r="F251" s="7">
        <v>1</v>
      </c>
      <c r="G251" s="10">
        <v>0</v>
      </c>
      <c r="H251" s="7">
        <v>0</v>
      </c>
      <c r="I251" s="10">
        <v>0</v>
      </c>
      <c r="J251" s="7">
        <v>0</v>
      </c>
      <c r="K251" s="12">
        <v>0</v>
      </c>
      <c r="L251" s="7">
        <v>0</v>
      </c>
      <c r="M251" s="18">
        <f t="shared" si="15"/>
        <v>30</v>
      </c>
      <c r="N251" s="19">
        <f t="shared" si="16"/>
        <v>1</v>
      </c>
      <c r="O251" s="18">
        <f t="shared" si="17"/>
        <v>0</v>
      </c>
      <c r="P251" s="18" t="str">
        <f t="shared" si="18"/>
        <v>OK</v>
      </c>
      <c r="Q251" s="12" t="s">
        <v>175</v>
      </c>
      <c r="R251" s="10">
        <f t="shared" si="19"/>
        <v>0</v>
      </c>
      <c r="S251" s="10">
        <v>0</v>
      </c>
      <c r="T251" s="10">
        <v>0</v>
      </c>
      <c r="U251" s="10">
        <v>0</v>
      </c>
      <c r="V251" s="12"/>
    </row>
    <row r="252" spans="1:22" x14ac:dyDescent="0.25">
      <c r="A252" t="s">
        <v>128</v>
      </c>
      <c r="B252" t="s">
        <v>186</v>
      </c>
      <c r="C252" s="1">
        <v>46296</v>
      </c>
      <c r="D252" t="s">
        <v>174</v>
      </c>
      <c r="E252" s="10">
        <v>30</v>
      </c>
      <c r="F252" s="7">
        <v>1</v>
      </c>
      <c r="G252" s="10">
        <v>0</v>
      </c>
      <c r="H252" s="7">
        <v>0</v>
      </c>
      <c r="I252" s="10">
        <v>0</v>
      </c>
      <c r="J252" s="7">
        <v>0</v>
      </c>
      <c r="K252" s="12">
        <v>0</v>
      </c>
      <c r="L252" s="7">
        <v>0</v>
      </c>
      <c r="M252" s="18">
        <f t="shared" si="15"/>
        <v>30</v>
      </c>
      <c r="N252" s="19">
        <f t="shared" si="16"/>
        <v>1</v>
      </c>
      <c r="O252" s="18">
        <f t="shared" si="17"/>
        <v>0</v>
      </c>
      <c r="P252" s="18" t="str">
        <f t="shared" si="18"/>
        <v>OK</v>
      </c>
      <c r="Q252" s="12" t="s">
        <v>175</v>
      </c>
      <c r="R252" s="10">
        <f t="shared" si="19"/>
        <v>0</v>
      </c>
      <c r="S252" s="10">
        <v>0</v>
      </c>
      <c r="T252" s="10">
        <v>0</v>
      </c>
      <c r="U252" s="10">
        <v>0</v>
      </c>
      <c r="V252" s="12"/>
    </row>
    <row r="253" spans="1:22" x14ac:dyDescent="0.25">
      <c r="A253" t="s">
        <v>128</v>
      </c>
      <c r="B253" t="s">
        <v>187</v>
      </c>
      <c r="C253" s="1">
        <v>46327</v>
      </c>
      <c r="D253" t="s">
        <v>174</v>
      </c>
      <c r="E253" s="10">
        <v>30</v>
      </c>
      <c r="F253" s="7">
        <v>1</v>
      </c>
      <c r="G253" s="10">
        <v>0</v>
      </c>
      <c r="H253" s="7">
        <v>0</v>
      </c>
      <c r="I253" s="10">
        <v>0</v>
      </c>
      <c r="J253" s="7">
        <v>0</v>
      </c>
      <c r="K253" s="12">
        <v>0</v>
      </c>
      <c r="L253" s="7">
        <v>0</v>
      </c>
      <c r="M253" s="18">
        <f t="shared" si="15"/>
        <v>30</v>
      </c>
      <c r="N253" s="19">
        <f t="shared" si="16"/>
        <v>1</v>
      </c>
      <c r="O253" s="18">
        <f t="shared" si="17"/>
        <v>0</v>
      </c>
      <c r="P253" s="18" t="str">
        <f t="shared" si="18"/>
        <v>OK</v>
      </c>
      <c r="Q253" s="12" t="s">
        <v>175</v>
      </c>
      <c r="R253" s="10">
        <f t="shared" si="19"/>
        <v>0</v>
      </c>
      <c r="S253" s="10">
        <v>0</v>
      </c>
      <c r="T253" s="10">
        <v>0</v>
      </c>
      <c r="U253" s="10">
        <v>0</v>
      </c>
      <c r="V253" s="12"/>
    </row>
    <row r="254" spans="1:22" x14ac:dyDescent="0.25">
      <c r="A254" t="s">
        <v>128</v>
      </c>
      <c r="B254" t="s">
        <v>188</v>
      </c>
      <c r="C254" s="1">
        <v>46357</v>
      </c>
      <c r="D254" t="s">
        <v>182</v>
      </c>
      <c r="E254" s="10">
        <v>30</v>
      </c>
      <c r="F254" s="7">
        <v>1</v>
      </c>
      <c r="G254" s="10">
        <v>0</v>
      </c>
      <c r="H254" s="7">
        <v>0</v>
      </c>
      <c r="I254" s="10">
        <v>0</v>
      </c>
      <c r="J254" s="7">
        <v>0</v>
      </c>
      <c r="K254" s="12">
        <v>0</v>
      </c>
      <c r="L254" s="7">
        <v>0</v>
      </c>
      <c r="M254" s="18">
        <f t="shared" si="15"/>
        <v>30</v>
      </c>
      <c r="N254" s="19">
        <f t="shared" si="16"/>
        <v>1</v>
      </c>
      <c r="O254" s="18">
        <f t="shared" si="17"/>
        <v>0</v>
      </c>
      <c r="P254" s="18" t="str">
        <f t="shared" si="18"/>
        <v>OK</v>
      </c>
      <c r="Q254" s="12" t="s">
        <v>175</v>
      </c>
      <c r="R254" s="10">
        <f t="shared" si="19"/>
        <v>0</v>
      </c>
      <c r="S254" s="10">
        <v>0</v>
      </c>
      <c r="T254" s="10">
        <v>0</v>
      </c>
      <c r="U254" s="10">
        <v>0</v>
      </c>
      <c r="V254" s="12"/>
    </row>
    <row r="255" spans="1:22" x14ac:dyDescent="0.25">
      <c r="A255" t="s">
        <v>128</v>
      </c>
      <c r="B255" t="s">
        <v>189</v>
      </c>
      <c r="C255" s="1">
        <v>46357</v>
      </c>
      <c r="D255" t="s">
        <v>174</v>
      </c>
      <c r="E255" s="10">
        <v>30</v>
      </c>
      <c r="F255" s="7">
        <v>1</v>
      </c>
      <c r="G255" s="10">
        <v>0</v>
      </c>
      <c r="H255" s="7">
        <v>0</v>
      </c>
      <c r="I255" s="10">
        <v>0</v>
      </c>
      <c r="J255" s="7">
        <v>0</v>
      </c>
      <c r="K255" s="12">
        <v>0</v>
      </c>
      <c r="L255" s="7">
        <v>0</v>
      </c>
      <c r="M255" s="18">
        <f t="shared" si="15"/>
        <v>30</v>
      </c>
      <c r="N255" s="19">
        <f t="shared" si="16"/>
        <v>1</v>
      </c>
      <c r="O255" s="18">
        <f t="shared" si="17"/>
        <v>0</v>
      </c>
      <c r="P255" s="18" t="str">
        <f t="shared" si="18"/>
        <v>OK</v>
      </c>
      <c r="Q255" s="12" t="s">
        <v>175</v>
      </c>
      <c r="R255" s="10">
        <f t="shared" si="19"/>
        <v>0</v>
      </c>
      <c r="S255" s="10">
        <v>0</v>
      </c>
      <c r="T255" s="10">
        <v>0</v>
      </c>
      <c r="U255" s="10">
        <v>0</v>
      </c>
      <c r="V255" s="12"/>
    </row>
    <row r="256" spans="1:22" x14ac:dyDescent="0.25">
      <c r="A256" t="s">
        <v>130</v>
      </c>
      <c r="B256" t="s">
        <v>173</v>
      </c>
      <c r="C256" s="1">
        <v>46023</v>
      </c>
      <c r="D256" t="s">
        <v>174</v>
      </c>
      <c r="E256" s="10">
        <v>30</v>
      </c>
      <c r="F256" s="7">
        <v>1</v>
      </c>
      <c r="G256" s="10">
        <v>0</v>
      </c>
      <c r="H256" s="7">
        <v>0</v>
      </c>
      <c r="I256" s="10">
        <v>0</v>
      </c>
      <c r="J256" s="7">
        <v>0</v>
      </c>
      <c r="K256" s="12">
        <v>0</v>
      </c>
      <c r="L256" s="7">
        <v>0</v>
      </c>
      <c r="M256" s="18">
        <f t="shared" si="15"/>
        <v>30</v>
      </c>
      <c r="N256" s="19">
        <f t="shared" si="16"/>
        <v>1</v>
      </c>
      <c r="O256" s="18">
        <f t="shared" si="17"/>
        <v>0</v>
      </c>
      <c r="P256" s="18" t="str">
        <f t="shared" si="18"/>
        <v>OK</v>
      </c>
      <c r="Q256" s="12" t="s">
        <v>175</v>
      </c>
      <c r="R256" s="10">
        <f t="shared" si="19"/>
        <v>0</v>
      </c>
      <c r="S256" s="10">
        <v>0</v>
      </c>
      <c r="T256" s="10">
        <v>0</v>
      </c>
      <c r="U256" s="10">
        <v>0</v>
      </c>
      <c r="V256" s="12"/>
    </row>
    <row r="257" spans="1:22" x14ac:dyDescent="0.25">
      <c r="A257" t="s">
        <v>130</v>
      </c>
      <c r="B257" t="s">
        <v>176</v>
      </c>
      <c r="C257" s="1">
        <v>46054</v>
      </c>
      <c r="D257" t="s">
        <v>174</v>
      </c>
      <c r="E257" s="10">
        <v>30</v>
      </c>
      <c r="F257" s="7">
        <v>1</v>
      </c>
      <c r="G257" s="10">
        <v>0</v>
      </c>
      <c r="H257" s="7">
        <v>0</v>
      </c>
      <c r="I257" s="10">
        <v>0</v>
      </c>
      <c r="J257" s="7">
        <v>0</v>
      </c>
      <c r="K257" s="12">
        <v>0</v>
      </c>
      <c r="L257" s="7">
        <v>0</v>
      </c>
      <c r="M257" s="18">
        <f t="shared" si="15"/>
        <v>30</v>
      </c>
      <c r="N257" s="19">
        <f t="shared" si="16"/>
        <v>1</v>
      </c>
      <c r="O257" s="18">
        <f t="shared" si="17"/>
        <v>0</v>
      </c>
      <c r="P257" s="18" t="str">
        <f t="shared" si="18"/>
        <v>OK</v>
      </c>
      <c r="Q257" s="12" t="s">
        <v>175</v>
      </c>
      <c r="R257" s="10">
        <f t="shared" si="19"/>
        <v>0</v>
      </c>
      <c r="S257" s="10">
        <v>0</v>
      </c>
      <c r="T257" s="10">
        <v>0</v>
      </c>
      <c r="U257" s="10">
        <v>0</v>
      </c>
      <c r="V257" s="12"/>
    </row>
    <row r="258" spans="1:22" x14ac:dyDescent="0.25">
      <c r="A258" t="s">
        <v>130</v>
      </c>
      <c r="B258" t="s">
        <v>177</v>
      </c>
      <c r="C258" s="1">
        <v>46082</v>
      </c>
      <c r="D258" t="s">
        <v>174</v>
      </c>
      <c r="E258" s="10">
        <v>30</v>
      </c>
      <c r="F258" s="7">
        <v>1</v>
      </c>
      <c r="G258" s="10">
        <v>0</v>
      </c>
      <c r="H258" s="7">
        <v>0</v>
      </c>
      <c r="I258" s="10">
        <v>0</v>
      </c>
      <c r="J258" s="7">
        <v>0</v>
      </c>
      <c r="K258" s="12">
        <v>0</v>
      </c>
      <c r="L258" s="7">
        <v>0</v>
      </c>
      <c r="M258" s="18">
        <f t="shared" si="15"/>
        <v>30</v>
      </c>
      <c r="N258" s="19">
        <f t="shared" si="16"/>
        <v>1</v>
      </c>
      <c r="O258" s="18">
        <f t="shared" si="17"/>
        <v>0</v>
      </c>
      <c r="P258" s="18" t="str">
        <f t="shared" si="18"/>
        <v>OK</v>
      </c>
      <c r="Q258" s="12" t="s">
        <v>175</v>
      </c>
      <c r="R258" s="10">
        <f t="shared" si="19"/>
        <v>0</v>
      </c>
      <c r="S258" s="10">
        <v>0</v>
      </c>
      <c r="T258" s="10">
        <v>0</v>
      </c>
      <c r="U258" s="10">
        <v>0</v>
      </c>
      <c r="V258" s="12"/>
    </row>
    <row r="259" spans="1:22" x14ac:dyDescent="0.25">
      <c r="A259" t="s">
        <v>130</v>
      </c>
      <c r="B259" t="s">
        <v>178</v>
      </c>
      <c r="C259" s="1">
        <v>46113</v>
      </c>
      <c r="D259" t="s">
        <v>174</v>
      </c>
      <c r="E259" s="10">
        <v>30</v>
      </c>
      <c r="F259" s="7">
        <v>1</v>
      </c>
      <c r="G259" s="10">
        <v>0</v>
      </c>
      <c r="H259" s="7">
        <v>0</v>
      </c>
      <c r="I259" s="10">
        <v>0</v>
      </c>
      <c r="J259" s="7">
        <v>0</v>
      </c>
      <c r="K259" s="12">
        <v>0</v>
      </c>
      <c r="L259" s="7">
        <v>0</v>
      </c>
      <c r="M259" s="18">
        <f t="shared" si="15"/>
        <v>30</v>
      </c>
      <c r="N259" s="19">
        <f t="shared" si="16"/>
        <v>1</v>
      </c>
      <c r="O259" s="18">
        <f t="shared" si="17"/>
        <v>0</v>
      </c>
      <c r="P259" s="18" t="str">
        <f t="shared" si="18"/>
        <v>OK</v>
      </c>
      <c r="Q259" s="12" t="s">
        <v>175</v>
      </c>
      <c r="R259" s="10">
        <f t="shared" si="19"/>
        <v>0</v>
      </c>
      <c r="S259" s="10">
        <v>0</v>
      </c>
      <c r="T259" s="10">
        <v>0</v>
      </c>
      <c r="U259" s="10">
        <v>0</v>
      </c>
      <c r="V259" s="12"/>
    </row>
    <row r="260" spans="1:22" x14ac:dyDescent="0.25">
      <c r="A260" t="s">
        <v>130</v>
      </c>
      <c r="B260" t="s">
        <v>179</v>
      </c>
      <c r="C260" s="1">
        <v>46143</v>
      </c>
      <c r="D260" t="s">
        <v>174</v>
      </c>
      <c r="E260" s="10">
        <v>30</v>
      </c>
      <c r="F260" s="7">
        <v>1</v>
      </c>
      <c r="G260" s="10">
        <v>0</v>
      </c>
      <c r="H260" s="7">
        <v>0</v>
      </c>
      <c r="I260" s="10">
        <v>0</v>
      </c>
      <c r="J260" s="7">
        <v>0</v>
      </c>
      <c r="K260" s="12">
        <v>0</v>
      </c>
      <c r="L260" s="7">
        <v>0</v>
      </c>
      <c r="M260" s="18">
        <f t="shared" ref="M260:M323" si="20">SUM(E260,G260,I260,K260)</f>
        <v>30</v>
      </c>
      <c r="N260" s="19">
        <f t="shared" ref="N260:N323" si="21">IF(M260=0,0,(E260*F260+G260*H260+I260*J260+K260*L260)/30)</f>
        <v>1</v>
      </c>
      <c r="O260" s="18">
        <f t="shared" ref="O260:O323" si="22">IF(Q260="Nacimiento/cuidado menor",E260*(1-F260)+G260*(1-H260)+I260*(1-J260)+K260*(1-L260),0)</f>
        <v>0</v>
      </c>
      <c r="P260" s="18" t="str">
        <f t="shared" ref="P260:P323" si="23">IF(M260=30,"OK","ERROR · "&amp;M260&amp;" días")</f>
        <v>OK</v>
      </c>
      <c r="Q260" s="12" t="s">
        <v>175</v>
      </c>
      <c r="R260" s="10">
        <f t="shared" ref="R260:R323" si="24">IF($Q260="Nacimiento/cuidado menor",IF($W260&gt;0,$W260/30,0),0)</f>
        <v>0</v>
      </c>
      <c r="S260" s="10">
        <v>0</v>
      </c>
      <c r="T260" s="10">
        <v>0</v>
      </c>
      <c r="U260" s="10">
        <v>0</v>
      </c>
      <c r="V260" s="12"/>
    </row>
    <row r="261" spans="1:22" x14ac:dyDescent="0.25">
      <c r="A261" t="s">
        <v>130</v>
      </c>
      <c r="B261" t="s">
        <v>180</v>
      </c>
      <c r="C261" s="1">
        <v>46174</v>
      </c>
      <c r="D261" t="s">
        <v>174</v>
      </c>
      <c r="E261" s="10">
        <v>30</v>
      </c>
      <c r="F261" s="7">
        <v>1</v>
      </c>
      <c r="G261" s="10">
        <v>0</v>
      </c>
      <c r="H261" s="7">
        <v>0</v>
      </c>
      <c r="I261" s="10">
        <v>0</v>
      </c>
      <c r="J261" s="7">
        <v>0</v>
      </c>
      <c r="K261" s="12">
        <v>0</v>
      </c>
      <c r="L261" s="7">
        <v>0</v>
      </c>
      <c r="M261" s="18">
        <f t="shared" si="20"/>
        <v>30</v>
      </c>
      <c r="N261" s="19">
        <f t="shared" si="21"/>
        <v>1</v>
      </c>
      <c r="O261" s="18">
        <f t="shared" si="22"/>
        <v>0</v>
      </c>
      <c r="P261" s="18" t="str">
        <f t="shared" si="23"/>
        <v>OK</v>
      </c>
      <c r="Q261" s="12" t="s">
        <v>175</v>
      </c>
      <c r="R261" s="10">
        <f t="shared" si="24"/>
        <v>0</v>
      </c>
      <c r="S261" s="10">
        <v>0</v>
      </c>
      <c r="T261" s="10">
        <v>0</v>
      </c>
      <c r="U261" s="10">
        <v>0</v>
      </c>
      <c r="V261" s="12"/>
    </row>
    <row r="262" spans="1:22" x14ac:dyDescent="0.25">
      <c r="A262" t="s">
        <v>130</v>
      </c>
      <c r="B262" t="s">
        <v>181</v>
      </c>
      <c r="C262" s="1">
        <v>46204</v>
      </c>
      <c r="D262" t="s">
        <v>182</v>
      </c>
      <c r="E262" s="10">
        <v>30</v>
      </c>
      <c r="F262" s="7">
        <v>1</v>
      </c>
      <c r="G262" s="10">
        <v>0</v>
      </c>
      <c r="H262" s="7">
        <v>0</v>
      </c>
      <c r="I262" s="10">
        <v>0</v>
      </c>
      <c r="J262" s="7">
        <v>0</v>
      </c>
      <c r="K262" s="12">
        <v>0</v>
      </c>
      <c r="L262" s="7">
        <v>0</v>
      </c>
      <c r="M262" s="18">
        <f t="shared" si="20"/>
        <v>30</v>
      </c>
      <c r="N262" s="19">
        <f t="shared" si="21"/>
        <v>1</v>
      </c>
      <c r="O262" s="18">
        <f t="shared" si="22"/>
        <v>0</v>
      </c>
      <c r="P262" s="18" t="str">
        <f t="shared" si="23"/>
        <v>OK</v>
      </c>
      <c r="Q262" s="12" t="s">
        <v>175</v>
      </c>
      <c r="R262" s="10">
        <f t="shared" si="24"/>
        <v>0</v>
      </c>
      <c r="S262" s="10">
        <v>0</v>
      </c>
      <c r="T262" s="10">
        <v>0</v>
      </c>
      <c r="U262" s="10">
        <v>0</v>
      </c>
      <c r="V262" s="12"/>
    </row>
    <row r="263" spans="1:22" x14ac:dyDescent="0.25">
      <c r="A263" t="s">
        <v>130</v>
      </c>
      <c r="B263" t="s">
        <v>183</v>
      </c>
      <c r="C263" s="1">
        <v>46204</v>
      </c>
      <c r="D263" t="s">
        <v>174</v>
      </c>
      <c r="E263" s="10">
        <v>30</v>
      </c>
      <c r="F263" s="7">
        <v>1</v>
      </c>
      <c r="G263" s="10">
        <v>0</v>
      </c>
      <c r="H263" s="7">
        <v>0</v>
      </c>
      <c r="I263" s="10">
        <v>0</v>
      </c>
      <c r="J263" s="7">
        <v>0</v>
      </c>
      <c r="K263" s="12">
        <v>0</v>
      </c>
      <c r="L263" s="7">
        <v>0</v>
      </c>
      <c r="M263" s="18">
        <f t="shared" si="20"/>
        <v>30</v>
      </c>
      <c r="N263" s="19">
        <f t="shared" si="21"/>
        <v>1</v>
      </c>
      <c r="O263" s="18">
        <f t="shared" si="22"/>
        <v>0</v>
      </c>
      <c r="P263" s="18" t="str">
        <f t="shared" si="23"/>
        <v>OK</v>
      </c>
      <c r="Q263" s="12" t="s">
        <v>175</v>
      </c>
      <c r="R263" s="10">
        <f t="shared" si="24"/>
        <v>0</v>
      </c>
      <c r="S263" s="10">
        <v>0</v>
      </c>
      <c r="T263" s="10">
        <v>0</v>
      </c>
      <c r="U263" s="10">
        <v>0</v>
      </c>
      <c r="V263" s="12"/>
    </row>
    <row r="264" spans="1:22" x14ac:dyDescent="0.25">
      <c r="A264" t="s">
        <v>130</v>
      </c>
      <c r="B264" t="s">
        <v>184</v>
      </c>
      <c r="C264" s="1">
        <v>46235</v>
      </c>
      <c r="D264" t="s">
        <v>174</v>
      </c>
      <c r="E264" s="10">
        <v>30</v>
      </c>
      <c r="F264" s="7">
        <v>1</v>
      </c>
      <c r="G264" s="10">
        <v>0</v>
      </c>
      <c r="H264" s="7">
        <v>0</v>
      </c>
      <c r="I264" s="10">
        <v>0</v>
      </c>
      <c r="J264" s="7">
        <v>0</v>
      </c>
      <c r="K264" s="12">
        <v>0</v>
      </c>
      <c r="L264" s="7">
        <v>0</v>
      </c>
      <c r="M264" s="18">
        <f t="shared" si="20"/>
        <v>30</v>
      </c>
      <c r="N264" s="19">
        <f t="shared" si="21"/>
        <v>1</v>
      </c>
      <c r="O264" s="18">
        <f t="shared" si="22"/>
        <v>0</v>
      </c>
      <c r="P264" s="18" t="str">
        <f t="shared" si="23"/>
        <v>OK</v>
      </c>
      <c r="Q264" s="12" t="s">
        <v>175</v>
      </c>
      <c r="R264" s="10">
        <f t="shared" si="24"/>
        <v>0</v>
      </c>
      <c r="S264" s="10">
        <v>0</v>
      </c>
      <c r="T264" s="10">
        <v>0</v>
      </c>
      <c r="U264" s="10">
        <v>0</v>
      </c>
      <c r="V264" s="12"/>
    </row>
    <row r="265" spans="1:22" x14ac:dyDescent="0.25">
      <c r="A265" t="s">
        <v>130</v>
      </c>
      <c r="B265" t="s">
        <v>185</v>
      </c>
      <c r="C265" s="1">
        <v>46266</v>
      </c>
      <c r="D265" t="s">
        <v>174</v>
      </c>
      <c r="E265" s="10">
        <v>30</v>
      </c>
      <c r="F265" s="7">
        <v>1</v>
      </c>
      <c r="G265" s="10">
        <v>0</v>
      </c>
      <c r="H265" s="7">
        <v>0</v>
      </c>
      <c r="I265" s="10">
        <v>0</v>
      </c>
      <c r="J265" s="7">
        <v>0</v>
      </c>
      <c r="K265" s="12">
        <v>0</v>
      </c>
      <c r="L265" s="7">
        <v>0</v>
      </c>
      <c r="M265" s="18">
        <f t="shared" si="20"/>
        <v>30</v>
      </c>
      <c r="N265" s="19">
        <f t="shared" si="21"/>
        <v>1</v>
      </c>
      <c r="O265" s="18">
        <f t="shared" si="22"/>
        <v>0</v>
      </c>
      <c r="P265" s="18" t="str">
        <f t="shared" si="23"/>
        <v>OK</v>
      </c>
      <c r="Q265" s="12" t="s">
        <v>175</v>
      </c>
      <c r="R265" s="10">
        <f t="shared" si="24"/>
        <v>0</v>
      </c>
      <c r="S265" s="10">
        <v>0</v>
      </c>
      <c r="T265" s="10">
        <v>0</v>
      </c>
      <c r="U265" s="10">
        <v>0</v>
      </c>
      <c r="V265" s="12"/>
    </row>
    <row r="266" spans="1:22" x14ac:dyDescent="0.25">
      <c r="A266" t="s">
        <v>130</v>
      </c>
      <c r="B266" t="s">
        <v>186</v>
      </c>
      <c r="C266" s="1">
        <v>46296</v>
      </c>
      <c r="D266" t="s">
        <v>174</v>
      </c>
      <c r="E266" s="10">
        <v>30</v>
      </c>
      <c r="F266" s="7">
        <v>1</v>
      </c>
      <c r="G266" s="10">
        <v>0</v>
      </c>
      <c r="H266" s="7">
        <v>0</v>
      </c>
      <c r="I266" s="10">
        <v>0</v>
      </c>
      <c r="J266" s="7">
        <v>0</v>
      </c>
      <c r="K266" s="12">
        <v>0</v>
      </c>
      <c r="L266" s="7">
        <v>0</v>
      </c>
      <c r="M266" s="18">
        <f t="shared" si="20"/>
        <v>30</v>
      </c>
      <c r="N266" s="19">
        <f t="shared" si="21"/>
        <v>1</v>
      </c>
      <c r="O266" s="18">
        <f t="shared" si="22"/>
        <v>0</v>
      </c>
      <c r="P266" s="18" t="str">
        <f t="shared" si="23"/>
        <v>OK</v>
      </c>
      <c r="Q266" s="12" t="s">
        <v>175</v>
      </c>
      <c r="R266" s="10">
        <f t="shared" si="24"/>
        <v>0</v>
      </c>
      <c r="S266" s="10">
        <v>0</v>
      </c>
      <c r="T266" s="10">
        <v>0</v>
      </c>
      <c r="U266" s="10">
        <v>0</v>
      </c>
      <c r="V266" s="12"/>
    </row>
    <row r="267" spans="1:22" x14ac:dyDescent="0.25">
      <c r="A267" t="s">
        <v>130</v>
      </c>
      <c r="B267" t="s">
        <v>187</v>
      </c>
      <c r="C267" s="1">
        <v>46327</v>
      </c>
      <c r="D267" t="s">
        <v>174</v>
      </c>
      <c r="E267" s="10">
        <v>30</v>
      </c>
      <c r="F267" s="7">
        <v>1</v>
      </c>
      <c r="G267" s="10">
        <v>0</v>
      </c>
      <c r="H267" s="7">
        <v>0</v>
      </c>
      <c r="I267" s="10">
        <v>0</v>
      </c>
      <c r="J267" s="7">
        <v>0</v>
      </c>
      <c r="K267" s="12">
        <v>0</v>
      </c>
      <c r="L267" s="7">
        <v>0</v>
      </c>
      <c r="M267" s="18">
        <f t="shared" si="20"/>
        <v>30</v>
      </c>
      <c r="N267" s="19">
        <f t="shared" si="21"/>
        <v>1</v>
      </c>
      <c r="O267" s="18">
        <f t="shared" si="22"/>
        <v>0</v>
      </c>
      <c r="P267" s="18" t="str">
        <f t="shared" si="23"/>
        <v>OK</v>
      </c>
      <c r="Q267" s="12" t="s">
        <v>175</v>
      </c>
      <c r="R267" s="10">
        <f t="shared" si="24"/>
        <v>0</v>
      </c>
      <c r="S267" s="10">
        <v>0</v>
      </c>
      <c r="T267" s="10">
        <v>0</v>
      </c>
      <c r="U267" s="10">
        <v>0</v>
      </c>
      <c r="V267" s="12"/>
    </row>
    <row r="268" spans="1:22" x14ac:dyDescent="0.25">
      <c r="A268" t="s">
        <v>130</v>
      </c>
      <c r="B268" t="s">
        <v>188</v>
      </c>
      <c r="C268" s="1">
        <v>46357</v>
      </c>
      <c r="D268" t="s">
        <v>182</v>
      </c>
      <c r="E268" s="10">
        <v>30</v>
      </c>
      <c r="F268" s="7">
        <v>1</v>
      </c>
      <c r="G268" s="10">
        <v>0</v>
      </c>
      <c r="H268" s="7">
        <v>0</v>
      </c>
      <c r="I268" s="10">
        <v>0</v>
      </c>
      <c r="J268" s="7">
        <v>0</v>
      </c>
      <c r="K268" s="12">
        <v>0</v>
      </c>
      <c r="L268" s="7">
        <v>0</v>
      </c>
      <c r="M268" s="18">
        <f t="shared" si="20"/>
        <v>30</v>
      </c>
      <c r="N268" s="19">
        <f t="shared" si="21"/>
        <v>1</v>
      </c>
      <c r="O268" s="18">
        <f t="shared" si="22"/>
        <v>0</v>
      </c>
      <c r="P268" s="18" t="str">
        <f t="shared" si="23"/>
        <v>OK</v>
      </c>
      <c r="Q268" s="12" t="s">
        <v>175</v>
      </c>
      <c r="R268" s="10">
        <f t="shared" si="24"/>
        <v>0</v>
      </c>
      <c r="S268" s="10">
        <v>0</v>
      </c>
      <c r="T268" s="10">
        <v>0</v>
      </c>
      <c r="U268" s="10">
        <v>0</v>
      </c>
      <c r="V268" s="12"/>
    </row>
    <row r="269" spans="1:22" x14ac:dyDescent="0.25">
      <c r="A269" t="s">
        <v>130</v>
      </c>
      <c r="B269" t="s">
        <v>189</v>
      </c>
      <c r="C269" s="1">
        <v>46357</v>
      </c>
      <c r="D269" t="s">
        <v>174</v>
      </c>
      <c r="E269" s="10">
        <v>30</v>
      </c>
      <c r="F269" s="7">
        <v>1</v>
      </c>
      <c r="G269" s="10">
        <v>0</v>
      </c>
      <c r="H269" s="7">
        <v>0</v>
      </c>
      <c r="I269" s="10">
        <v>0</v>
      </c>
      <c r="J269" s="7">
        <v>0</v>
      </c>
      <c r="K269" s="12">
        <v>0</v>
      </c>
      <c r="L269" s="7">
        <v>0</v>
      </c>
      <c r="M269" s="18">
        <f t="shared" si="20"/>
        <v>30</v>
      </c>
      <c r="N269" s="19">
        <f t="shared" si="21"/>
        <v>1</v>
      </c>
      <c r="O269" s="18">
        <f t="shared" si="22"/>
        <v>0</v>
      </c>
      <c r="P269" s="18" t="str">
        <f t="shared" si="23"/>
        <v>OK</v>
      </c>
      <c r="Q269" s="12" t="s">
        <v>175</v>
      </c>
      <c r="R269" s="10">
        <f t="shared" si="24"/>
        <v>0</v>
      </c>
      <c r="S269" s="10">
        <v>0</v>
      </c>
      <c r="T269" s="10">
        <v>0</v>
      </c>
      <c r="U269" s="10">
        <v>0</v>
      </c>
      <c r="V269" s="12"/>
    </row>
    <row r="270" spans="1:22" x14ac:dyDescent="0.25">
      <c r="A270" t="s">
        <v>132</v>
      </c>
      <c r="B270" t="s">
        <v>173</v>
      </c>
      <c r="C270" s="1">
        <v>46023</v>
      </c>
      <c r="D270" t="s">
        <v>174</v>
      </c>
      <c r="E270" s="10">
        <v>30</v>
      </c>
      <c r="F270" s="7">
        <v>1</v>
      </c>
      <c r="G270" s="10">
        <v>0</v>
      </c>
      <c r="H270" s="7">
        <v>0</v>
      </c>
      <c r="I270" s="10">
        <v>0</v>
      </c>
      <c r="J270" s="7">
        <v>0</v>
      </c>
      <c r="K270" s="12">
        <v>0</v>
      </c>
      <c r="L270" s="7">
        <v>0</v>
      </c>
      <c r="M270" s="18">
        <f t="shared" si="20"/>
        <v>30</v>
      </c>
      <c r="N270" s="19">
        <f t="shared" si="21"/>
        <v>1</v>
      </c>
      <c r="O270" s="18">
        <f t="shared" si="22"/>
        <v>0</v>
      </c>
      <c r="P270" s="18" t="str">
        <f t="shared" si="23"/>
        <v>OK</v>
      </c>
      <c r="Q270" s="12" t="s">
        <v>175</v>
      </c>
      <c r="R270" s="10">
        <f t="shared" si="24"/>
        <v>0</v>
      </c>
      <c r="S270" s="10">
        <v>0</v>
      </c>
      <c r="T270" s="10">
        <v>0</v>
      </c>
      <c r="U270" s="10">
        <v>0</v>
      </c>
      <c r="V270" s="12"/>
    </row>
    <row r="271" spans="1:22" x14ac:dyDescent="0.25">
      <c r="A271" t="s">
        <v>132</v>
      </c>
      <c r="B271" t="s">
        <v>176</v>
      </c>
      <c r="C271" s="1">
        <v>46054</v>
      </c>
      <c r="D271" t="s">
        <v>174</v>
      </c>
      <c r="E271" s="10">
        <v>30</v>
      </c>
      <c r="F271" s="7">
        <v>1</v>
      </c>
      <c r="G271" s="10">
        <v>0</v>
      </c>
      <c r="H271" s="7">
        <v>0</v>
      </c>
      <c r="I271" s="10">
        <v>0</v>
      </c>
      <c r="J271" s="7">
        <v>0</v>
      </c>
      <c r="K271" s="12">
        <v>0</v>
      </c>
      <c r="L271" s="7">
        <v>0</v>
      </c>
      <c r="M271" s="18">
        <f t="shared" si="20"/>
        <v>30</v>
      </c>
      <c r="N271" s="19">
        <f t="shared" si="21"/>
        <v>1</v>
      </c>
      <c r="O271" s="18">
        <f t="shared" si="22"/>
        <v>0</v>
      </c>
      <c r="P271" s="18" t="str">
        <f t="shared" si="23"/>
        <v>OK</v>
      </c>
      <c r="Q271" s="12" t="s">
        <v>175</v>
      </c>
      <c r="R271" s="10">
        <f t="shared" si="24"/>
        <v>0</v>
      </c>
      <c r="S271" s="10">
        <v>0</v>
      </c>
      <c r="T271" s="10">
        <v>0</v>
      </c>
      <c r="U271" s="10">
        <v>0</v>
      </c>
      <c r="V271" s="12"/>
    </row>
    <row r="272" spans="1:22" x14ac:dyDescent="0.25">
      <c r="A272" t="s">
        <v>132</v>
      </c>
      <c r="B272" t="s">
        <v>177</v>
      </c>
      <c r="C272" s="1">
        <v>46082</v>
      </c>
      <c r="D272" t="s">
        <v>174</v>
      </c>
      <c r="E272" s="10">
        <v>30</v>
      </c>
      <c r="F272" s="7">
        <v>1</v>
      </c>
      <c r="G272" s="10">
        <v>0</v>
      </c>
      <c r="H272" s="7">
        <v>0</v>
      </c>
      <c r="I272" s="10">
        <v>0</v>
      </c>
      <c r="J272" s="7">
        <v>0</v>
      </c>
      <c r="K272" s="12">
        <v>0</v>
      </c>
      <c r="L272" s="7">
        <v>0</v>
      </c>
      <c r="M272" s="18">
        <f t="shared" si="20"/>
        <v>30</v>
      </c>
      <c r="N272" s="19">
        <f t="shared" si="21"/>
        <v>1</v>
      </c>
      <c r="O272" s="18">
        <f t="shared" si="22"/>
        <v>0</v>
      </c>
      <c r="P272" s="18" t="str">
        <f t="shared" si="23"/>
        <v>OK</v>
      </c>
      <c r="Q272" s="12" t="s">
        <v>175</v>
      </c>
      <c r="R272" s="10">
        <f t="shared" si="24"/>
        <v>0</v>
      </c>
      <c r="S272" s="10">
        <v>0</v>
      </c>
      <c r="T272" s="10">
        <v>0</v>
      </c>
      <c r="U272" s="10">
        <v>0</v>
      </c>
      <c r="V272" s="12"/>
    </row>
    <row r="273" spans="1:22" x14ac:dyDescent="0.25">
      <c r="A273" t="s">
        <v>132</v>
      </c>
      <c r="B273" t="s">
        <v>178</v>
      </c>
      <c r="C273" s="1">
        <v>46113</v>
      </c>
      <c r="D273" t="s">
        <v>174</v>
      </c>
      <c r="E273" s="10">
        <v>30</v>
      </c>
      <c r="F273" s="7">
        <v>1</v>
      </c>
      <c r="G273" s="10">
        <v>0</v>
      </c>
      <c r="H273" s="7">
        <v>0</v>
      </c>
      <c r="I273" s="10">
        <v>0</v>
      </c>
      <c r="J273" s="7">
        <v>0</v>
      </c>
      <c r="K273" s="12">
        <v>0</v>
      </c>
      <c r="L273" s="7">
        <v>0</v>
      </c>
      <c r="M273" s="18">
        <f t="shared" si="20"/>
        <v>30</v>
      </c>
      <c r="N273" s="19">
        <f t="shared" si="21"/>
        <v>1</v>
      </c>
      <c r="O273" s="18">
        <f t="shared" si="22"/>
        <v>0</v>
      </c>
      <c r="P273" s="18" t="str">
        <f t="shared" si="23"/>
        <v>OK</v>
      </c>
      <c r="Q273" s="12" t="s">
        <v>175</v>
      </c>
      <c r="R273" s="10">
        <f t="shared" si="24"/>
        <v>0</v>
      </c>
      <c r="S273" s="10">
        <v>0</v>
      </c>
      <c r="T273" s="10">
        <v>0</v>
      </c>
      <c r="U273" s="10">
        <v>0</v>
      </c>
      <c r="V273" s="12"/>
    </row>
    <row r="274" spans="1:22" x14ac:dyDescent="0.25">
      <c r="A274" t="s">
        <v>132</v>
      </c>
      <c r="B274" t="s">
        <v>179</v>
      </c>
      <c r="C274" s="1">
        <v>46143</v>
      </c>
      <c r="D274" t="s">
        <v>174</v>
      </c>
      <c r="E274" s="10">
        <v>30</v>
      </c>
      <c r="F274" s="7">
        <v>1</v>
      </c>
      <c r="G274" s="10">
        <v>0</v>
      </c>
      <c r="H274" s="7">
        <v>0</v>
      </c>
      <c r="I274" s="10">
        <v>0</v>
      </c>
      <c r="J274" s="7">
        <v>0</v>
      </c>
      <c r="K274" s="12">
        <v>0</v>
      </c>
      <c r="L274" s="7">
        <v>0</v>
      </c>
      <c r="M274" s="18">
        <f t="shared" si="20"/>
        <v>30</v>
      </c>
      <c r="N274" s="19">
        <f t="shared" si="21"/>
        <v>1</v>
      </c>
      <c r="O274" s="18">
        <f t="shared" si="22"/>
        <v>0</v>
      </c>
      <c r="P274" s="18" t="str">
        <f t="shared" si="23"/>
        <v>OK</v>
      </c>
      <c r="Q274" s="12" t="s">
        <v>175</v>
      </c>
      <c r="R274" s="10">
        <f t="shared" si="24"/>
        <v>0</v>
      </c>
      <c r="S274" s="10">
        <v>0</v>
      </c>
      <c r="T274" s="10">
        <v>0</v>
      </c>
      <c r="U274" s="10">
        <v>0</v>
      </c>
      <c r="V274" s="12"/>
    </row>
    <row r="275" spans="1:22" x14ac:dyDescent="0.25">
      <c r="A275" t="s">
        <v>132</v>
      </c>
      <c r="B275" t="s">
        <v>180</v>
      </c>
      <c r="C275" s="1">
        <v>46174</v>
      </c>
      <c r="D275" t="s">
        <v>174</v>
      </c>
      <c r="E275" s="10">
        <v>30</v>
      </c>
      <c r="F275" s="7">
        <v>1</v>
      </c>
      <c r="G275" s="10">
        <v>0</v>
      </c>
      <c r="H275" s="7">
        <v>0</v>
      </c>
      <c r="I275" s="10">
        <v>0</v>
      </c>
      <c r="J275" s="7">
        <v>0</v>
      </c>
      <c r="K275" s="12">
        <v>0</v>
      </c>
      <c r="L275" s="7">
        <v>0</v>
      </c>
      <c r="M275" s="18">
        <f t="shared" si="20"/>
        <v>30</v>
      </c>
      <c r="N275" s="19">
        <f t="shared" si="21"/>
        <v>1</v>
      </c>
      <c r="O275" s="18">
        <f t="shared" si="22"/>
        <v>0</v>
      </c>
      <c r="P275" s="18" t="str">
        <f t="shared" si="23"/>
        <v>OK</v>
      </c>
      <c r="Q275" s="12" t="s">
        <v>175</v>
      </c>
      <c r="R275" s="10">
        <f t="shared" si="24"/>
        <v>0</v>
      </c>
      <c r="S275" s="10">
        <v>0</v>
      </c>
      <c r="T275" s="10">
        <v>0</v>
      </c>
      <c r="U275" s="10">
        <v>0</v>
      </c>
      <c r="V275" s="12"/>
    </row>
    <row r="276" spans="1:22" x14ac:dyDescent="0.25">
      <c r="A276" t="s">
        <v>132</v>
      </c>
      <c r="B276" t="s">
        <v>181</v>
      </c>
      <c r="C276" s="1">
        <v>46204</v>
      </c>
      <c r="D276" t="s">
        <v>182</v>
      </c>
      <c r="E276" s="10">
        <v>30</v>
      </c>
      <c r="F276" s="7">
        <v>1</v>
      </c>
      <c r="G276" s="10">
        <v>0</v>
      </c>
      <c r="H276" s="7">
        <v>0</v>
      </c>
      <c r="I276" s="10">
        <v>0</v>
      </c>
      <c r="J276" s="7">
        <v>0</v>
      </c>
      <c r="K276" s="12">
        <v>0</v>
      </c>
      <c r="L276" s="7">
        <v>0</v>
      </c>
      <c r="M276" s="18">
        <f t="shared" si="20"/>
        <v>30</v>
      </c>
      <c r="N276" s="19">
        <f t="shared" si="21"/>
        <v>1</v>
      </c>
      <c r="O276" s="18">
        <f t="shared" si="22"/>
        <v>0</v>
      </c>
      <c r="P276" s="18" t="str">
        <f t="shared" si="23"/>
        <v>OK</v>
      </c>
      <c r="Q276" s="12" t="s">
        <v>175</v>
      </c>
      <c r="R276" s="10">
        <f t="shared" si="24"/>
        <v>0</v>
      </c>
      <c r="S276" s="10">
        <v>0</v>
      </c>
      <c r="T276" s="10">
        <v>0</v>
      </c>
      <c r="U276" s="10">
        <v>0</v>
      </c>
      <c r="V276" s="12"/>
    </row>
    <row r="277" spans="1:22" x14ac:dyDescent="0.25">
      <c r="A277" t="s">
        <v>132</v>
      </c>
      <c r="B277" t="s">
        <v>183</v>
      </c>
      <c r="C277" s="1">
        <v>46204</v>
      </c>
      <c r="D277" t="s">
        <v>174</v>
      </c>
      <c r="E277" s="10">
        <v>30</v>
      </c>
      <c r="F277" s="7">
        <v>1</v>
      </c>
      <c r="G277" s="10">
        <v>0</v>
      </c>
      <c r="H277" s="7">
        <v>0</v>
      </c>
      <c r="I277" s="10">
        <v>0</v>
      </c>
      <c r="J277" s="7">
        <v>0</v>
      </c>
      <c r="K277" s="12">
        <v>0</v>
      </c>
      <c r="L277" s="7">
        <v>0</v>
      </c>
      <c r="M277" s="18">
        <f t="shared" si="20"/>
        <v>30</v>
      </c>
      <c r="N277" s="19">
        <f t="shared" si="21"/>
        <v>1</v>
      </c>
      <c r="O277" s="18">
        <f t="shared" si="22"/>
        <v>0</v>
      </c>
      <c r="P277" s="18" t="str">
        <f t="shared" si="23"/>
        <v>OK</v>
      </c>
      <c r="Q277" s="12" t="s">
        <v>175</v>
      </c>
      <c r="R277" s="10">
        <f t="shared" si="24"/>
        <v>0</v>
      </c>
      <c r="S277" s="10">
        <v>0</v>
      </c>
      <c r="T277" s="10">
        <v>0</v>
      </c>
      <c r="U277" s="10">
        <v>0</v>
      </c>
      <c r="V277" s="12"/>
    </row>
    <row r="278" spans="1:22" x14ac:dyDescent="0.25">
      <c r="A278" t="s">
        <v>132</v>
      </c>
      <c r="B278" t="s">
        <v>184</v>
      </c>
      <c r="C278" s="1">
        <v>46235</v>
      </c>
      <c r="D278" t="s">
        <v>174</v>
      </c>
      <c r="E278" s="10">
        <v>30</v>
      </c>
      <c r="F278" s="7">
        <v>1</v>
      </c>
      <c r="G278" s="10">
        <v>0</v>
      </c>
      <c r="H278" s="7">
        <v>0</v>
      </c>
      <c r="I278" s="10">
        <v>0</v>
      </c>
      <c r="J278" s="7">
        <v>0</v>
      </c>
      <c r="K278" s="12">
        <v>0</v>
      </c>
      <c r="L278" s="7">
        <v>0</v>
      </c>
      <c r="M278" s="18">
        <f t="shared" si="20"/>
        <v>30</v>
      </c>
      <c r="N278" s="19">
        <f t="shared" si="21"/>
        <v>1</v>
      </c>
      <c r="O278" s="18">
        <f t="shared" si="22"/>
        <v>0</v>
      </c>
      <c r="P278" s="18" t="str">
        <f t="shared" si="23"/>
        <v>OK</v>
      </c>
      <c r="Q278" s="12" t="s">
        <v>175</v>
      </c>
      <c r="R278" s="10">
        <f t="shared" si="24"/>
        <v>0</v>
      </c>
      <c r="S278" s="10">
        <v>0</v>
      </c>
      <c r="T278" s="10">
        <v>0</v>
      </c>
      <c r="U278" s="10">
        <v>0</v>
      </c>
      <c r="V278" s="12"/>
    </row>
    <row r="279" spans="1:22" x14ac:dyDescent="0.25">
      <c r="A279" t="s">
        <v>132</v>
      </c>
      <c r="B279" t="s">
        <v>185</v>
      </c>
      <c r="C279" s="1">
        <v>46266</v>
      </c>
      <c r="D279" t="s">
        <v>174</v>
      </c>
      <c r="E279" s="10">
        <v>30</v>
      </c>
      <c r="F279" s="7">
        <v>1</v>
      </c>
      <c r="G279" s="10">
        <v>0</v>
      </c>
      <c r="H279" s="7">
        <v>0</v>
      </c>
      <c r="I279" s="10">
        <v>0</v>
      </c>
      <c r="J279" s="7">
        <v>0</v>
      </c>
      <c r="K279" s="12">
        <v>0</v>
      </c>
      <c r="L279" s="7">
        <v>0</v>
      </c>
      <c r="M279" s="18">
        <f t="shared" si="20"/>
        <v>30</v>
      </c>
      <c r="N279" s="19">
        <f t="shared" si="21"/>
        <v>1</v>
      </c>
      <c r="O279" s="18">
        <f t="shared" si="22"/>
        <v>0</v>
      </c>
      <c r="P279" s="18" t="str">
        <f t="shared" si="23"/>
        <v>OK</v>
      </c>
      <c r="Q279" s="12" t="s">
        <v>175</v>
      </c>
      <c r="R279" s="10">
        <f t="shared" si="24"/>
        <v>0</v>
      </c>
      <c r="S279" s="10">
        <v>0</v>
      </c>
      <c r="T279" s="10">
        <v>0</v>
      </c>
      <c r="U279" s="10">
        <v>0</v>
      </c>
      <c r="V279" s="12"/>
    </row>
    <row r="280" spans="1:22" x14ac:dyDescent="0.25">
      <c r="A280" t="s">
        <v>132</v>
      </c>
      <c r="B280" t="s">
        <v>186</v>
      </c>
      <c r="C280" s="1">
        <v>46296</v>
      </c>
      <c r="D280" t="s">
        <v>174</v>
      </c>
      <c r="E280" s="10">
        <v>30</v>
      </c>
      <c r="F280" s="7">
        <v>1</v>
      </c>
      <c r="G280" s="10">
        <v>0</v>
      </c>
      <c r="H280" s="7">
        <v>0</v>
      </c>
      <c r="I280" s="10">
        <v>0</v>
      </c>
      <c r="J280" s="7">
        <v>0</v>
      </c>
      <c r="K280" s="12">
        <v>0</v>
      </c>
      <c r="L280" s="7">
        <v>0</v>
      </c>
      <c r="M280" s="18">
        <f t="shared" si="20"/>
        <v>30</v>
      </c>
      <c r="N280" s="19">
        <f t="shared" si="21"/>
        <v>1</v>
      </c>
      <c r="O280" s="18">
        <f t="shared" si="22"/>
        <v>0</v>
      </c>
      <c r="P280" s="18" t="str">
        <f t="shared" si="23"/>
        <v>OK</v>
      </c>
      <c r="Q280" s="12" t="s">
        <v>175</v>
      </c>
      <c r="R280" s="10">
        <f t="shared" si="24"/>
        <v>0</v>
      </c>
      <c r="S280" s="10">
        <v>0</v>
      </c>
      <c r="T280" s="10">
        <v>0</v>
      </c>
      <c r="U280" s="10">
        <v>0</v>
      </c>
      <c r="V280" s="12"/>
    </row>
    <row r="281" spans="1:22" x14ac:dyDescent="0.25">
      <c r="A281" t="s">
        <v>132</v>
      </c>
      <c r="B281" t="s">
        <v>187</v>
      </c>
      <c r="C281" s="1">
        <v>46327</v>
      </c>
      <c r="D281" t="s">
        <v>174</v>
      </c>
      <c r="E281" s="10">
        <v>30</v>
      </c>
      <c r="F281" s="7">
        <v>1</v>
      </c>
      <c r="G281" s="10">
        <v>0</v>
      </c>
      <c r="H281" s="7">
        <v>0</v>
      </c>
      <c r="I281" s="10">
        <v>0</v>
      </c>
      <c r="J281" s="7">
        <v>0</v>
      </c>
      <c r="K281" s="12">
        <v>0</v>
      </c>
      <c r="L281" s="7">
        <v>0</v>
      </c>
      <c r="M281" s="18">
        <f t="shared" si="20"/>
        <v>30</v>
      </c>
      <c r="N281" s="19">
        <f t="shared" si="21"/>
        <v>1</v>
      </c>
      <c r="O281" s="18">
        <f t="shared" si="22"/>
        <v>0</v>
      </c>
      <c r="P281" s="18" t="str">
        <f t="shared" si="23"/>
        <v>OK</v>
      </c>
      <c r="Q281" s="12" t="s">
        <v>175</v>
      </c>
      <c r="R281" s="10">
        <f t="shared" si="24"/>
        <v>0</v>
      </c>
      <c r="S281" s="10">
        <v>0</v>
      </c>
      <c r="T281" s="10">
        <v>0</v>
      </c>
      <c r="U281" s="10">
        <v>0</v>
      </c>
      <c r="V281" s="12"/>
    </row>
    <row r="282" spans="1:22" x14ac:dyDescent="0.25">
      <c r="A282" t="s">
        <v>132</v>
      </c>
      <c r="B282" t="s">
        <v>188</v>
      </c>
      <c r="C282" s="1">
        <v>46357</v>
      </c>
      <c r="D282" t="s">
        <v>182</v>
      </c>
      <c r="E282" s="10">
        <v>30</v>
      </c>
      <c r="F282" s="7">
        <v>1</v>
      </c>
      <c r="G282" s="10">
        <v>0</v>
      </c>
      <c r="H282" s="7">
        <v>0</v>
      </c>
      <c r="I282" s="10">
        <v>0</v>
      </c>
      <c r="J282" s="7">
        <v>0</v>
      </c>
      <c r="K282" s="12">
        <v>0</v>
      </c>
      <c r="L282" s="7">
        <v>0</v>
      </c>
      <c r="M282" s="18">
        <f t="shared" si="20"/>
        <v>30</v>
      </c>
      <c r="N282" s="19">
        <f t="shared" si="21"/>
        <v>1</v>
      </c>
      <c r="O282" s="18">
        <f t="shared" si="22"/>
        <v>0</v>
      </c>
      <c r="P282" s="18" t="str">
        <f t="shared" si="23"/>
        <v>OK</v>
      </c>
      <c r="Q282" s="12" t="s">
        <v>175</v>
      </c>
      <c r="R282" s="10">
        <f t="shared" si="24"/>
        <v>0</v>
      </c>
      <c r="S282" s="10">
        <v>0</v>
      </c>
      <c r="T282" s="10">
        <v>0</v>
      </c>
      <c r="U282" s="10">
        <v>0</v>
      </c>
      <c r="V282" s="12"/>
    </row>
    <row r="283" spans="1:22" x14ac:dyDescent="0.25">
      <c r="A283" t="s">
        <v>132</v>
      </c>
      <c r="B283" t="s">
        <v>189</v>
      </c>
      <c r="C283" s="1">
        <v>46357</v>
      </c>
      <c r="D283" t="s">
        <v>174</v>
      </c>
      <c r="E283" s="10">
        <v>30</v>
      </c>
      <c r="F283" s="7">
        <v>1</v>
      </c>
      <c r="G283" s="10">
        <v>0</v>
      </c>
      <c r="H283" s="7">
        <v>0</v>
      </c>
      <c r="I283" s="10">
        <v>0</v>
      </c>
      <c r="J283" s="7">
        <v>0</v>
      </c>
      <c r="K283" s="12">
        <v>0</v>
      </c>
      <c r="L283" s="7">
        <v>0</v>
      </c>
      <c r="M283" s="18">
        <f t="shared" si="20"/>
        <v>30</v>
      </c>
      <c r="N283" s="19">
        <f t="shared" si="21"/>
        <v>1</v>
      </c>
      <c r="O283" s="18">
        <f t="shared" si="22"/>
        <v>0</v>
      </c>
      <c r="P283" s="18" t="str">
        <f t="shared" si="23"/>
        <v>OK</v>
      </c>
      <c r="Q283" s="12" t="s">
        <v>175</v>
      </c>
      <c r="R283" s="10">
        <f t="shared" si="24"/>
        <v>0</v>
      </c>
      <c r="S283" s="10">
        <v>0</v>
      </c>
      <c r="T283" s="10">
        <v>0</v>
      </c>
      <c r="U283" s="10">
        <v>0</v>
      </c>
      <c r="V283" s="12"/>
    </row>
    <row r="284" spans="1:22" x14ac:dyDescent="0.25">
      <c r="A284" t="s">
        <v>134</v>
      </c>
      <c r="B284" t="s">
        <v>173</v>
      </c>
      <c r="C284" s="1">
        <v>46023</v>
      </c>
      <c r="D284" t="s">
        <v>174</v>
      </c>
      <c r="E284" s="10">
        <v>30</v>
      </c>
      <c r="F284" s="7">
        <v>1</v>
      </c>
      <c r="G284" s="10">
        <v>0</v>
      </c>
      <c r="H284" s="7">
        <v>0</v>
      </c>
      <c r="I284" s="10">
        <v>0</v>
      </c>
      <c r="J284" s="7">
        <v>0</v>
      </c>
      <c r="K284" s="12">
        <v>0</v>
      </c>
      <c r="L284" s="7">
        <v>0</v>
      </c>
      <c r="M284" s="18">
        <f t="shared" si="20"/>
        <v>30</v>
      </c>
      <c r="N284" s="19">
        <f t="shared" si="21"/>
        <v>1</v>
      </c>
      <c r="O284" s="18">
        <f t="shared" si="22"/>
        <v>0</v>
      </c>
      <c r="P284" s="18" t="str">
        <f t="shared" si="23"/>
        <v>OK</v>
      </c>
      <c r="Q284" s="12" t="s">
        <v>175</v>
      </c>
      <c r="R284" s="10">
        <f t="shared" si="24"/>
        <v>0</v>
      </c>
      <c r="S284" s="10">
        <v>0</v>
      </c>
      <c r="T284" s="10">
        <v>0</v>
      </c>
      <c r="U284" s="10">
        <v>0</v>
      </c>
      <c r="V284" s="12"/>
    </row>
    <row r="285" spans="1:22" x14ac:dyDescent="0.25">
      <c r="A285" t="s">
        <v>134</v>
      </c>
      <c r="B285" t="s">
        <v>176</v>
      </c>
      <c r="C285" s="1">
        <v>46054</v>
      </c>
      <c r="D285" t="s">
        <v>174</v>
      </c>
      <c r="E285" s="10">
        <v>30</v>
      </c>
      <c r="F285" s="7">
        <v>1</v>
      </c>
      <c r="G285" s="10">
        <v>0</v>
      </c>
      <c r="H285" s="7">
        <v>0</v>
      </c>
      <c r="I285" s="10">
        <v>0</v>
      </c>
      <c r="J285" s="7">
        <v>0</v>
      </c>
      <c r="K285" s="12">
        <v>0</v>
      </c>
      <c r="L285" s="7">
        <v>0</v>
      </c>
      <c r="M285" s="18">
        <f t="shared" si="20"/>
        <v>30</v>
      </c>
      <c r="N285" s="19">
        <f t="shared" si="21"/>
        <v>1</v>
      </c>
      <c r="O285" s="18">
        <f t="shared" si="22"/>
        <v>0</v>
      </c>
      <c r="P285" s="18" t="str">
        <f t="shared" si="23"/>
        <v>OK</v>
      </c>
      <c r="Q285" s="12" t="s">
        <v>175</v>
      </c>
      <c r="R285" s="10">
        <f t="shared" si="24"/>
        <v>0</v>
      </c>
      <c r="S285" s="10">
        <v>0</v>
      </c>
      <c r="T285" s="10">
        <v>0</v>
      </c>
      <c r="U285" s="10">
        <v>0</v>
      </c>
      <c r="V285" s="12"/>
    </row>
    <row r="286" spans="1:22" x14ac:dyDescent="0.25">
      <c r="A286" t="s">
        <v>134</v>
      </c>
      <c r="B286" t="s">
        <v>177</v>
      </c>
      <c r="C286" s="1">
        <v>46082</v>
      </c>
      <c r="D286" t="s">
        <v>174</v>
      </c>
      <c r="E286" s="10">
        <v>30</v>
      </c>
      <c r="F286" s="7">
        <v>1</v>
      </c>
      <c r="G286" s="10">
        <v>0</v>
      </c>
      <c r="H286" s="7">
        <v>0</v>
      </c>
      <c r="I286" s="10">
        <v>0</v>
      </c>
      <c r="J286" s="7">
        <v>0</v>
      </c>
      <c r="K286" s="12">
        <v>0</v>
      </c>
      <c r="L286" s="7">
        <v>0</v>
      </c>
      <c r="M286" s="18">
        <f t="shared" si="20"/>
        <v>30</v>
      </c>
      <c r="N286" s="19">
        <f t="shared" si="21"/>
        <v>1</v>
      </c>
      <c r="O286" s="18">
        <f t="shared" si="22"/>
        <v>0</v>
      </c>
      <c r="P286" s="18" t="str">
        <f t="shared" si="23"/>
        <v>OK</v>
      </c>
      <c r="Q286" s="12" t="s">
        <v>175</v>
      </c>
      <c r="R286" s="10">
        <f t="shared" si="24"/>
        <v>0</v>
      </c>
      <c r="S286" s="10">
        <v>0</v>
      </c>
      <c r="T286" s="10">
        <v>0</v>
      </c>
      <c r="U286" s="10">
        <v>0</v>
      </c>
      <c r="V286" s="12"/>
    </row>
    <row r="287" spans="1:22" x14ac:dyDescent="0.25">
      <c r="A287" t="s">
        <v>134</v>
      </c>
      <c r="B287" t="s">
        <v>178</v>
      </c>
      <c r="C287" s="1">
        <v>46113</v>
      </c>
      <c r="D287" t="s">
        <v>174</v>
      </c>
      <c r="E287" s="10">
        <v>30</v>
      </c>
      <c r="F287" s="7">
        <v>1</v>
      </c>
      <c r="G287" s="10">
        <v>0</v>
      </c>
      <c r="H287" s="7">
        <v>0</v>
      </c>
      <c r="I287" s="10">
        <v>0</v>
      </c>
      <c r="J287" s="7">
        <v>0</v>
      </c>
      <c r="K287" s="12">
        <v>0</v>
      </c>
      <c r="L287" s="7">
        <v>0</v>
      </c>
      <c r="M287" s="18">
        <f t="shared" si="20"/>
        <v>30</v>
      </c>
      <c r="N287" s="19">
        <f t="shared" si="21"/>
        <v>1</v>
      </c>
      <c r="O287" s="18">
        <f t="shared" si="22"/>
        <v>0</v>
      </c>
      <c r="P287" s="18" t="str">
        <f t="shared" si="23"/>
        <v>OK</v>
      </c>
      <c r="Q287" s="12" t="s">
        <v>175</v>
      </c>
      <c r="R287" s="10">
        <f t="shared" si="24"/>
        <v>0</v>
      </c>
      <c r="S287" s="10">
        <v>0</v>
      </c>
      <c r="T287" s="10">
        <v>0</v>
      </c>
      <c r="U287" s="10">
        <v>0</v>
      </c>
      <c r="V287" s="12"/>
    </row>
    <row r="288" spans="1:22" x14ac:dyDescent="0.25">
      <c r="A288" t="s">
        <v>134</v>
      </c>
      <c r="B288" t="s">
        <v>179</v>
      </c>
      <c r="C288" s="1">
        <v>46143</v>
      </c>
      <c r="D288" t="s">
        <v>174</v>
      </c>
      <c r="E288" s="10">
        <v>30</v>
      </c>
      <c r="F288" s="7">
        <v>1</v>
      </c>
      <c r="G288" s="10">
        <v>0</v>
      </c>
      <c r="H288" s="7">
        <v>0</v>
      </c>
      <c r="I288" s="10">
        <v>0</v>
      </c>
      <c r="J288" s="7">
        <v>0</v>
      </c>
      <c r="K288" s="12">
        <v>0</v>
      </c>
      <c r="L288" s="7">
        <v>0</v>
      </c>
      <c r="M288" s="18">
        <f t="shared" si="20"/>
        <v>30</v>
      </c>
      <c r="N288" s="19">
        <f t="shared" si="21"/>
        <v>1</v>
      </c>
      <c r="O288" s="18">
        <f t="shared" si="22"/>
        <v>0</v>
      </c>
      <c r="P288" s="18" t="str">
        <f t="shared" si="23"/>
        <v>OK</v>
      </c>
      <c r="Q288" s="12" t="s">
        <v>175</v>
      </c>
      <c r="R288" s="10">
        <f t="shared" si="24"/>
        <v>0</v>
      </c>
      <c r="S288" s="10">
        <v>0</v>
      </c>
      <c r="T288" s="10">
        <v>0</v>
      </c>
      <c r="U288" s="10">
        <v>0</v>
      </c>
      <c r="V288" s="12"/>
    </row>
    <row r="289" spans="1:22" x14ac:dyDescent="0.25">
      <c r="A289" t="s">
        <v>134</v>
      </c>
      <c r="B289" t="s">
        <v>180</v>
      </c>
      <c r="C289" s="1">
        <v>46174</v>
      </c>
      <c r="D289" t="s">
        <v>174</v>
      </c>
      <c r="E289" s="10">
        <v>30</v>
      </c>
      <c r="F289" s="7">
        <v>1</v>
      </c>
      <c r="G289" s="10">
        <v>0</v>
      </c>
      <c r="H289" s="7">
        <v>0</v>
      </c>
      <c r="I289" s="10">
        <v>0</v>
      </c>
      <c r="J289" s="7">
        <v>0</v>
      </c>
      <c r="K289" s="12">
        <v>0</v>
      </c>
      <c r="L289" s="7">
        <v>0</v>
      </c>
      <c r="M289" s="18">
        <f t="shared" si="20"/>
        <v>30</v>
      </c>
      <c r="N289" s="19">
        <f t="shared" si="21"/>
        <v>1</v>
      </c>
      <c r="O289" s="18">
        <f t="shared" si="22"/>
        <v>0</v>
      </c>
      <c r="P289" s="18" t="str">
        <f t="shared" si="23"/>
        <v>OK</v>
      </c>
      <c r="Q289" s="12" t="s">
        <v>175</v>
      </c>
      <c r="R289" s="10">
        <f t="shared" si="24"/>
        <v>0</v>
      </c>
      <c r="S289" s="10">
        <v>0</v>
      </c>
      <c r="T289" s="10">
        <v>0</v>
      </c>
      <c r="U289" s="10">
        <v>0</v>
      </c>
      <c r="V289" s="12"/>
    </row>
    <row r="290" spans="1:22" x14ac:dyDescent="0.25">
      <c r="A290" t="s">
        <v>134</v>
      </c>
      <c r="B290" t="s">
        <v>181</v>
      </c>
      <c r="C290" s="1">
        <v>46204</v>
      </c>
      <c r="D290" t="s">
        <v>182</v>
      </c>
      <c r="E290" s="10">
        <v>30</v>
      </c>
      <c r="F290" s="7">
        <v>1</v>
      </c>
      <c r="G290" s="10">
        <v>0</v>
      </c>
      <c r="H290" s="7">
        <v>0</v>
      </c>
      <c r="I290" s="10">
        <v>0</v>
      </c>
      <c r="J290" s="7">
        <v>0</v>
      </c>
      <c r="K290" s="12">
        <v>0</v>
      </c>
      <c r="L290" s="7">
        <v>0</v>
      </c>
      <c r="M290" s="18">
        <f t="shared" si="20"/>
        <v>30</v>
      </c>
      <c r="N290" s="19">
        <f t="shared" si="21"/>
        <v>1</v>
      </c>
      <c r="O290" s="18">
        <f t="shared" si="22"/>
        <v>0</v>
      </c>
      <c r="P290" s="18" t="str">
        <f t="shared" si="23"/>
        <v>OK</v>
      </c>
      <c r="Q290" s="12" t="s">
        <v>175</v>
      </c>
      <c r="R290" s="10">
        <f t="shared" si="24"/>
        <v>0</v>
      </c>
      <c r="S290" s="10">
        <v>0</v>
      </c>
      <c r="T290" s="10">
        <v>0</v>
      </c>
      <c r="U290" s="10">
        <v>0</v>
      </c>
      <c r="V290" s="12"/>
    </row>
    <row r="291" spans="1:22" x14ac:dyDescent="0.25">
      <c r="A291" t="s">
        <v>134</v>
      </c>
      <c r="B291" t="s">
        <v>183</v>
      </c>
      <c r="C291" s="1">
        <v>46204</v>
      </c>
      <c r="D291" t="s">
        <v>174</v>
      </c>
      <c r="E291" s="10">
        <v>30</v>
      </c>
      <c r="F291" s="7">
        <v>1</v>
      </c>
      <c r="G291" s="10">
        <v>0</v>
      </c>
      <c r="H291" s="7">
        <v>0</v>
      </c>
      <c r="I291" s="10">
        <v>0</v>
      </c>
      <c r="J291" s="7">
        <v>0</v>
      </c>
      <c r="K291" s="12">
        <v>0</v>
      </c>
      <c r="L291" s="7">
        <v>0</v>
      </c>
      <c r="M291" s="18">
        <f t="shared" si="20"/>
        <v>30</v>
      </c>
      <c r="N291" s="19">
        <f t="shared" si="21"/>
        <v>1</v>
      </c>
      <c r="O291" s="18">
        <f t="shared" si="22"/>
        <v>0</v>
      </c>
      <c r="P291" s="18" t="str">
        <f t="shared" si="23"/>
        <v>OK</v>
      </c>
      <c r="Q291" s="12" t="s">
        <v>175</v>
      </c>
      <c r="R291" s="10">
        <f t="shared" si="24"/>
        <v>0</v>
      </c>
      <c r="S291" s="10">
        <v>0</v>
      </c>
      <c r="T291" s="10">
        <v>0</v>
      </c>
      <c r="U291" s="10">
        <v>0</v>
      </c>
      <c r="V291" s="12"/>
    </row>
    <row r="292" spans="1:22" x14ac:dyDescent="0.25">
      <c r="A292" t="s">
        <v>134</v>
      </c>
      <c r="B292" t="s">
        <v>184</v>
      </c>
      <c r="C292" s="1">
        <v>46235</v>
      </c>
      <c r="D292" t="s">
        <v>174</v>
      </c>
      <c r="E292" s="10">
        <v>30</v>
      </c>
      <c r="F292" s="7">
        <v>1</v>
      </c>
      <c r="G292" s="10">
        <v>0</v>
      </c>
      <c r="H292" s="7">
        <v>0</v>
      </c>
      <c r="I292" s="10">
        <v>0</v>
      </c>
      <c r="J292" s="7">
        <v>0</v>
      </c>
      <c r="K292" s="12">
        <v>0</v>
      </c>
      <c r="L292" s="7">
        <v>0</v>
      </c>
      <c r="M292" s="18">
        <f t="shared" si="20"/>
        <v>30</v>
      </c>
      <c r="N292" s="19">
        <f t="shared" si="21"/>
        <v>1</v>
      </c>
      <c r="O292" s="18">
        <f t="shared" si="22"/>
        <v>0</v>
      </c>
      <c r="P292" s="18" t="str">
        <f t="shared" si="23"/>
        <v>OK</v>
      </c>
      <c r="Q292" s="12" t="s">
        <v>175</v>
      </c>
      <c r="R292" s="10">
        <f t="shared" si="24"/>
        <v>0</v>
      </c>
      <c r="S292" s="10">
        <v>0</v>
      </c>
      <c r="T292" s="10">
        <v>0</v>
      </c>
      <c r="U292" s="10">
        <v>0</v>
      </c>
      <c r="V292" s="12"/>
    </row>
    <row r="293" spans="1:22" x14ac:dyDescent="0.25">
      <c r="A293" t="s">
        <v>134</v>
      </c>
      <c r="B293" t="s">
        <v>185</v>
      </c>
      <c r="C293" s="1">
        <v>46266</v>
      </c>
      <c r="D293" t="s">
        <v>174</v>
      </c>
      <c r="E293" s="10">
        <v>30</v>
      </c>
      <c r="F293" s="7">
        <v>1</v>
      </c>
      <c r="G293" s="10">
        <v>0</v>
      </c>
      <c r="H293" s="7">
        <v>0</v>
      </c>
      <c r="I293" s="10">
        <v>0</v>
      </c>
      <c r="J293" s="7">
        <v>0</v>
      </c>
      <c r="K293" s="12">
        <v>0</v>
      </c>
      <c r="L293" s="7">
        <v>0</v>
      </c>
      <c r="M293" s="18">
        <f t="shared" si="20"/>
        <v>30</v>
      </c>
      <c r="N293" s="19">
        <f t="shared" si="21"/>
        <v>1</v>
      </c>
      <c r="O293" s="18">
        <f t="shared" si="22"/>
        <v>0</v>
      </c>
      <c r="P293" s="18" t="str">
        <f t="shared" si="23"/>
        <v>OK</v>
      </c>
      <c r="Q293" s="12" t="s">
        <v>175</v>
      </c>
      <c r="R293" s="10">
        <f t="shared" si="24"/>
        <v>0</v>
      </c>
      <c r="S293" s="10">
        <v>0</v>
      </c>
      <c r="T293" s="10">
        <v>0</v>
      </c>
      <c r="U293" s="10">
        <v>0</v>
      </c>
      <c r="V293" s="12"/>
    </row>
    <row r="294" spans="1:22" x14ac:dyDescent="0.25">
      <c r="A294" t="s">
        <v>134</v>
      </c>
      <c r="B294" t="s">
        <v>186</v>
      </c>
      <c r="C294" s="1">
        <v>46296</v>
      </c>
      <c r="D294" t="s">
        <v>174</v>
      </c>
      <c r="E294" s="10">
        <v>30</v>
      </c>
      <c r="F294" s="7">
        <v>1</v>
      </c>
      <c r="G294" s="10">
        <v>0</v>
      </c>
      <c r="H294" s="7">
        <v>0</v>
      </c>
      <c r="I294" s="10">
        <v>0</v>
      </c>
      <c r="J294" s="7">
        <v>0</v>
      </c>
      <c r="K294" s="12">
        <v>0</v>
      </c>
      <c r="L294" s="7">
        <v>0</v>
      </c>
      <c r="M294" s="18">
        <f t="shared" si="20"/>
        <v>30</v>
      </c>
      <c r="N294" s="19">
        <f t="shared" si="21"/>
        <v>1</v>
      </c>
      <c r="O294" s="18">
        <f t="shared" si="22"/>
        <v>0</v>
      </c>
      <c r="P294" s="18" t="str">
        <f t="shared" si="23"/>
        <v>OK</v>
      </c>
      <c r="Q294" s="12" t="s">
        <v>175</v>
      </c>
      <c r="R294" s="10">
        <f t="shared" si="24"/>
        <v>0</v>
      </c>
      <c r="S294" s="10">
        <v>0</v>
      </c>
      <c r="T294" s="10">
        <v>0</v>
      </c>
      <c r="U294" s="10">
        <v>0</v>
      </c>
      <c r="V294" s="12"/>
    </row>
    <row r="295" spans="1:22" x14ac:dyDescent="0.25">
      <c r="A295" t="s">
        <v>134</v>
      </c>
      <c r="B295" t="s">
        <v>187</v>
      </c>
      <c r="C295" s="1">
        <v>46327</v>
      </c>
      <c r="D295" t="s">
        <v>174</v>
      </c>
      <c r="E295" s="10">
        <v>30</v>
      </c>
      <c r="F295" s="7">
        <v>1</v>
      </c>
      <c r="G295" s="10">
        <v>0</v>
      </c>
      <c r="H295" s="7">
        <v>0</v>
      </c>
      <c r="I295" s="10">
        <v>0</v>
      </c>
      <c r="J295" s="7">
        <v>0</v>
      </c>
      <c r="K295" s="12">
        <v>0</v>
      </c>
      <c r="L295" s="7">
        <v>0</v>
      </c>
      <c r="M295" s="18">
        <f t="shared" si="20"/>
        <v>30</v>
      </c>
      <c r="N295" s="19">
        <f t="shared" si="21"/>
        <v>1</v>
      </c>
      <c r="O295" s="18">
        <f t="shared" si="22"/>
        <v>0</v>
      </c>
      <c r="P295" s="18" t="str">
        <f t="shared" si="23"/>
        <v>OK</v>
      </c>
      <c r="Q295" s="12" t="s">
        <v>175</v>
      </c>
      <c r="R295" s="10">
        <f t="shared" si="24"/>
        <v>0</v>
      </c>
      <c r="S295" s="10">
        <v>0</v>
      </c>
      <c r="T295" s="10">
        <v>0</v>
      </c>
      <c r="U295" s="10">
        <v>0</v>
      </c>
      <c r="V295" s="12"/>
    </row>
    <row r="296" spans="1:22" x14ac:dyDescent="0.25">
      <c r="A296" t="s">
        <v>134</v>
      </c>
      <c r="B296" t="s">
        <v>188</v>
      </c>
      <c r="C296" s="1">
        <v>46357</v>
      </c>
      <c r="D296" t="s">
        <v>182</v>
      </c>
      <c r="E296" s="10">
        <v>30</v>
      </c>
      <c r="F296" s="7">
        <v>1</v>
      </c>
      <c r="G296" s="10">
        <v>0</v>
      </c>
      <c r="H296" s="7">
        <v>0</v>
      </c>
      <c r="I296" s="10">
        <v>0</v>
      </c>
      <c r="J296" s="7">
        <v>0</v>
      </c>
      <c r="K296" s="12">
        <v>0</v>
      </c>
      <c r="L296" s="7">
        <v>0</v>
      </c>
      <c r="M296" s="18">
        <f t="shared" si="20"/>
        <v>30</v>
      </c>
      <c r="N296" s="19">
        <f t="shared" si="21"/>
        <v>1</v>
      </c>
      <c r="O296" s="18">
        <f t="shared" si="22"/>
        <v>0</v>
      </c>
      <c r="P296" s="18" t="str">
        <f t="shared" si="23"/>
        <v>OK</v>
      </c>
      <c r="Q296" s="12" t="s">
        <v>175</v>
      </c>
      <c r="R296" s="10">
        <f t="shared" si="24"/>
        <v>0</v>
      </c>
      <c r="S296" s="10">
        <v>0</v>
      </c>
      <c r="T296" s="10">
        <v>0</v>
      </c>
      <c r="U296" s="10">
        <v>0</v>
      </c>
      <c r="V296" s="12"/>
    </row>
    <row r="297" spans="1:22" x14ac:dyDescent="0.25">
      <c r="A297" t="s">
        <v>134</v>
      </c>
      <c r="B297" t="s">
        <v>189</v>
      </c>
      <c r="C297" s="1">
        <v>46357</v>
      </c>
      <c r="D297" t="s">
        <v>174</v>
      </c>
      <c r="E297" s="10">
        <v>30</v>
      </c>
      <c r="F297" s="7">
        <v>1</v>
      </c>
      <c r="G297" s="10">
        <v>0</v>
      </c>
      <c r="H297" s="7">
        <v>0</v>
      </c>
      <c r="I297" s="10">
        <v>0</v>
      </c>
      <c r="J297" s="7">
        <v>0</v>
      </c>
      <c r="K297" s="12">
        <v>0</v>
      </c>
      <c r="L297" s="7">
        <v>0</v>
      </c>
      <c r="M297" s="18">
        <f t="shared" si="20"/>
        <v>30</v>
      </c>
      <c r="N297" s="19">
        <f t="shared" si="21"/>
        <v>1</v>
      </c>
      <c r="O297" s="18">
        <f t="shared" si="22"/>
        <v>0</v>
      </c>
      <c r="P297" s="18" t="str">
        <f t="shared" si="23"/>
        <v>OK</v>
      </c>
      <c r="Q297" s="12" t="s">
        <v>175</v>
      </c>
      <c r="R297" s="10">
        <f t="shared" si="24"/>
        <v>0</v>
      </c>
      <c r="S297" s="10">
        <v>0</v>
      </c>
      <c r="T297" s="10">
        <v>0</v>
      </c>
      <c r="U297" s="10">
        <v>0</v>
      </c>
      <c r="V297" s="12"/>
    </row>
    <row r="298" spans="1:22" x14ac:dyDescent="0.25">
      <c r="A298" t="s">
        <v>136</v>
      </c>
      <c r="B298" t="s">
        <v>173</v>
      </c>
      <c r="C298" s="1">
        <v>46023</v>
      </c>
      <c r="D298" t="s">
        <v>174</v>
      </c>
      <c r="E298" s="10">
        <v>30</v>
      </c>
      <c r="F298" s="7">
        <v>1</v>
      </c>
      <c r="G298" s="10">
        <v>0</v>
      </c>
      <c r="H298" s="7">
        <v>0</v>
      </c>
      <c r="I298" s="10">
        <v>0</v>
      </c>
      <c r="J298" s="7">
        <v>0</v>
      </c>
      <c r="K298" s="12">
        <v>0</v>
      </c>
      <c r="L298" s="7">
        <v>0</v>
      </c>
      <c r="M298" s="18">
        <f t="shared" si="20"/>
        <v>30</v>
      </c>
      <c r="N298" s="19">
        <f t="shared" si="21"/>
        <v>1</v>
      </c>
      <c r="O298" s="18">
        <f t="shared" si="22"/>
        <v>0</v>
      </c>
      <c r="P298" s="18" t="str">
        <f t="shared" si="23"/>
        <v>OK</v>
      </c>
      <c r="Q298" s="12" t="s">
        <v>175</v>
      </c>
      <c r="R298" s="10">
        <f t="shared" si="24"/>
        <v>0</v>
      </c>
      <c r="S298" s="10">
        <v>0</v>
      </c>
      <c r="T298" s="10">
        <v>0</v>
      </c>
      <c r="U298" s="10">
        <v>0</v>
      </c>
      <c r="V298" s="12"/>
    </row>
    <row r="299" spans="1:22" x14ac:dyDescent="0.25">
      <c r="A299" t="s">
        <v>136</v>
      </c>
      <c r="B299" t="s">
        <v>176</v>
      </c>
      <c r="C299" s="1">
        <v>46054</v>
      </c>
      <c r="D299" t="s">
        <v>174</v>
      </c>
      <c r="E299" s="10">
        <v>30</v>
      </c>
      <c r="F299" s="7">
        <v>1</v>
      </c>
      <c r="G299" s="10">
        <v>0</v>
      </c>
      <c r="H299" s="7">
        <v>0</v>
      </c>
      <c r="I299" s="10">
        <v>0</v>
      </c>
      <c r="J299" s="7">
        <v>0</v>
      </c>
      <c r="K299" s="12">
        <v>0</v>
      </c>
      <c r="L299" s="7">
        <v>0</v>
      </c>
      <c r="M299" s="18">
        <f t="shared" si="20"/>
        <v>30</v>
      </c>
      <c r="N299" s="19">
        <f t="shared" si="21"/>
        <v>1</v>
      </c>
      <c r="O299" s="18">
        <f t="shared" si="22"/>
        <v>0</v>
      </c>
      <c r="P299" s="18" t="str">
        <f t="shared" si="23"/>
        <v>OK</v>
      </c>
      <c r="Q299" s="12" t="s">
        <v>175</v>
      </c>
      <c r="R299" s="10">
        <f t="shared" si="24"/>
        <v>0</v>
      </c>
      <c r="S299" s="10">
        <v>0</v>
      </c>
      <c r="T299" s="10">
        <v>0</v>
      </c>
      <c r="U299" s="10">
        <v>0</v>
      </c>
      <c r="V299" s="12"/>
    </row>
    <row r="300" spans="1:22" x14ac:dyDescent="0.25">
      <c r="A300" t="s">
        <v>136</v>
      </c>
      <c r="B300" t="s">
        <v>177</v>
      </c>
      <c r="C300" s="1">
        <v>46082</v>
      </c>
      <c r="D300" t="s">
        <v>174</v>
      </c>
      <c r="E300" s="10">
        <v>30</v>
      </c>
      <c r="F300" s="7">
        <v>1</v>
      </c>
      <c r="G300" s="10">
        <v>0</v>
      </c>
      <c r="H300" s="7">
        <v>0</v>
      </c>
      <c r="I300" s="10">
        <v>0</v>
      </c>
      <c r="J300" s="7">
        <v>0</v>
      </c>
      <c r="K300" s="12">
        <v>0</v>
      </c>
      <c r="L300" s="7">
        <v>0</v>
      </c>
      <c r="M300" s="18">
        <f t="shared" si="20"/>
        <v>30</v>
      </c>
      <c r="N300" s="19">
        <f t="shared" si="21"/>
        <v>1</v>
      </c>
      <c r="O300" s="18">
        <f t="shared" si="22"/>
        <v>0</v>
      </c>
      <c r="P300" s="18" t="str">
        <f t="shared" si="23"/>
        <v>OK</v>
      </c>
      <c r="Q300" s="12" t="s">
        <v>175</v>
      </c>
      <c r="R300" s="10">
        <f t="shared" si="24"/>
        <v>0</v>
      </c>
      <c r="S300" s="10">
        <v>0</v>
      </c>
      <c r="T300" s="10">
        <v>0</v>
      </c>
      <c r="U300" s="10">
        <v>0</v>
      </c>
      <c r="V300" s="12"/>
    </row>
    <row r="301" spans="1:22" x14ac:dyDescent="0.25">
      <c r="A301" t="s">
        <v>136</v>
      </c>
      <c r="B301" t="s">
        <v>178</v>
      </c>
      <c r="C301" s="1">
        <v>46113</v>
      </c>
      <c r="D301" t="s">
        <v>174</v>
      </c>
      <c r="E301" s="10">
        <v>30</v>
      </c>
      <c r="F301" s="7">
        <v>1</v>
      </c>
      <c r="G301" s="10">
        <v>0</v>
      </c>
      <c r="H301" s="7">
        <v>0</v>
      </c>
      <c r="I301" s="10">
        <v>0</v>
      </c>
      <c r="J301" s="7">
        <v>0</v>
      </c>
      <c r="K301" s="12">
        <v>0</v>
      </c>
      <c r="L301" s="7">
        <v>0</v>
      </c>
      <c r="M301" s="18">
        <f t="shared" si="20"/>
        <v>30</v>
      </c>
      <c r="N301" s="19">
        <f t="shared" si="21"/>
        <v>1</v>
      </c>
      <c r="O301" s="18">
        <f t="shared" si="22"/>
        <v>0</v>
      </c>
      <c r="P301" s="18" t="str">
        <f t="shared" si="23"/>
        <v>OK</v>
      </c>
      <c r="Q301" s="12" t="s">
        <v>175</v>
      </c>
      <c r="R301" s="10">
        <f t="shared" si="24"/>
        <v>0</v>
      </c>
      <c r="S301" s="10">
        <v>0</v>
      </c>
      <c r="T301" s="10">
        <v>0</v>
      </c>
      <c r="U301" s="10">
        <v>0</v>
      </c>
      <c r="V301" s="12"/>
    </row>
    <row r="302" spans="1:22" x14ac:dyDescent="0.25">
      <c r="A302" t="s">
        <v>136</v>
      </c>
      <c r="B302" t="s">
        <v>179</v>
      </c>
      <c r="C302" s="1">
        <v>46143</v>
      </c>
      <c r="D302" t="s">
        <v>174</v>
      </c>
      <c r="E302" s="10">
        <v>30</v>
      </c>
      <c r="F302" s="7">
        <v>1</v>
      </c>
      <c r="G302" s="10">
        <v>0</v>
      </c>
      <c r="H302" s="7">
        <v>0</v>
      </c>
      <c r="I302" s="10">
        <v>0</v>
      </c>
      <c r="J302" s="7">
        <v>0</v>
      </c>
      <c r="K302" s="12">
        <v>0</v>
      </c>
      <c r="L302" s="7">
        <v>0</v>
      </c>
      <c r="M302" s="18">
        <f t="shared" si="20"/>
        <v>30</v>
      </c>
      <c r="N302" s="19">
        <f t="shared" si="21"/>
        <v>1</v>
      </c>
      <c r="O302" s="18">
        <f t="shared" si="22"/>
        <v>0</v>
      </c>
      <c r="P302" s="18" t="str">
        <f t="shared" si="23"/>
        <v>OK</v>
      </c>
      <c r="Q302" s="12" t="s">
        <v>175</v>
      </c>
      <c r="R302" s="10">
        <f t="shared" si="24"/>
        <v>0</v>
      </c>
      <c r="S302" s="10">
        <v>0</v>
      </c>
      <c r="T302" s="10">
        <v>0</v>
      </c>
      <c r="U302" s="10">
        <v>0</v>
      </c>
      <c r="V302" s="12"/>
    </row>
    <row r="303" spans="1:22" x14ac:dyDescent="0.25">
      <c r="A303" t="s">
        <v>136</v>
      </c>
      <c r="B303" t="s">
        <v>180</v>
      </c>
      <c r="C303" s="1">
        <v>46174</v>
      </c>
      <c r="D303" t="s">
        <v>174</v>
      </c>
      <c r="E303" s="10">
        <v>30</v>
      </c>
      <c r="F303" s="7">
        <v>1</v>
      </c>
      <c r="G303" s="10">
        <v>0</v>
      </c>
      <c r="H303" s="7">
        <v>0</v>
      </c>
      <c r="I303" s="10">
        <v>0</v>
      </c>
      <c r="J303" s="7">
        <v>0</v>
      </c>
      <c r="K303" s="12">
        <v>0</v>
      </c>
      <c r="L303" s="7">
        <v>0</v>
      </c>
      <c r="M303" s="18">
        <f t="shared" si="20"/>
        <v>30</v>
      </c>
      <c r="N303" s="19">
        <f t="shared" si="21"/>
        <v>1</v>
      </c>
      <c r="O303" s="18">
        <f t="shared" si="22"/>
        <v>0</v>
      </c>
      <c r="P303" s="18" t="str">
        <f t="shared" si="23"/>
        <v>OK</v>
      </c>
      <c r="Q303" s="12" t="s">
        <v>175</v>
      </c>
      <c r="R303" s="10">
        <f t="shared" si="24"/>
        <v>0</v>
      </c>
      <c r="S303" s="10">
        <v>0</v>
      </c>
      <c r="T303" s="10">
        <v>0</v>
      </c>
      <c r="U303" s="10">
        <v>0</v>
      </c>
      <c r="V303" s="12"/>
    </row>
    <row r="304" spans="1:22" x14ac:dyDescent="0.25">
      <c r="A304" t="s">
        <v>136</v>
      </c>
      <c r="B304" t="s">
        <v>181</v>
      </c>
      <c r="C304" s="1">
        <v>46204</v>
      </c>
      <c r="D304" t="s">
        <v>182</v>
      </c>
      <c r="E304" s="10">
        <v>30</v>
      </c>
      <c r="F304" s="7">
        <v>1</v>
      </c>
      <c r="G304" s="10">
        <v>0</v>
      </c>
      <c r="H304" s="7">
        <v>0</v>
      </c>
      <c r="I304" s="10">
        <v>0</v>
      </c>
      <c r="J304" s="7">
        <v>0</v>
      </c>
      <c r="K304" s="12">
        <v>0</v>
      </c>
      <c r="L304" s="7">
        <v>0</v>
      </c>
      <c r="M304" s="18">
        <f t="shared" si="20"/>
        <v>30</v>
      </c>
      <c r="N304" s="19">
        <f t="shared" si="21"/>
        <v>1</v>
      </c>
      <c r="O304" s="18">
        <f t="shared" si="22"/>
        <v>0</v>
      </c>
      <c r="P304" s="18" t="str">
        <f t="shared" si="23"/>
        <v>OK</v>
      </c>
      <c r="Q304" s="12" t="s">
        <v>175</v>
      </c>
      <c r="R304" s="10">
        <f t="shared" si="24"/>
        <v>0</v>
      </c>
      <c r="S304" s="10">
        <v>0</v>
      </c>
      <c r="T304" s="10">
        <v>0</v>
      </c>
      <c r="U304" s="10">
        <v>0</v>
      </c>
      <c r="V304" s="12"/>
    </row>
    <row r="305" spans="1:22" x14ac:dyDescent="0.25">
      <c r="A305" t="s">
        <v>136</v>
      </c>
      <c r="B305" t="s">
        <v>183</v>
      </c>
      <c r="C305" s="1">
        <v>46204</v>
      </c>
      <c r="D305" t="s">
        <v>174</v>
      </c>
      <c r="E305" s="10">
        <v>30</v>
      </c>
      <c r="F305" s="7">
        <v>1</v>
      </c>
      <c r="G305" s="10">
        <v>0</v>
      </c>
      <c r="H305" s="7">
        <v>0</v>
      </c>
      <c r="I305" s="10">
        <v>0</v>
      </c>
      <c r="J305" s="7">
        <v>0</v>
      </c>
      <c r="K305" s="12">
        <v>0</v>
      </c>
      <c r="L305" s="7">
        <v>0</v>
      </c>
      <c r="M305" s="18">
        <f t="shared" si="20"/>
        <v>30</v>
      </c>
      <c r="N305" s="19">
        <f t="shared" si="21"/>
        <v>1</v>
      </c>
      <c r="O305" s="18">
        <f t="shared" si="22"/>
        <v>0</v>
      </c>
      <c r="P305" s="18" t="str">
        <f t="shared" si="23"/>
        <v>OK</v>
      </c>
      <c r="Q305" s="12" t="s">
        <v>175</v>
      </c>
      <c r="R305" s="10">
        <f t="shared" si="24"/>
        <v>0</v>
      </c>
      <c r="S305" s="10">
        <v>0</v>
      </c>
      <c r="T305" s="10">
        <v>0</v>
      </c>
      <c r="U305" s="10">
        <v>0</v>
      </c>
      <c r="V305" s="12"/>
    </row>
    <row r="306" spans="1:22" x14ac:dyDescent="0.25">
      <c r="A306" t="s">
        <v>136</v>
      </c>
      <c r="B306" t="s">
        <v>184</v>
      </c>
      <c r="C306" s="1">
        <v>46235</v>
      </c>
      <c r="D306" t="s">
        <v>174</v>
      </c>
      <c r="E306" s="10">
        <v>30</v>
      </c>
      <c r="F306" s="7">
        <v>1</v>
      </c>
      <c r="G306" s="10">
        <v>0</v>
      </c>
      <c r="H306" s="7">
        <v>0</v>
      </c>
      <c r="I306" s="10">
        <v>0</v>
      </c>
      <c r="J306" s="7">
        <v>0</v>
      </c>
      <c r="K306" s="12">
        <v>0</v>
      </c>
      <c r="L306" s="7">
        <v>0</v>
      </c>
      <c r="M306" s="18">
        <f t="shared" si="20"/>
        <v>30</v>
      </c>
      <c r="N306" s="19">
        <f t="shared" si="21"/>
        <v>1</v>
      </c>
      <c r="O306" s="18">
        <f t="shared" si="22"/>
        <v>0</v>
      </c>
      <c r="P306" s="18" t="str">
        <f t="shared" si="23"/>
        <v>OK</v>
      </c>
      <c r="Q306" s="12" t="s">
        <v>175</v>
      </c>
      <c r="R306" s="10">
        <f t="shared" si="24"/>
        <v>0</v>
      </c>
      <c r="S306" s="10">
        <v>0</v>
      </c>
      <c r="T306" s="10">
        <v>0</v>
      </c>
      <c r="U306" s="10">
        <v>0</v>
      </c>
      <c r="V306" s="12"/>
    </row>
    <row r="307" spans="1:22" x14ac:dyDescent="0.25">
      <c r="A307" t="s">
        <v>136</v>
      </c>
      <c r="B307" t="s">
        <v>185</v>
      </c>
      <c r="C307" s="1">
        <v>46266</v>
      </c>
      <c r="D307" t="s">
        <v>174</v>
      </c>
      <c r="E307" s="10">
        <v>30</v>
      </c>
      <c r="F307" s="7">
        <v>1</v>
      </c>
      <c r="G307" s="10">
        <v>0</v>
      </c>
      <c r="H307" s="7">
        <v>0</v>
      </c>
      <c r="I307" s="10">
        <v>0</v>
      </c>
      <c r="J307" s="7">
        <v>0</v>
      </c>
      <c r="K307" s="12">
        <v>0</v>
      </c>
      <c r="L307" s="7">
        <v>0</v>
      </c>
      <c r="M307" s="18">
        <f t="shared" si="20"/>
        <v>30</v>
      </c>
      <c r="N307" s="19">
        <f t="shared" si="21"/>
        <v>1</v>
      </c>
      <c r="O307" s="18">
        <f t="shared" si="22"/>
        <v>0</v>
      </c>
      <c r="P307" s="18" t="str">
        <f t="shared" si="23"/>
        <v>OK</v>
      </c>
      <c r="Q307" s="12" t="s">
        <v>175</v>
      </c>
      <c r="R307" s="10">
        <f t="shared" si="24"/>
        <v>0</v>
      </c>
      <c r="S307" s="10">
        <v>0</v>
      </c>
      <c r="T307" s="10">
        <v>0</v>
      </c>
      <c r="U307" s="10">
        <v>0</v>
      </c>
      <c r="V307" s="12"/>
    </row>
    <row r="308" spans="1:22" x14ac:dyDescent="0.25">
      <c r="A308" t="s">
        <v>136</v>
      </c>
      <c r="B308" t="s">
        <v>186</v>
      </c>
      <c r="C308" s="1">
        <v>46296</v>
      </c>
      <c r="D308" t="s">
        <v>174</v>
      </c>
      <c r="E308" s="10">
        <v>30</v>
      </c>
      <c r="F308" s="7">
        <v>1</v>
      </c>
      <c r="G308" s="10">
        <v>0</v>
      </c>
      <c r="H308" s="7">
        <v>0</v>
      </c>
      <c r="I308" s="10">
        <v>0</v>
      </c>
      <c r="J308" s="7">
        <v>0</v>
      </c>
      <c r="K308" s="12">
        <v>0</v>
      </c>
      <c r="L308" s="7">
        <v>0</v>
      </c>
      <c r="M308" s="18">
        <f t="shared" si="20"/>
        <v>30</v>
      </c>
      <c r="N308" s="19">
        <f t="shared" si="21"/>
        <v>1</v>
      </c>
      <c r="O308" s="18">
        <f t="shared" si="22"/>
        <v>0</v>
      </c>
      <c r="P308" s="18" t="str">
        <f t="shared" si="23"/>
        <v>OK</v>
      </c>
      <c r="Q308" s="12" t="s">
        <v>175</v>
      </c>
      <c r="R308" s="10">
        <f t="shared" si="24"/>
        <v>0</v>
      </c>
      <c r="S308" s="10">
        <v>0</v>
      </c>
      <c r="T308" s="10">
        <v>0</v>
      </c>
      <c r="U308" s="10">
        <v>0</v>
      </c>
      <c r="V308" s="12"/>
    </row>
    <row r="309" spans="1:22" x14ac:dyDescent="0.25">
      <c r="A309" t="s">
        <v>136</v>
      </c>
      <c r="B309" t="s">
        <v>187</v>
      </c>
      <c r="C309" s="1">
        <v>46327</v>
      </c>
      <c r="D309" t="s">
        <v>174</v>
      </c>
      <c r="E309" s="10">
        <v>30</v>
      </c>
      <c r="F309" s="7">
        <v>1</v>
      </c>
      <c r="G309" s="10">
        <v>0</v>
      </c>
      <c r="H309" s="7">
        <v>0</v>
      </c>
      <c r="I309" s="10">
        <v>0</v>
      </c>
      <c r="J309" s="7">
        <v>0</v>
      </c>
      <c r="K309" s="12">
        <v>0</v>
      </c>
      <c r="L309" s="7">
        <v>0</v>
      </c>
      <c r="M309" s="18">
        <f t="shared" si="20"/>
        <v>30</v>
      </c>
      <c r="N309" s="19">
        <f t="shared" si="21"/>
        <v>1</v>
      </c>
      <c r="O309" s="18">
        <f t="shared" si="22"/>
        <v>0</v>
      </c>
      <c r="P309" s="18" t="str">
        <f t="shared" si="23"/>
        <v>OK</v>
      </c>
      <c r="Q309" s="12" t="s">
        <v>175</v>
      </c>
      <c r="R309" s="10">
        <f t="shared" si="24"/>
        <v>0</v>
      </c>
      <c r="S309" s="10">
        <v>0</v>
      </c>
      <c r="T309" s="10">
        <v>0</v>
      </c>
      <c r="U309" s="10">
        <v>0</v>
      </c>
      <c r="V309" s="12"/>
    </row>
    <row r="310" spans="1:22" x14ac:dyDescent="0.25">
      <c r="A310" t="s">
        <v>136</v>
      </c>
      <c r="B310" t="s">
        <v>188</v>
      </c>
      <c r="C310" s="1">
        <v>46357</v>
      </c>
      <c r="D310" t="s">
        <v>182</v>
      </c>
      <c r="E310" s="10">
        <v>30</v>
      </c>
      <c r="F310" s="7">
        <v>1</v>
      </c>
      <c r="G310" s="10">
        <v>0</v>
      </c>
      <c r="H310" s="7">
        <v>0</v>
      </c>
      <c r="I310" s="10">
        <v>0</v>
      </c>
      <c r="J310" s="7">
        <v>0</v>
      </c>
      <c r="K310" s="12">
        <v>0</v>
      </c>
      <c r="L310" s="7">
        <v>0</v>
      </c>
      <c r="M310" s="18">
        <f t="shared" si="20"/>
        <v>30</v>
      </c>
      <c r="N310" s="19">
        <f t="shared" si="21"/>
        <v>1</v>
      </c>
      <c r="O310" s="18">
        <f t="shared" si="22"/>
        <v>0</v>
      </c>
      <c r="P310" s="18" t="str">
        <f t="shared" si="23"/>
        <v>OK</v>
      </c>
      <c r="Q310" s="12" t="s">
        <v>175</v>
      </c>
      <c r="R310" s="10">
        <f t="shared" si="24"/>
        <v>0</v>
      </c>
      <c r="S310" s="10">
        <v>0</v>
      </c>
      <c r="T310" s="10">
        <v>0</v>
      </c>
      <c r="U310" s="10">
        <v>0</v>
      </c>
      <c r="V310" s="12"/>
    </row>
    <row r="311" spans="1:22" x14ac:dyDescent="0.25">
      <c r="A311" t="s">
        <v>136</v>
      </c>
      <c r="B311" t="s">
        <v>189</v>
      </c>
      <c r="C311" s="1">
        <v>46357</v>
      </c>
      <c r="D311" t="s">
        <v>174</v>
      </c>
      <c r="E311" s="10">
        <v>30</v>
      </c>
      <c r="F311" s="7">
        <v>1</v>
      </c>
      <c r="G311" s="10">
        <v>0</v>
      </c>
      <c r="H311" s="7">
        <v>0</v>
      </c>
      <c r="I311" s="10">
        <v>0</v>
      </c>
      <c r="J311" s="7">
        <v>0</v>
      </c>
      <c r="K311" s="12">
        <v>0</v>
      </c>
      <c r="L311" s="7">
        <v>0</v>
      </c>
      <c r="M311" s="18">
        <f t="shared" si="20"/>
        <v>30</v>
      </c>
      <c r="N311" s="19">
        <f t="shared" si="21"/>
        <v>1</v>
      </c>
      <c r="O311" s="18">
        <f t="shared" si="22"/>
        <v>0</v>
      </c>
      <c r="P311" s="18" t="str">
        <f t="shared" si="23"/>
        <v>OK</v>
      </c>
      <c r="Q311" s="12" t="s">
        <v>175</v>
      </c>
      <c r="R311" s="10">
        <f t="shared" si="24"/>
        <v>0</v>
      </c>
      <c r="S311" s="10">
        <v>0</v>
      </c>
      <c r="T311" s="10">
        <v>0</v>
      </c>
      <c r="U311" s="10">
        <v>0</v>
      </c>
      <c r="V311" s="12"/>
    </row>
    <row r="312" spans="1:22" x14ac:dyDescent="0.25">
      <c r="A312" t="s">
        <v>138</v>
      </c>
      <c r="B312" t="s">
        <v>173</v>
      </c>
      <c r="C312" s="1">
        <v>46023</v>
      </c>
      <c r="D312" t="s">
        <v>174</v>
      </c>
      <c r="E312" s="10">
        <v>30</v>
      </c>
      <c r="F312" s="7">
        <v>1</v>
      </c>
      <c r="G312" s="10">
        <v>0</v>
      </c>
      <c r="H312" s="7">
        <v>0</v>
      </c>
      <c r="I312" s="10">
        <v>0</v>
      </c>
      <c r="J312" s="7">
        <v>0</v>
      </c>
      <c r="K312" s="12">
        <v>0</v>
      </c>
      <c r="L312" s="7">
        <v>0</v>
      </c>
      <c r="M312" s="18">
        <f t="shared" si="20"/>
        <v>30</v>
      </c>
      <c r="N312" s="19">
        <f t="shared" si="21"/>
        <v>1</v>
      </c>
      <c r="O312" s="18">
        <f t="shared" si="22"/>
        <v>0</v>
      </c>
      <c r="P312" s="18" t="str">
        <f t="shared" si="23"/>
        <v>OK</v>
      </c>
      <c r="Q312" s="12" t="s">
        <v>175</v>
      </c>
      <c r="R312" s="10">
        <f t="shared" si="24"/>
        <v>0</v>
      </c>
      <c r="S312" s="10">
        <v>0</v>
      </c>
      <c r="T312" s="10">
        <v>0</v>
      </c>
      <c r="U312" s="10">
        <v>0</v>
      </c>
      <c r="V312" s="12"/>
    </row>
    <row r="313" spans="1:22" x14ac:dyDescent="0.25">
      <c r="A313" t="s">
        <v>138</v>
      </c>
      <c r="B313" t="s">
        <v>176</v>
      </c>
      <c r="C313" s="1">
        <v>46054</v>
      </c>
      <c r="D313" t="s">
        <v>174</v>
      </c>
      <c r="E313" s="10">
        <v>30</v>
      </c>
      <c r="F313" s="7">
        <v>1</v>
      </c>
      <c r="G313" s="10">
        <v>0</v>
      </c>
      <c r="H313" s="7">
        <v>0</v>
      </c>
      <c r="I313" s="10">
        <v>0</v>
      </c>
      <c r="J313" s="7">
        <v>0</v>
      </c>
      <c r="K313" s="12">
        <v>0</v>
      </c>
      <c r="L313" s="7">
        <v>0</v>
      </c>
      <c r="M313" s="18">
        <f t="shared" si="20"/>
        <v>30</v>
      </c>
      <c r="N313" s="19">
        <f t="shared" si="21"/>
        <v>1</v>
      </c>
      <c r="O313" s="18">
        <f t="shared" si="22"/>
        <v>0</v>
      </c>
      <c r="P313" s="18" t="str">
        <f t="shared" si="23"/>
        <v>OK</v>
      </c>
      <c r="Q313" s="12" t="s">
        <v>175</v>
      </c>
      <c r="R313" s="10">
        <f t="shared" si="24"/>
        <v>0</v>
      </c>
      <c r="S313" s="10">
        <v>0</v>
      </c>
      <c r="T313" s="10">
        <v>0</v>
      </c>
      <c r="U313" s="10">
        <v>0</v>
      </c>
      <c r="V313" s="12"/>
    </row>
    <row r="314" spans="1:22" x14ac:dyDescent="0.25">
      <c r="A314" t="s">
        <v>138</v>
      </c>
      <c r="B314" t="s">
        <v>177</v>
      </c>
      <c r="C314" s="1">
        <v>46082</v>
      </c>
      <c r="D314" t="s">
        <v>174</v>
      </c>
      <c r="E314" s="10">
        <v>30</v>
      </c>
      <c r="F314" s="7">
        <v>1</v>
      </c>
      <c r="G314" s="10">
        <v>0</v>
      </c>
      <c r="H314" s="7">
        <v>0</v>
      </c>
      <c r="I314" s="10">
        <v>0</v>
      </c>
      <c r="J314" s="7">
        <v>0</v>
      </c>
      <c r="K314" s="12">
        <v>0</v>
      </c>
      <c r="L314" s="7">
        <v>0</v>
      </c>
      <c r="M314" s="18">
        <f t="shared" si="20"/>
        <v>30</v>
      </c>
      <c r="N314" s="19">
        <f t="shared" si="21"/>
        <v>1</v>
      </c>
      <c r="O314" s="18">
        <f t="shared" si="22"/>
        <v>0</v>
      </c>
      <c r="P314" s="18" t="str">
        <f t="shared" si="23"/>
        <v>OK</v>
      </c>
      <c r="Q314" s="12" t="s">
        <v>175</v>
      </c>
      <c r="R314" s="10">
        <f t="shared" si="24"/>
        <v>0</v>
      </c>
      <c r="S314" s="10">
        <v>0</v>
      </c>
      <c r="T314" s="10">
        <v>0</v>
      </c>
      <c r="U314" s="10">
        <v>0</v>
      </c>
      <c r="V314" s="12"/>
    </row>
    <row r="315" spans="1:22" x14ac:dyDescent="0.25">
      <c r="A315" t="s">
        <v>138</v>
      </c>
      <c r="B315" t="s">
        <v>178</v>
      </c>
      <c r="C315" s="1">
        <v>46113</v>
      </c>
      <c r="D315" t="s">
        <v>174</v>
      </c>
      <c r="E315" s="10">
        <v>30</v>
      </c>
      <c r="F315" s="7">
        <v>1</v>
      </c>
      <c r="G315" s="10">
        <v>0</v>
      </c>
      <c r="H315" s="7">
        <v>0</v>
      </c>
      <c r="I315" s="10">
        <v>0</v>
      </c>
      <c r="J315" s="7">
        <v>0</v>
      </c>
      <c r="K315" s="12">
        <v>0</v>
      </c>
      <c r="L315" s="7">
        <v>0</v>
      </c>
      <c r="M315" s="18">
        <f t="shared" si="20"/>
        <v>30</v>
      </c>
      <c r="N315" s="19">
        <f t="shared" si="21"/>
        <v>1</v>
      </c>
      <c r="O315" s="18">
        <f t="shared" si="22"/>
        <v>0</v>
      </c>
      <c r="P315" s="18" t="str">
        <f t="shared" si="23"/>
        <v>OK</v>
      </c>
      <c r="Q315" s="12" t="s">
        <v>175</v>
      </c>
      <c r="R315" s="10">
        <f t="shared" si="24"/>
        <v>0</v>
      </c>
      <c r="S315" s="10">
        <v>0</v>
      </c>
      <c r="T315" s="10">
        <v>0</v>
      </c>
      <c r="U315" s="10">
        <v>0</v>
      </c>
      <c r="V315" s="12"/>
    </row>
    <row r="316" spans="1:22" x14ac:dyDescent="0.25">
      <c r="A316" t="s">
        <v>138</v>
      </c>
      <c r="B316" t="s">
        <v>179</v>
      </c>
      <c r="C316" s="1">
        <v>46143</v>
      </c>
      <c r="D316" t="s">
        <v>174</v>
      </c>
      <c r="E316" s="10">
        <v>30</v>
      </c>
      <c r="F316" s="7">
        <v>1</v>
      </c>
      <c r="G316" s="10">
        <v>0</v>
      </c>
      <c r="H316" s="7">
        <v>0</v>
      </c>
      <c r="I316" s="10">
        <v>0</v>
      </c>
      <c r="J316" s="7">
        <v>0</v>
      </c>
      <c r="K316" s="12">
        <v>0</v>
      </c>
      <c r="L316" s="7">
        <v>0</v>
      </c>
      <c r="M316" s="18">
        <f t="shared" si="20"/>
        <v>30</v>
      </c>
      <c r="N316" s="19">
        <f t="shared" si="21"/>
        <v>1</v>
      </c>
      <c r="O316" s="18">
        <f t="shared" si="22"/>
        <v>0</v>
      </c>
      <c r="P316" s="18" t="str">
        <f t="shared" si="23"/>
        <v>OK</v>
      </c>
      <c r="Q316" s="12" t="s">
        <v>175</v>
      </c>
      <c r="R316" s="10">
        <f t="shared" si="24"/>
        <v>0</v>
      </c>
      <c r="S316" s="10">
        <v>0</v>
      </c>
      <c r="T316" s="10">
        <v>0</v>
      </c>
      <c r="U316" s="10">
        <v>0</v>
      </c>
      <c r="V316" s="12"/>
    </row>
    <row r="317" spans="1:22" x14ac:dyDescent="0.25">
      <c r="A317" t="s">
        <v>138</v>
      </c>
      <c r="B317" t="s">
        <v>180</v>
      </c>
      <c r="C317" s="1">
        <v>46174</v>
      </c>
      <c r="D317" t="s">
        <v>174</v>
      </c>
      <c r="E317" s="10">
        <v>30</v>
      </c>
      <c r="F317" s="7">
        <v>1</v>
      </c>
      <c r="G317" s="10">
        <v>0</v>
      </c>
      <c r="H317" s="7">
        <v>0</v>
      </c>
      <c r="I317" s="10">
        <v>0</v>
      </c>
      <c r="J317" s="7">
        <v>0</v>
      </c>
      <c r="K317" s="12">
        <v>0</v>
      </c>
      <c r="L317" s="7">
        <v>0</v>
      </c>
      <c r="M317" s="18">
        <f t="shared" si="20"/>
        <v>30</v>
      </c>
      <c r="N317" s="19">
        <f t="shared" si="21"/>
        <v>1</v>
      </c>
      <c r="O317" s="18">
        <f t="shared" si="22"/>
        <v>0</v>
      </c>
      <c r="P317" s="18" t="str">
        <f t="shared" si="23"/>
        <v>OK</v>
      </c>
      <c r="Q317" s="12" t="s">
        <v>175</v>
      </c>
      <c r="R317" s="10">
        <f t="shared" si="24"/>
        <v>0</v>
      </c>
      <c r="S317" s="10">
        <v>0</v>
      </c>
      <c r="T317" s="10">
        <v>0</v>
      </c>
      <c r="U317" s="10">
        <v>0</v>
      </c>
      <c r="V317" s="12"/>
    </row>
    <row r="318" spans="1:22" x14ac:dyDescent="0.25">
      <c r="A318" t="s">
        <v>138</v>
      </c>
      <c r="B318" t="s">
        <v>181</v>
      </c>
      <c r="C318" s="1">
        <v>46204</v>
      </c>
      <c r="D318" t="s">
        <v>182</v>
      </c>
      <c r="E318" s="10">
        <v>30</v>
      </c>
      <c r="F318" s="7">
        <v>1</v>
      </c>
      <c r="G318" s="10">
        <v>0</v>
      </c>
      <c r="H318" s="7">
        <v>0</v>
      </c>
      <c r="I318" s="10">
        <v>0</v>
      </c>
      <c r="J318" s="7">
        <v>0</v>
      </c>
      <c r="K318" s="12">
        <v>0</v>
      </c>
      <c r="L318" s="7">
        <v>0</v>
      </c>
      <c r="M318" s="18">
        <f t="shared" si="20"/>
        <v>30</v>
      </c>
      <c r="N318" s="19">
        <f t="shared" si="21"/>
        <v>1</v>
      </c>
      <c r="O318" s="18">
        <f t="shared" si="22"/>
        <v>0</v>
      </c>
      <c r="P318" s="18" t="str">
        <f t="shared" si="23"/>
        <v>OK</v>
      </c>
      <c r="Q318" s="12" t="s">
        <v>175</v>
      </c>
      <c r="R318" s="10">
        <f t="shared" si="24"/>
        <v>0</v>
      </c>
      <c r="S318" s="10">
        <v>0</v>
      </c>
      <c r="T318" s="10">
        <v>0</v>
      </c>
      <c r="U318" s="10">
        <v>0</v>
      </c>
      <c r="V318" s="12"/>
    </row>
    <row r="319" spans="1:22" x14ac:dyDescent="0.25">
      <c r="A319" t="s">
        <v>138</v>
      </c>
      <c r="B319" t="s">
        <v>183</v>
      </c>
      <c r="C319" s="1">
        <v>46204</v>
      </c>
      <c r="D319" t="s">
        <v>174</v>
      </c>
      <c r="E319" s="10">
        <v>30</v>
      </c>
      <c r="F319" s="7">
        <v>1</v>
      </c>
      <c r="G319" s="10">
        <v>0</v>
      </c>
      <c r="H319" s="7">
        <v>0</v>
      </c>
      <c r="I319" s="10">
        <v>0</v>
      </c>
      <c r="J319" s="7">
        <v>0</v>
      </c>
      <c r="K319" s="12">
        <v>0</v>
      </c>
      <c r="L319" s="7">
        <v>0</v>
      </c>
      <c r="M319" s="18">
        <f t="shared" si="20"/>
        <v>30</v>
      </c>
      <c r="N319" s="19">
        <f t="shared" si="21"/>
        <v>1</v>
      </c>
      <c r="O319" s="18">
        <f t="shared" si="22"/>
        <v>0</v>
      </c>
      <c r="P319" s="18" t="str">
        <f t="shared" si="23"/>
        <v>OK</v>
      </c>
      <c r="Q319" s="12" t="s">
        <v>175</v>
      </c>
      <c r="R319" s="10">
        <f t="shared" si="24"/>
        <v>0</v>
      </c>
      <c r="S319" s="10">
        <v>0</v>
      </c>
      <c r="T319" s="10">
        <v>0</v>
      </c>
      <c r="U319" s="10">
        <v>0</v>
      </c>
      <c r="V319" s="12"/>
    </row>
    <row r="320" spans="1:22" x14ac:dyDescent="0.25">
      <c r="A320" t="s">
        <v>138</v>
      </c>
      <c r="B320" t="s">
        <v>184</v>
      </c>
      <c r="C320" s="1">
        <v>46235</v>
      </c>
      <c r="D320" t="s">
        <v>174</v>
      </c>
      <c r="E320" s="10">
        <v>30</v>
      </c>
      <c r="F320" s="7">
        <v>1</v>
      </c>
      <c r="G320" s="10">
        <v>0</v>
      </c>
      <c r="H320" s="7">
        <v>0</v>
      </c>
      <c r="I320" s="10">
        <v>0</v>
      </c>
      <c r="J320" s="7">
        <v>0</v>
      </c>
      <c r="K320" s="12">
        <v>0</v>
      </c>
      <c r="L320" s="7">
        <v>0</v>
      </c>
      <c r="M320" s="18">
        <f t="shared" si="20"/>
        <v>30</v>
      </c>
      <c r="N320" s="19">
        <f t="shared" si="21"/>
        <v>1</v>
      </c>
      <c r="O320" s="18">
        <f t="shared" si="22"/>
        <v>0</v>
      </c>
      <c r="P320" s="18" t="str">
        <f t="shared" si="23"/>
        <v>OK</v>
      </c>
      <c r="Q320" s="12" t="s">
        <v>175</v>
      </c>
      <c r="R320" s="10">
        <f t="shared" si="24"/>
        <v>0</v>
      </c>
      <c r="S320" s="10">
        <v>0</v>
      </c>
      <c r="T320" s="10">
        <v>0</v>
      </c>
      <c r="U320" s="10">
        <v>0</v>
      </c>
      <c r="V320" s="12"/>
    </row>
    <row r="321" spans="1:22" x14ac:dyDescent="0.25">
      <c r="A321" t="s">
        <v>138</v>
      </c>
      <c r="B321" t="s">
        <v>185</v>
      </c>
      <c r="C321" s="1">
        <v>46266</v>
      </c>
      <c r="D321" t="s">
        <v>174</v>
      </c>
      <c r="E321" s="10">
        <v>30</v>
      </c>
      <c r="F321" s="7">
        <v>1</v>
      </c>
      <c r="G321" s="10">
        <v>0</v>
      </c>
      <c r="H321" s="7">
        <v>0</v>
      </c>
      <c r="I321" s="10">
        <v>0</v>
      </c>
      <c r="J321" s="7">
        <v>0</v>
      </c>
      <c r="K321" s="12">
        <v>0</v>
      </c>
      <c r="L321" s="7">
        <v>0</v>
      </c>
      <c r="M321" s="18">
        <f t="shared" si="20"/>
        <v>30</v>
      </c>
      <c r="N321" s="19">
        <f t="shared" si="21"/>
        <v>1</v>
      </c>
      <c r="O321" s="18">
        <f t="shared" si="22"/>
        <v>0</v>
      </c>
      <c r="P321" s="18" t="str">
        <f t="shared" si="23"/>
        <v>OK</v>
      </c>
      <c r="Q321" s="12" t="s">
        <v>175</v>
      </c>
      <c r="R321" s="10">
        <f t="shared" si="24"/>
        <v>0</v>
      </c>
      <c r="S321" s="10">
        <v>0</v>
      </c>
      <c r="T321" s="10">
        <v>0</v>
      </c>
      <c r="U321" s="10">
        <v>0</v>
      </c>
      <c r="V321" s="12"/>
    </row>
    <row r="322" spans="1:22" x14ac:dyDescent="0.25">
      <c r="A322" t="s">
        <v>138</v>
      </c>
      <c r="B322" t="s">
        <v>186</v>
      </c>
      <c r="C322" s="1">
        <v>46296</v>
      </c>
      <c r="D322" t="s">
        <v>174</v>
      </c>
      <c r="E322" s="10">
        <v>30</v>
      </c>
      <c r="F322" s="7">
        <v>1</v>
      </c>
      <c r="G322" s="10">
        <v>0</v>
      </c>
      <c r="H322" s="7">
        <v>0</v>
      </c>
      <c r="I322" s="10">
        <v>0</v>
      </c>
      <c r="J322" s="7">
        <v>0</v>
      </c>
      <c r="K322" s="12">
        <v>0</v>
      </c>
      <c r="L322" s="7">
        <v>0</v>
      </c>
      <c r="M322" s="18">
        <f t="shared" si="20"/>
        <v>30</v>
      </c>
      <c r="N322" s="19">
        <f t="shared" si="21"/>
        <v>1</v>
      </c>
      <c r="O322" s="18">
        <f t="shared" si="22"/>
        <v>0</v>
      </c>
      <c r="P322" s="18" t="str">
        <f t="shared" si="23"/>
        <v>OK</v>
      </c>
      <c r="Q322" s="12" t="s">
        <v>175</v>
      </c>
      <c r="R322" s="10">
        <f t="shared" si="24"/>
        <v>0</v>
      </c>
      <c r="S322" s="10">
        <v>0</v>
      </c>
      <c r="T322" s="10">
        <v>0</v>
      </c>
      <c r="U322" s="10">
        <v>0</v>
      </c>
      <c r="V322" s="12"/>
    </row>
    <row r="323" spans="1:22" x14ac:dyDescent="0.25">
      <c r="A323" t="s">
        <v>138</v>
      </c>
      <c r="B323" t="s">
        <v>187</v>
      </c>
      <c r="C323" s="1">
        <v>46327</v>
      </c>
      <c r="D323" t="s">
        <v>174</v>
      </c>
      <c r="E323" s="10">
        <v>30</v>
      </c>
      <c r="F323" s="7">
        <v>1</v>
      </c>
      <c r="G323" s="10">
        <v>0</v>
      </c>
      <c r="H323" s="7">
        <v>0</v>
      </c>
      <c r="I323" s="10">
        <v>0</v>
      </c>
      <c r="J323" s="7">
        <v>0</v>
      </c>
      <c r="K323" s="12">
        <v>0</v>
      </c>
      <c r="L323" s="7">
        <v>0</v>
      </c>
      <c r="M323" s="18">
        <f t="shared" si="20"/>
        <v>30</v>
      </c>
      <c r="N323" s="19">
        <f t="shared" si="21"/>
        <v>1</v>
      </c>
      <c r="O323" s="18">
        <f t="shared" si="22"/>
        <v>0</v>
      </c>
      <c r="P323" s="18" t="str">
        <f t="shared" si="23"/>
        <v>OK</v>
      </c>
      <c r="Q323" s="12" t="s">
        <v>175</v>
      </c>
      <c r="R323" s="10">
        <f t="shared" si="24"/>
        <v>0</v>
      </c>
      <c r="S323" s="10">
        <v>0</v>
      </c>
      <c r="T323" s="10">
        <v>0</v>
      </c>
      <c r="U323" s="10">
        <v>0</v>
      </c>
      <c r="V323" s="12"/>
    </row>
    <row r="324" spans="1:22" x14ac:dyDescent="0.25">
      <c r="A324" t="s">
        <v>138</v>
      </c>
      <c r="B324" t="s">
        <v>188</v>
      </c>
      <c r="C324" s="1">
        <v>46357</v>
      </c>
      <c r="D324" t="s">
        <v>182</v>
      </c>
      <c r="E324" s="10">
        <v>30</v>
      </c>
      <c r="F324" s="7">
        <v>1</v>
      </c>
      <c r="G324" s="10">
        <v>0</v>
      </c>
      <c r="H324" s="7">
        <v>0</v>
      </c>
      <c r="I324" s="10">
        <v>0</v>
      </c>
      <c r="J324" s="7">
        <v>0</v>
      </c>
      <c r="K324" s="12">
        <v>0</v>
      </c>
      <c r="L324" s="7">
        <v>0</v>
      </c>
      <c r="M324" s="18">
        <f t="shared" ref="M324:M339" si="25">SUM(E324,G324,I324,K324)</f>
        <v>30</v>
      </c>
      <c r="N324" s="19">
        <f t="shared" ref="N324:N339" si="26">IF(M324=0,0,(E324*F324+G324*H324+I324*J324+K324*L324)/30)</f>
        <v>1</v>
      </c>
      <c r="O324" s="18">
        <f t="shared" ref="O324:O339" si="27">IF(Q324="Nacimiento/cuidado menor",E324*(1-F324)+G324*(1-H324)+I324*(1-J324)+K324*(1-L324),0)</f>
        <v>0</v>
      </c>
      <c r="P324" s="18" t="str">
        <f t="shared" ref="P324:P339" si="28">IF(M324=30,"OK","ERROR · "&amp;M324&amp;" días")</f>
        <v>OK</v>
      </c>
      <c r="Q324" s="12" t="s">
        <v>175</v>
      </c>
      <c r="R324" s="10">
        <f t="shared" ref="R324:R339" si="29">IF($Q324="Nacimiento/cuidado menor",IF($W324&gt;0,$W324/30,0),0)</f>
        <v>0</v>
      </c>
      <c r="S324" s="10">
        <v>0</v>
      </c>
      <c r="T324" s="10">
        <v>0</v>
      </c>
      <c r="U324" s="10">
        <v>0</v>
      </c>
      <c r="V324" s="12"/>
    </row>
    <row r="325" spans="1:22" x14ac:dyDescent="0.25">
      <c r="A325" t="s">
        <v>138</v>
      </c>
      <c r="B325" t="s">
        <v>189</v>
      </c>
      <c r="C325" s="1">
        <v>46357</v>
      </c>
      <c r="D325" t="s">
        <v>174</v>
      </c>
      <c r="E325" s="10">
        <v>30</v>
      </c>
      <c r="F325" s="7">
        <v>1</v>
      </c>
      <c r="G325" s="10">
        <v>0</v>
      </c>
      <c r="H325" s="7">
        <v>0</v>
      </c>
      <c r="I325" s="10">
        <v>0</v>
      </c>
      <c r="J325" s="7">
        <v>0</v>
      </c>
      <c r="K325" s="12">
        <v>0</v>
      </c>
      <c r="L325" s="7">
        <v>0</v>
      </c>
      <c r="M325" s="18">
        <f t="shared" si="25"/>
        <v>30</v>
      </c>
      <c r="N325" s="19">
        <f t="shared" si="26"/>
        <v>1</v>
      </c>
      <c r="O325" s="18">
        <f t="shared" si="27"/>
        <v>0</v>
      </c>
      <c r="P325" s="18" t="str">
        <f t="shared" si="28"/>
        <v>OK</v>
      </c>
      <c r="Q325" s="12" t="s">
        <v>175</v>
      </c>
      <c r="R325" s="10">
        <f t="shared" si="29"/>
        <v>0</v>
      </c>
      <c r="S325" s="10">
        <v>0</v>
      </c>
      <c r="T325" s="10">
        <v>0</v>
      </c>
      <c r="U325" s="10">
        <v>0</v>
      </c>
      <c r="V325" s="12"/>
    </row>
    <row r="326" spans="1:22" x14ac:dyDescent="0.25">
      <c r="A326" t="s">
        <v>140</v>
      </c>
      <c r="B326" t="s">
        <v>173</v>
      </c>
      <c r="C326" s="1">
        <v>46023</v>
      </c>
      <c r="D326" t="s">
        <v>174</v>
      </c>
      <c r="E326" s="10">
        <v>30</v>
      </c>
      <c r="F326" s="7">
        <v>1</v>
      </c>
      <c r="G326" s="10">
        <v>0</v>
      </c>
      <c r="H326" s="7">
        <v>0</v>
      </c>
      <c r="I326" s="10">
        <v>0</v>
      </c>
      <c r="J326" s="7">
        <v>0</v>
      </c>
      <c r="K326" s="12">
        <v>0</v>
      </c>
      <c r="L326" s="7">
        <v>0</v>
      </c>
      <c r="M326" s="18">
        <f t="shared" si="25"/>
        <v>30</v>
      </c>
      <c r="N326" s="19">
        <f t="shared" si="26"/>
        <v>1</v>
      </c>
      <c r="O326" s="18">
        <f t="shared" si="27"/>
        <v>0</v>
      </c>
      <c r="P326" s="18" t="str">
        <f t="shared" si="28"/>
        <v>OK</v>
      </c>
      <c r="Q326" s="12" t="s">
        <v>175</v>
      </c>
      <c r="R326" s="10">
        <f t="shared" si="29"/>
        <v>0</v>
      </c>
      <c r="S326" s="10">
        <v>0</v>
      </c>
      <c r="T326" s="10">
        <v>0</v>
      </c>
      <c r="U326" s="10">
        <v>0</v>
      </c>
      <c r="V326" s="12"/>
    </row>
    <row r="327" spans="1:22" x14ac:dyDescent="0.25">
      <c r="A327" t="s">
        <v>140</v>
      </c>
      <c r="B327" t="s">
        <v>176</v>
      </c>
      <c r="C327" s="1">
        <v>46054</v>
      </c>
      <c r="D327" t="s">
        <v>174</v>
      </c>
      <c r="E327" s="10">
        <v>30</v>
      </c>
      <c r="F327" s="7">
        <v>1</v>
      </c>
      <c r="G327" s="10">
        <v>0</v>
      </c>
      <c r="H327" s="7">
        <v>0</v>
      </c>
      <c r="I327" s="10">
        <v>0</v>
      </c>
      <c r="J327" s="7">
        <v>0</v>
      </c>
      <c r="K327" s="12">
        <v>0</v>
      </c>
      <c r="L327" s="7">
        <v>0</v>
      </c>
      <c r="M327" s="18">
        <f t="shared" si="25"/>
        <v>30</v>
      </c>
      <c r="N327" s="19">
        <f t="shared" si="26"/>
        <v>1</v>
      </c>
      <c r="O327" s="18">
        <f t="shared" si="27"/>
        <v>0</v>
      </c>
      <c r="P327" s="18" t="str">
        <f t="shared" si="28"/>
        <v>OK</v>
      </c>
      <c r="Q327" s="12" t="s">
        <v>175</v>
      </c>
      <c r="R327" s="10">
        <f t="shared" si="29"/>
        <v>0</v>
      </c>
      <c r="S327" s="10">
        <v>0</v>
      </c>
      <c r="T327" s="10">
        <v>0</v>
      </c>
      <c r="U327" s="10">
        <v>0</v>
      </c>
      <c r="V327" s="12"/>
    </row>
    <row r="328" spans="1:22" x14ac:dyDescent="0.25">
      <c r="A328" t="s">
        <v>140</v>
      </c>
      <c r="B328" t="s">
        <v>177</v>
      </c>
      <c r="C328" s="1">
        <v>46082</v>
      </c>
      <c r="D328" t="s">
        <v>174</v>
      </c>
      <c r="E328" s="10">
        <v>30</v>
      </c>
      <c r="F328" s="7">
        <v>1</v>
      </c>
      <c r="G328" s="10">
        <v>0</v>
      </c>
      <c r="H328" s="7">
        <v>0</v>
      </c>
      <c r="I328" s="10">
        <v>0</v>
      </c>
      <c r="J328" s="7">
        <v>0</v>
      </c>
      <c r="K328" s="12">
        <v>0</v>
      </c>
      <c r="L328" s="7">
        <v>0</v>
      </c>
      <c r="M328" s="18">
        <f t="shared" si="25"/>
        <v>30</v>
      </c>
      <c r="N328" s="19">
        <f t="shared" si="26"/>
        <v>1</v>
      </c>
      <c r="O328" s="18">
        <f t="shared" si="27"/>
        <v>0</v>
      </c>
      <c r="P328" s="18" t="str">
        <f t="shared" si="28"/>
        <v>OK</v>
      </c>
      <c r="Q328" s="12" t="s">
        <v>175</v>
      </c>
      <c r="R328" s="10">
        <f t="shared" si="29"/>
        <v>0</v>
      </c>
      <c r="S328" s="10">
        <v>0</v>
      </c>
      <c r="T328" s="10">
        <v>0</v>
      </c>
      <c r="U328" s="10">
        <v>0</v>
      </c>
      <c r="V328" s="12"/>
    </row>
    <row r="329" spans="1:22" x14ac:dyDescent="0.25">
      <c r="A329" t="s">
        <v>140</v>
      </c>
      <c r="B329" t="s">
        <v>178</v>
      </c>
      <c r="C329" s="1">
        <v>46113</v>
      </c>
      <c r="D329" t="s">
        <v>174</v>
      </c>
      <c r="E329" s="10">
        <v>30</v>
      </c>
      <c r="F329" s="7">
        <v>1</v>
      </c>
      <c r="G329" s="10">
        <v>0</v>
      </c>
      <c r="H329" s="7">
        <v>0</v>
      </c>
      <c r="I329" s="10">
        <v>0</v>
      </c>
      <c r="J329" s="7">
        <v>0</v>
      </c>
      <c r="K329" s="12">
        <v>0</v>
      </c>
      <c r="L329" s="7">
        <v>0</v>
      </c>
      <c r="M329" s="18">
        <f t="shared" si="25"/>
        <v>30</v>
      </c>
      <c r="N329" s="19">
        <f t="shared" si="26"/>
        <v>1</v>
      </c>
      <c r="O329" s="18">
        <f t="shared" si="27"/>
        <v>0</v>
      </c>
      <c r="P329" s="18" t="str">
        <f t="shared" si="28"/>
        <v>OK</v>
      </c>
      <c r="Q329" s="12" t="s">
        <v>175</v>
      </c>
      <c r="R329" s="10">
        <f t="shared" si="29"/>
        <v>0</v>
      </c>
      <c r="S329" s="10">
        <v>0</v>
      </c>
      <c r="T329" s="10">
        <v>0</v>
      </c>
      <c r="U329" s="10">
        <v>0</v>
      </c>
      <c r="V329" s="12"/>
    </row>
    <row r="330" spans="1:22" x14ac:dyDescent="0.25">
      <c r="A330" t="s">
        <v>140</v>
      </c>
      <c r="B330" t="s">
        <v>179</v>
      </c>
      <c r="C330" s="1">
        <v>46143</v>
      </c>
      <c r="D330" t="s">
        <v>174</v>
      </c>
      <c r="E330" s="10">
        <v>30</v>
      </c>
      <c r="F330" s="7">
        <v>1</v>
      </c>
      <c r="G330" s="10">
        <v>0</v>
      </c>
      <c r="H330" s="7">
        <v>0</v>
      </c>
      <c r="I330" s="10">
        <v>0</v>
      </c>
      <c r="J330" s="7">
        <v>0</v>
      </c>
      <c r="K330" s="12">
        <v>0</v>
      </c>
      <c r="L330" s="7">
        <v>0</v>
      </c>
      <c r="M330" s="18">
        <f t="shared" si="25"/>
        <v>30</v>
      </c>
      <c r="N330" s="19">
        <f t="shared" si="26"/>
        <v>1</v>
      </c>
      <c r="O330" s="18">
        <f t="shared" si="27"/>
        <v>0</v>
      </c>
      <c r="P330" s="18" t="str">
        <f t="shared" si="28"/>
        <v>OK</v>
      </c>
      <c r="Q330" s="12" t="s">
        <v>175</v>
      </c>
      <c r="R330" s="10">
        <f t="shared" si="29"/>
        <v>0</v>
      </c>
      <c r="S330" s="10">
        <v>0</v>
      </c>
      <c r="T330" s="10">
        <v>0</v>
      </c>
      <c r="U330" s="10">
        <v>0</v>
      </c>
      <c r="V330" s="12"/>
    </row>
    <row r="331" spans="1:22" x14ac:dyDescent="0.25">
      <c r="A331" t="s">
        <v>140</v>
      </c>
      <c r="B331" t="s">
        <v>180</v>
      </c>
      <c r="C331" s="1">
        <v>46174</v>
      </c>
      <c r="D331" t="s">
        <v>174</v>
      </c>
      <c r="E331" s="10">
        <v>30</v>
      </c>
      <c r="F331" s="7">
        <v>1</v>
      </c>
      <c r="G331" s="10">
        <v>0</v>
      </c>
      <c r="H331" s="7">
        <v>0</v>
      </c>
      <c r="I331" s="10">
        <v>0</v>
      </c>
      <c r="J331" s="7">
        <v>0</v>
      </c>
      <c r="K331" s="12">
        <v>0</v>
      </c>
      <c r="L331" s="7">
        <v>0</v>
      </c>
      <c r="M331" s="18">
        <f t="shared" si="25"/>
        <v>30</v>
      </c>
      <c r="N331" s="19">
        <f t="shared" si="26"/>
        <v>1</v>
      </c>
      <c r="O331" s="18">
        <f t="shared" si="27"/>
        <v>0</v>
      </c>
      <c r="P331" s="18" t="str">
        <f t="shared" si="28"/>
        <v>OK</v>
      </c>
      <c r="Q331" s="12" t="s">
        <v>175</v>
      </c>
      <c r="R331" s="10">
        <f t="shared" si="29"/>
        <v>0</v>
      </c>
      <c r="S331" s="10">
        <v>0</v>
      </c>
      <c r="T331" s="10">
        <v>0</v>
      </c>
      <c r="U331" s="10">
        <v>0</v>
      </c>
      <c r="V331" s="12"/>
    </row>
    <row r="332" spans="1:22" x14ac:dyDescent="0.25">
      <c r="A332" t="s">
        <v>140</v>
      </c>
      <c r="B332" t="s">
        <v>181</v>
      </c>
      <c r="C332" s="1">
        <v>46204</v>
      </c>
      <c r="D332" t="s">
        <v>182</v>
      </c>
      <c r="E332" s="10">
        <v>30</v>
      </c>
      <c r="F332" s="7">
        <v>1</v>
      </c>
      <c r="G332" s="10">
        <v>0</v>
      </c>
      <c r="H332" s="7">
        <v>0</v>
      </c>
      <c r="I332" s="10">
        <v>0</v>
      </c>
      <c r="J332" s="7">
        <v>0</v>
      </c>
      <c r="K332" s="12">
        <v>0</v>
      </c>
      <c r="L332" s="7">
        <v>0</v>
      </c>
      <c r="M332" s="18">
        <f t="shared" si="25"/>
        <v>30</v>
      </c>
      <c r="N332" s="19">
        <f t="shared" si="26"/>
        <v>1</v>
      </c>
      <c r="O332" s="18">
        <f t="shared" si="27"/>
        <v>0</v>
      </c>
      <c r="P332" s="18" t="str">
        <f t="shared" si="28"/>
        <v>OK</v>
      </c>
      <c r="Q332" s="12" t="s">
        <v>175</v>
      </c>
      <c r="R332" s="10">
        <f t="shared" si="29"/>
        <v>0</v>
      </c>
      <c r="S332" s="10">
        <v>0</v>
      </c>
      <c r="T332" s="10">
        <v>0</v>
      </c>
      <c r="U332" s="10">
        <v>0</v>
      </c>
      <c r="V332" s="12"/>
    </row>
    <row r="333" spans="1:22" x14ac:dyDescent="0.25">
      <c r="A333" t="s">
        <v>140</v>
      </c>
      <c r="B333" t="s">
        <v>183</v>
      </c>
      <c r="C333" s="1">
        <v>46204</v>
      </c>
      <c r="D333" t="s">
        <v>174</v>
      </c>
      <c r="E333" s="10">
        <v>30</v>
      </c>
      <c r="F333" s="7">
        <v>1</v>
      </c>
      <c r="G333" s="10">
        <v>0</v>
      </c>
      <c r="H333" s="7">
        <v>0</v>
      </c>
      <c r="I333" s="10">
        <v>0</v>
      </c>
      <c r="J333" s="7">
        <v>0</v>
      </c>
      <c r="K333" s="12">
        <v>0</v>
      </c>
      <c r="L333" s="7">
        <v>0</v>
      </c>
      <c r="M333" s="18">
        <f t="shared" si="25"/>
        <v>30</v>
      </c>
      <c r="N333" s="19">
        <f t="shared" si="26"/>
        <v>1</v>
      </c>
      <c r="O333" s="18">
        <f t="shared" si="27"/>
        <v>0</v>
      </c>
      <c r="P333" s="18" t="str">
        <f t="shared" si="28"/>
        <v>OK</v>
      </c>
      <c r="Q333" s="12" t="s">
        <v>175</v>
      </c>
      <c r="R333" s="10">
        <f t="shared" si="29"/>
        <v>0</v>
      </c>
      <c r="S333" s="10">
        <v>0</v>
      </c>
      <c r="T333" s="10">
        <v>0</v>
      </c>
      <c r="U333" s="10">
        <v>0</v>
      </c>
      <c r="V333" s="12"/>
    </row>
    <row r="334" spans="1:22" x14ac:dyDescent="0.25">
      <c r="A334" t="s">
        <v>140</v>
      </c>
      <c r="B334" t="s">
        <v>184</v>
      </c>
      <c r="C334" s="1">
        <v>46235</v>
      </c>
      <c r="D334" t="s">
        <v>174</v>
      </c>
      <c r="E334" s="10">
        <v>30</v>
      </c>
      <c r="F334" s="7">
        <v>1</v>
      </c>
      <c r="G334" s="10">
        <v>0</v>
      </c>
      <c r="H334" s="7">
        <v>0</v>
      </c>
      <c r="I334" s="10">
        <v>0</v>
      </c>
      <c r="J334" s="7">
        <v>0</v>
      </c>
      <c r="K334" s="12">
        <v>0</v>
      </c>
      <c r="L334" s="7">
        <v>0</v>
      </c>
      <c r="M334" s="18">
        <f t="shared" si="25"/>
        <v>30</v>
      </c>
      <c r="N334" s="19">
        <f t="shared" si="26"/>
        <v>1</v>
      </c>
      <c r="O334" s="18">
        <f t="shared" si="27"/>
        <v>0</v>
      </c>
      <c r="P334" s="18" t="str">
        <f t="shared" si="28"/>
        <v>OK</v>
      </c>
      <c r="Q334" s="12" t="s">
        <v>175</v>
      </c>
      <c r="R334" s="10">
        <f t="shared" si="29"/>
        <v>0</v>
      </c>
      <c r="S334" s="10">
        <v>0</v>
      </c>
      <c r="T334" s="10">
        <v>0</v>
      </c>
      <c r="U334" s="10">
        <v>0</v>
      </c>
      <c r="V334" s="12"/>
    </row>
    <row r="335" spans="1:22" x14ac:dyDescent="0.25">
      <c r="A335" t="s">
        <v>140</v>
      </c>
      <c r="B335" t="s">
        <v>185</v>
      </c>
      <c r="C335" s="1">
        <v>46266</v>
      </c>
      <c r="D335" t="s">
        <v>174</v>
      </c>
      <c r="E335" s="10">
        <v>30</v>
      </c>
      <c r="F335" s="7">
        <v>1</v>
      </c>
      <c r="G335" s="10">
        <v>0</v>
      </c>
      <c r="H335" s="7">
        <v>0</v>
      </c>
      <c r="I335" s="10">
        <v>0</v>
      </c>
      <c r="J335" s="7">
        <v>0</v>
      </c>
      <c r="K335" s="12">
        <v>0</v>
      </c>
      <c r="L335" s="7">
        <v>0</v>
      </c>
      <c r="M335" s="18">
        <f t="shared" si="25"/>
        <v>30</v>
      </c>
      <c r="N335" s="19">
        <f t="shared" si="26"/>
        <v>1</v>
      </c>
      <c r="O335" s="18">
        <f t="shared" si="27"/>
        <v>0</v>
      </c>
      <c r="P335" s="18" t="str">
        <f t="shared" si="28"/>
        <v>OK</v>
      </c>
      <c r="Q335" s="12" t="s">
        <v>175</v>
      </c>
      <c r="R335" s="10">
        <f t="shared" si="29"/>
        <v>0</v>
      </c>
      <c r="S335" s="10">
        <v>0</v>
      </c>
      <c r="T335" s="10">
        <v>0</v>
      </c>
      <c r="U335" s="10">
        <v>0</v>
      </c>
      <c r="V335" s="12"/>
    </row>
    <row r="336" spans="1:22" x14ac:dyDescent="0.25">
      <c r="A336" t="s">
        <v>140</v>
      </c>
      <c r="B336" t="s">
        <v>186</v>
      </c>
      <c r="C336" s="1">
        <v>46296</v>
      </c>
      <c r="D336" t="s">
        <v>174</v>
      </c>
      <c r="E336" s="10">
        <v>30</v>
      </c>
      <c r="F336" s="7">
        <v>1</v>
      </c>
      <c r="G336" s="10">
        <v>0</v>
      </c>
      <c r="H336" s="7">
        <v>0</v>
      </c>
      <c r="I336" s="10">
        <v>0</v>
      </c>
      <c r="J336" s="7">
        <v>0</v>
      </c>
      <c r="K336" s="12">
        <v>0</v>
      </c>
      <c r="L336" s="7">
        <v>0</v>
      </c>
      <c r="M336" s="18">
        <f t="shared" si="25"/>
        <v>30</v>
      </c>
      <c r="N336" s="19">
        <f t="shared" si="26"/>
        <v>1</v>
      </c>
      <c r="O336" s="18">
        <f t="shared" si="27"/>
        <v>0</v>
      </c>
      <c r="P336" s="18" t="str">
        <f t="shared" si="28"/>
        <v>OK</v>
      </c>
      <c r="Q336" s="12" t="s">
        <v>175</v>
      </c>
      <c r="R336" s="10">
        <f t="shared" si="29"/>
        <v>0</v>
      </c>
      <c r="S336" s="10">
        <v>0</v>
      </c>
      <c r="T336" s="10">
        <v>0</v>
      </c>
      <c r="U336" s="10">
        <v>0</v>
      </c>
      <c r="V336" s="12"/>
    </row>
    <row r="337" spans="1:22" x14ac:dyDescent="0.25">
      <c r="A337" t="s">
        <v>140</v>
      </c>
      <c r="B337" t="s">
        <v>187</v>
      </c>
      <c r="C337" s="1">
        <v>46327</v>
      </c>
      <c r="D337" t="s">
        <v>174</v>
      </c>
      <c r="E337" s="10">
        <v>30</v>
      </c>
      <c r="F337" s="7">
        <v>1</v>
      </c>
      <c r="G337" s="10">
        <v>0</v>
      </c>
      <c r="H337" s="7">
        <v>0</v>
      </c>
      <c r="I337" s="10">
        <v>0</v>
      </c>
      <c r="J337" s="7">
        <v>0</v>
      </c>
      <c r="K337" s="12">
        <v>0</v>
      </c>
      <c r="L337" s="7">
        <v>0</v>
      </c>
      <c r="M337" s="18">
        <f t="shared" si="25"/>
        <v>30</v>
      </c>
      <c r="N337" s="19">
        <f t="shared" si="26"/>
        <v>1</v>
      </c>
      <c r="O337" s="18">
        <f t="shared" si="27"/>
        <v>0</v>
      </c>
      <c r="P337" s="18" t="str">
        <f t="shared" si="28"/>
        <v>OK</v>
      </c>
      <c r="Q337" s="12" t="s">
        <v>175</v>
      </c>
      <c r="R337" s="10">
        <f t="shared" si="29"/>
        <v>0</v>
      </c>
      <c r="S337" s="10">
        <v>0</v>
      </c>
      <c r="T337" s="10">
        <v>0</v>
      </c>
      <c r="U337" s="10">
        <v>0</v>
      </c>
      <c r="V337" s="12"/>
    </row>
    <row r="338" spans="1:22" x14ac:dyDescent="0.25">
      <c r="A338" t="s">
        <v>140</v>
      </c>
      <c r="B338" t="s">
        <v>188</v>
      </c>
      <c r="C338" s="1">
        <v>46357</v>
      </c>
      <c r="D338" t="s">
        <v>182</v>
      </c>
      <c r="E338" s="10">
        <v>30</v>
      </c>
      <c r="F338" s="7">
        <v>1</v>
      </c>
      <c r="G338" s="10">
        <v>0</v>
      </c>
      <c r="H338" s="7">
        <v>0</v>
      </c>
      <c r="I338" s="10">
        <v>0</v>
      </c>
      <c r="J338" s="7">
        <v>0</v>
      </c>
      <c r="K338" s="12">
        <v>0</v>
      </c>
      <c r="L338" s="7">
        <v>0</v>
      </c>
      <c r="M338" s="18">
        <f t="shared" si="25"/>
        <v>30</v>
      </c>
      <c r="N338" s="19">
        <f t="shared" si="26"/>
        <v>1</v>
      </c>
      <c r="O338" s="18">
        <f t="shared" si="27"/>
        <v>0</v>
      </c>
      <c r="P338" s="18" t="str">
        <f t="shared" si="28"/>
        <v>OK</v>
      </c>
      <c r="Q338" s="12" t="s">
        <v>175</v>
      </c>
      <c r="R338" s="10">
        <f t="shared" si="29"/>
        <v>0</v>
      </c>
      <c r="S338" s="10">
        <v>0</v>
      </c>
      <c r="T338" s="10">
        <v>0</v>
      </c>
      <c r="U338" s="10">
        <v>0</v>
      </c>
      <c r="V338" s="12"/>
    </row>
    <row r="339" spans="1:22" x14ac:dyDescent="0.25">
      <c r="A339" t="s">
        <v>140</v>
      </c>
      <c r="B339" t="s">
        <v>189</v>
      </c>
      <c r="C339" s="1">
        <v>46357</v>
      </c>
      <c r="D339" t="s">
        <v>174</v>
      </c>
      <c r="E339" s="10">
        <v>30</v>
      </c>
      <c r="F339" s="7">
        <v>1</v>
      </c>
      <c r="G339" s="10">
        <v>0</v>
      </c>
      <c r="H339" s="7">
        <v>0</v>
      </c>
      <c r="I339" s="10">
        <v>0</v>
      </c>
      <c r="J339" s="7">
        <v>0</v>
      </c>
      <c r="K339" s="12">
        <v>0</v>
      </c>
      <c r="L339" s="7">
        <v>0</v>
      </c>
      <c r="M339" s="18">
        <f t="shared" si="25"/>
        <v>30</v>
      </c>
      <c r="N339" s="19">
        <f t="shared" si="26"/>
        <v>1</v>
      </c>
      <c r="O339" s="18">
        <f t="shared" si="27"/>
        <v>0</v>
      </c>
      <c r="P339" s="18" t="str">
        <f t="shared" si="28"/>
        <v>OK</v>
      </c>
      <c r="Q339" s="12" t="s">
        <v>175</v>
      </c>
      <c r="R339" s="10">
        <f t="shared" si="29"/>
        <v>0</v>
      </c>
      <c r="S339" s="10">
        <v>0</v>
      </c>
      <c r="T339" s="10">
        <v>0</v>
      </c>
      <c r="U339" s="10">
        <v>0</v>
      </c>
      <c r="V339" s="12"/>
    </row>
  </sheetData>
  <mergeCells count="5">
    <mergeCell ref="A2:D2"/>
    <mergeCell ref="E2:L2"/>
    <mergeCell ref="M2:P2"/>
    <mergeCell ref="A1:X1"/>
    <mergeCell ref="Q2:X2"/>
  </mergeCells>
  <conditionalFormatting sqref="P4:P339">
    <cfRule type="expression" dxfId="7" priority="1">
      <formula>P4&lt;&gt;"OK"</formula>
    </cfRule>
  </conditionalFormatting>
  <conditionalFormatting sqref="R4:R339">
    <cfRule type="expression" dxfId="6" priority="2">
      <formula>AND($Q4="Nacimiento/cuidado menor",$R4=0)</formula>
    </cfRule>
  </conditionalFormatting>
  <dataValidations count="3">
    <dataValidation type="decimal" sqref="F4:F339 L4:L339 J4:J339 H4:H339" xr:uid="{00000000-0002-0000-0400-000000000000}">
      <formula1>0</formula1>
      <formula2>1</formula2>
    </dataValidation>
    <dataValidation sqref="E4:E339 K4:K339 I4:I339 G4:G339" xr:uid="{00000000-0002-0000-0400-000001000000}">
      <formula1>0</formula1>
      <formula2>30</formula2>
    </dataValidation>
    <dataValidation type="list" sqref="Q4:Q339" xr:uid="{00000000-0002-0000-0400-000002000000}">
      <formula1>"Normal,Lactancia,Nacimiento/cuidado menor,Reducción jornada,IT,Permiso retribuido,Otra"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L340"/>
  <sheetViews>
    <sheetView workbookViewId="0"/>
  </sheetViews>
  <sheetFormatPr baseColWidth="10" defaultColWidth="9.140625" defaultRowHeight="15" x14ac:dyDescent="0.25"/>
  <cols>
    <col min="1" max="1" width="20" customWidth="1"/>
    <col min="2" max="4" width="13" customWidth="1"/>
    <col min="5" max="5" width="24" customWidth="1"/>
    <col min="6" max="7" width="13" customWidth="1"/>
    <col min="8" max="14" width="18" customWidth="1"/>
    <col min="15" max="23" width="15" customWidth="1"/>
    <col min="24" max="24" width="18" customWidth="1"/>
    <col min="25" max="28" width="15" customWidth="1"/>
    <col min="29" max="29" width="18" customWidth="1"/>
    <col min="30" max="32" width="15" customWidth="1"/>
    <col min="33" max="33" width="18" customWidth="1"/>
    <col min="34" max="34" width="15" customWidth="1"/>
    <col min="35" max="35" width="18" customWidth="1"/>
    <col min="36" max="36" width="20" customWidth="1"/>
    <col min="37" max="37" width="16" customWidth="1"/>
    <col min="38" max="39" width="20" customWidth="1"/>
    <col min="40" max="40" width="16" customWidth="1"/>
    <col min="41" max="41" width="20" customWidth="1"/>
    <col min="42" max="42" width="18" customWidth="1"/>
    <col min="43" max="43" width="15" customWidth="1"/>
    <col min="44" max="44" width="18" customWidth="1"/>
    <col min="45" max="45" width="15" customWidth="1"/>
    <col min="46" max="47" width="18" customWidth="1"/>
    <col min="48" max="48" width="15" customWidth="1"/>
    <col min="49" max="49" width="18" customWidth="1"/>
    <col min="50" max="50" width="15" customWidth="1"/>
    <col min="51" max="52" width="18" customWidth="1"/>
    <col min="53" max="53" width="15" customWidth="1"/>
    <col min="54" max="54" width="18" customWidth="1"/>
    <col min="55" max="55" width="15" customWidth="1"/>
    <col min="56" max="57" width="18" customWidth="1"/>
    <col min="58" max="58" width="15" customWidth="1"/>
    <col min="59" max="59" width="18" customWidth="1"/>
    <col min="60" max="60" width="15" customWidth="1"/>
    <col min="61" max="62" width="18" customWidth="1"/>
    <col min="63" max="63" width="15" customWidth="1"/>
    <col min="64" max="64" width="18" customWidth="1"/>
    <col min="65" max="65" width="15" customWidth="1"/>
    <col min="66" max="67" width="18" customWidth="1"/>
    <col min="68" max="68" width="15" customWidth="1"/>
    <col min="69" max="69" width="18" customWidth="1"/>
    <col min="70" max="70" width="15" customWidth="1"/>
    <col min="71" max="73" width="18" customWidth="1"/>
    <col min="74" max="74" width="20" customWidth="1"/>
    <col min="75" max="78" width="24" customWidth="1"/>
  </cols>
  <sheetData>
    <row r="1" spans="1:90" ht="26.1" customHeight="1" x14ac:dyDescent="0.3">
      <c r="A1" s="48" t="s">
        <v>192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9"/>
      <c r="Z1" s="49"/>
      <c r="AA1" s="49"/>
      <c r="AB1" s="49"/>
      <c r="AC1" s="49"/>
      <c r="AD1" s="49"/>
      <c r="AE1" s="49"/>
      <c r="AF1" s="49"/>
      <c r="AG1" s="49"/>
      <c r="AH1" s="48"/>
      <c r="AI1" s="48"/>
      <c r="AJ1" s="48"/>
      <c r="AK1" s="48"/>
      <c r="AL1" s="48"/>
      <c r="AM1" s="48"/>
      <c r="AN1" s="48"/>
      <c r="AO1" s="48"/>
      <c r="AP1" s="48"/>
      <c r="AQ1" s="48"/>
      <c r="AR1" s="49"/>
      <c r="AS1" s="49"/>
      <c r="AT1" s="49"/>
      <c r="AU1" s="49"/>
      <c r="AV1" s="49"/>
      <c r="AW1" s="49"/>
      <c r="AX1" s="49"/>
      <c r="AY1" s="49"/>
      <c r="AZ1" s="49"/>
      <c r="BA1" s="48"/>
      <c r="BB1" s="48"/>
      <c r="BC1" s="48"/>
      <c r="BD1" s="48"/>
      <c r="BE1" s="48"/>
      <c r="BF1" s="48"/>
      <c r="BG1" s="48"/>
      <c r="BH1" s="48"/>
      <c r="BI1" s="48"/>
      <c r="BJ1" s="48"/>
      <c r="BK1" s="48"/>
      <c r="BL1" s="48"/>
      <c r="BM1" s="48"/>
      <c r="BN1" s="48"/>
      <c r="BO1" s="48"/>
      <c r="BP1" s="48"/>
      <c r="BQ1" s="48"/>
      <c r="BR1" s="48"/>
      <c r="BS1" s="48"/>
      <c r="BT1" s="48"/>
      <c r="BU1" s="48"/>
      <c r="BV1" s="48"/>
      <c r="BW1" s="48"/>
      <c r="BX1" s="48"/>
      <c r="BY1" s="48"/>
      <c r="BZ1" s="48"/>
      <c r="CA1" s="49"/>
      <c r="CB1" s="49"/>
      <c r="CC1" s="49"/>
      <c r="CD1" s="49"/>
      <c r="CE1" s="49"/>
      <c r="CF1" s="49"/>
      <c r="CG1" s="49"/>
      <c r="CH1" s="49"/>
      <c r="CI1" s="49"/>
      <c r="CJ1" s="49"/>
      <c r="CK1" s="49"/>
      <c r="CL1" s="49"/>
    </row>
    <row r="2" spans="1:90" ht="27.95" customHeight="1" x14ac:dyDescent="0.25">
      <c r="AP2" s="50" t="s">
        <v>193</v>
      </c>
      <c r="AQ2" s="50"/>
      <c r="AR2" s="50"/>
      <c r="AS2" s="50"/>
      <c r="AT2" s="50"/>
      <c r="AU2" s="50"/>
      <c r="AV2" s="50"/>
      <c r="AW2" s="50"/>
      <c r="AX2" s="50"/>
      <c r="AY2" s="50"/>
      <c r="AZ2" s="50"/>
      <c r="BA2" s="50"/>
      <c r="BB2" s="50"/>
      <c r="BC2" s="50"/>
      <c r="BD2" s="50"/>
      <c r="BE2" s="50" t="s">
        <v>194</v>
      </c>
      <c r="BF2" s="50"/>
      <c r="BG2" s="50"/>
      <c r="BH2" s="50"/>
      <c r="BI2" s="50"/>
      <c r="BJ2" s="50"/>
      <c r="BK2" s="50"/>
      <c r="BL2" s="50"/>
      <c r="BM2" s="50"/>
      <c r="BN2" s="50"/>
      <c r="BO2" s="50"/>
      <c r="BP2" s="50"/>
      <c r="BQ2" s="50"/>
      <c r="BR2" s="50"/>
      <c r="BS2" s="50"/>
    </row>
    <row r="3" spans="1:90" ht="44.1" customHeight="1" x14ac:dyDescent="0.25">
      <c r="A3" s="17" t="s">
        <v>149</v>
      </c>
      <c r="B3" s="17" t="s">
        <v>150</v>
      </c>
      <c r="C3" s="17" t="s">
        <v>151</v>
      </c>
      <c r="D3" s="17" t="s">
        <v>195</v>
      </c>
      <c r="E3" s="17" t="s">
        <v>165</v>
      </c>
      <c r="F3" s="17" t="s">
        <v>162</v>
      </c>
      <c r="G3" s="17" t="s">
        <v>196</v>
      </c>
      <c r="H3" s="24" t="s">
        <v>197</v>
      </c>
      <c r="I3" s="24" t="s">
        <v>198</v>
      </c>
      <c r="J3" s="24" t="s">
        <v>199</v>
      </c>
      <c r="K3" s="16" t="s">
        <v>200</v>
      </c>
      <c r="L3" s="24" t="s">
        <v>201</v>
      </c>
      <c r="M3" s="16" t="s">
        <v>163</v>
      </c>
      <c r="N3" s="24" t="s">
        <v>202</v>
      </c>
      <c r="O3" s="17" t="s">
        <v>203</v>
      </c>
      <c r="P3" s="17" t="s">
        <v>93</v>
      </c>
      <c r="Q3" s="17" t="s">
        <v>204</v>
      </c>
      <c r="R3" s="17" t="s">
        <v>205</v>
      </c>
      <c r="S3" s="17" t="s">
        <v>206</v>
      </c>
      <c r="T3" s="17" t="s">
        <v>207</v>
      </c>
      <c r="U3" s="17" t="s">
        <v>208</v>
      </c>
      <c r="V3" s="17" t="s">
        <v>209</v>
      </c>
      <c r="W3" s="17" t="s">
        <v>210</v>
      </c>
      <c r="X3" s="17" t="s">
        <v>211</v>
      </c>
      <c r="Y3" s="17" t="s">
        <v>212</v>
      </c>
      <c r="Z3" s="6" t="s">
        <v>213</v>
      </c>
      <c r="AA3" s="6" t="s">
        <v>214</v>
      </c>
      <c r="AB3" s="11" t="s">
        <v>215</v>
      </c>
      <c r="AC3" s="11" t="s">
        <v>216</v>
      </c>
      <c r="AD3" s="17" t="s">
        <v>217</v>
      </c>
      <c r="AE3" s="17" t="s">
        <v>218</v>
      </c>
      <c r="AF3" s="11" t="s">
        <v>219</v>
      </c>
      <c r="AG3" s="11" t="s">
        <v>220</v>
      </c>
      <c r="AH3" s="11" t="s">
        <v>221</v>
      </c>
      <c r="AI3" s="11" t="s">
        <v>222</v>
      </c>
      <c r="AJ3" s="11" t="s">
        <v>223</v>
      </c>
      <c r="AK3" s="11" t="s">
        <v>224</v>
      </c>
      <c r="AL3" s="11" t="s">
        <v>225</v>
      </c>
      <c r="AM3" s="11" t="s">
        <v>226</v>
      </c>
      <c r="AN3" s="11" t="s">
        <v>227</v>
      </c>
      <c r="AO3" s="11" t="s">
        <v>228</v>
      </c>
      <c r="AP3" s="11" t="s">
        <v>229</v>
      </c>
      <c r="AQ3" s="11" t="s">
        <v>230</v>
      </c>
      <c r="AR3" s="11" t="s">
        <v>231</v>
      </c>
      <c r="AS3" s="11" t="s">
        <v>232</v>
      </c>
      <c r="AT3" s="11" t="s">
        <v>233</v>
      </c>
      <c r="AU3" s="6" t="s">
        <v>234</v>
      </c>
      <c r="AV3" s="6" t="s">
        <v>235</v>
      </c>
      <c r="AW3" s="11" t="s">
        <v>236</v>
      </c>
      <c r="AX3" s="11" t="s">
        <v>237</v>
      </c>
      <c r="AY3" s="11" t="s">
        <v>238</v>
      </c>
      <c r="AZ3" s="11" t="s">
        <v>239</v>
      </c>
      <c r="BA3" s="11" t="s">
        <v>240</v>
      </c>
      <c r="BB3" s="11" t="s">
        <v>241</v>
      </c>
      <c r="BC3" s="11" t="s">
        <v>242</v>
      </c>
      <c r="BD3" s="11" t="s">
        <v>243</v>
      </c>
      <c r="BE3" s="11" t="s">
        <v>244</v>
      </c>
      <c r="BF3" s="11" t="s">
        <v>245</v>
      </c>
      <c r="BG3" s="11" t="s">
        <v>246</v>
      </c>
      <c r="BH3" s="11" t="s">
        <v>247</v>
      </c>
      <c r="BI3" s="11" t="s">
        <v>248</v>
      </c>
      <c r="BJ3" s="11" t="s">
        <v>249</v>
      </c>
      <c r="BK3" s="11" t="s">
        <v>250</v>
      </c>
      <c r="BL3" s="11" t="s">
        <v>251</v>
      </c>
      <c r="BM3" s="11" t="s">
        <v>252</v>
      </c>
      <c r="BN3" s="11" t="s">
        <v>253</v>
      </c>
      <c r="BO3" s="11" t="s">
        <v>254</v>
      </c>
      <c r="BP3" s="11" t="s">
        <v>255</v>
      </c>
      <c r="BQ3" s="11" t="s">
        <v>256</v>
      </c>
      <c r="BR3" s="11" t="s">
        <v>257</v>
      </c>
      <c r="BS3" s="11" t="s">
        <v>258</v>
      </c>
      <c r="BT3" s="11" t="s">
        <v>259</v>
      </c>
      <c r="BU3" s="11" t="s">
        <v>260</v>
      </c>
      <c r="BV3" s="11" t="s">
        <v>261</v>
      </c>
      <c r="BW3" s="11" t="s">
        <v>262</v>
      </c>
      <c r="BX3" s="17" t="s">
        <v>263</v>
      </c>
      <c r="BY3" s="16" t="s">
        <v>264</v>
      </c>
      <c r="BZ3" s="24" t="s">
        <v>265</v>
      </c>
      <c r="CA3" t="s">
        <v>266</v>
      </c>
      <c r="CB3" t="s">
        <v>267</v>
      </c>
      <c r="CC3" t="s">
        <v>268</v>
      </c>
      <c r="CD3" t="s">
        <v>269</v>
      </c>
      <c r="CE3" t="s">
        <v>270</v>
      </c>
      <c r="CF3" t="s">
        <v>271</v>
      </c>
      <c r="CG3" t="s">
        <v>272</v>
      </c>
      <c r="CH3" t="s">
        <v>273</v>
      </c>
      <c r="CI3" t="s">
        <v>274</v>
      </c>
      <c r="CJ3" t="s">
        <v>275</v>
      </c>
      <c r="CK3" t="s">
        <v>276</v>
      </c>
      <c r="CL3" t="s">
        <v>277</v>
      </c>
    </row>
    <row r="4" spans="1:90" x14ac:dyDescent="0.25">
      <c r="A4" t="s">
        <v>91</v>
      </c>
      <c r="B4" t="s">
        <v>173</v>
      </c>
      <c r="C4" s="1">
        <v>46023</v>
      </c>
      <c r="D4" t="s">
        <v>174</v>
      </c>
      <c r="E4" t="s">
        <v>175</v>
      </c>
      <c r="F4" s="4">
        <v>1</v>
      </c>
      <c r="G4" s="4">
        <v>0.6</v>
      </c>
      <c r="H4" s="9">
        <v>10089.280000000001</v>
      </c>
      <c r="I4" s="9">
        <v>1681.5466666666666</v>
      </c>
      <c r="J4" s="9">
        <f t="shared" ref="J4:J67" si="0">$H4+$I4</f>
        <v>11770.826666666668</v>
      </c>
      <c r="K4" s="9">
        <v>0</v>
      </c>
      <c r="L4" s="9">
        <f t="shared" ref="L4:L67" si="1">IF($E4="Nacimiento/cuidado menor",$K4*30,0)</f>
        <v>0</v>
      </c>
      <c r="M4">
        <v>0</v>
      </c>
      <c r="N4" s="4">
        <f t="shared" ref="N4:N67" si="2">IF($E4="Nacimiento/cuidado menor",$M4/30,0)</f>
        <v>0</v>
      </c>
      <c r="O4" s="9">
        <v>5917.01</v>
      </c>
      <c r="P4" s="9">
        <v>3783.48</v>
      </c>
      <c r="Q4" s="9">
        <v>42.19</v>
      </c>
      <c r="R4" s="9">
        <v>55.01</v>
      </c>
      <c r="S4" s="9">
        <v>126.56</v>
      </c>
      <c r="T4" s="9">
        <v>165.03</v>
      </c>
      <c r="U4" s="9">
        <v>0</v>
      </c>
      <c r="V4" s="9">
        <v>0</v>
      </c>
      <c r="W4" s="9">
        <f t="shared" ref="W4:W67" si="3">SUM($O4:$V4)</f>
        <v>10089.280000000001</v>
      </c>
      <c r="X4" s="9">
        <v>1681.5466666666666</v>
      </c>
      <c r="Y4" s="9">
        <v>0</v>
      </c>
      <c r="Z4" s="9">
        <v>11770.826666666668</v>
      </c>
      <c r="AA4" s="9">
        <v>0</v>
      </c>
      <c r="AB4" s="9">
        <f t="shared" ref="AB4:AB67" si="4">IF($D4="Mensual",$Z4+$AA4,0)</f>
        <v>11770.826666666668</v>
      </c>
      <c r="AC4" s="9">
        <v>5101.2</v>
      </c>
      <c r="AD4" s="9">
        <v>0</v>
      </c>
      <c r="AE4" s="9">
        <v>9920.5300000000007</v>
      </c>
      <c r="AF4" s="9">
        <v>239.75639999999999</v>
      </c>
      <c r="AG4" s="9">
        <v>1203.8832</v>
      </c>
      <c r="AH4" s="9">
        <v>79.068600000000004</v>
      </c>
      <c r="AI4" s="9">
        <v>280.56599999999997</v>
      </c>
      <c r="AJ4" s="9">
        <v>10.202399999999999</v>
      </c>
      <c r="AK4" s="9">
        <v>5.1011999999999995</v>
      </c>
      <c r="AL4" s="9">
        <v>30.607199999999999</v>
      </c>
      <c r="AM4" s="9">
        <v>7.6517999999999997</v>
      </c>
      <c r="AN4" s="9">
        <v>38.259</v>
      </c>
      <c r="AO4" s="9">
        <v>76.518000000000001</v>
      </c>
      <c r="AP4" s="9">
        <v>510.11999999999989</v>
      </c>
      <c r="AQ4" s="25">
        <v>1.9E-3</v>
      </c>
      <c r="AR4" s="9">
        <f t="shared" ref="AR4:AR67" si="5">$AP4*$AQ4</f>
        <v>0.96922799999999976</v>
      </c>
      <c r="AS4" s="25">
        <v>9.5999999999999992E-3</v>
      </c>
      <c r="AT4" s="9">
        <f t="shared" ref="AT4:AT67" si="6">$AP4*$AS4</f>
        <v>4.8971519999999984</v>
      </c>
      <c r="AU4" s="9">
        <v>2040.4800000000005</v>
      </c>
      <c r="AV4" s="25">
        <v>2.0999999999999999E-3</v>
      </c>
      <c r="AW4" s="9">
        <f t="shared" ref="AW4:AW67" si="7">$AU4*$AV4</f>
        <v>4.2850080000000004</v>
      </c>
      <c r="AX4" s="25">
        <v>1.04E-2</v>
      </c>
      <c r="AY4" s="9">
        <f t="shared" ref="AY4:AY67" si="8">$AU4*$AX4</f>
        <v>21.220992000000003</v>
      </c>
      <c r="AZ4" s="9">
        <v>4119.0266666666676</v>
      </c>
      <c r="BA4" s="25">
        <v>2.3999999999999998E-3</v>
      </c>
      <c r="BB4" s="9">
        <f t="shared" ref="BB4:BB67" si="9">$AZ4*$BA4</f>
        <v>9.885664000000002</v>
      </c>
      <c r="BC4" s="25">
        <v>1.2200000000000001E-2</v>
      </c>
      <c r="BD4" s="9">
        <f t="shared" ref="BD4:BD67" si="10">$AZ4*$BC4</f>
        <v>50.252125333333346</v>
      </c>
      <c r="BE4" s="9">
        <v>510.11999999999989</v>
      </c>
      <c r="BF4" s="9">
        <v>1.9E-3</v>
      </c>
      <c r="BG4" s="9">
        <f t="shared" ref="BG4:BG67" si="11">$BE4*$BF4</f>
        <v>0.96922799999999976</v>
      </c>
      <c r="BH4" s="9">
        <v>9.5999999999999992E-3</v>
      </c>
      <c r="BI4" s="9">
        <f t="shared" ref="BI4:BI67" si="12">$BE4*$BH4</f>
        <v>4.8971519999999984</v>
      </c>
      <c r="BJ4" s="9">
        <v>2040.4800000000005</v>
      </c>
      <c r="BK4" s="9">
        <v>2.0999999999999999E-3</v>
      </c>
      <c r="BL4" s="9">
        <f t="shared" ref="BL4:BL67" si="13">$BJ4*$BK4</f>
        <v>4.2850080000000004</v>
      </c>
      <c r="BM4" s="9">
        <v>1.04E-2</v>
      </c>
      <c r="BN4" s="9">
        <f t="shared" ref="BN4:BN67" si="14">$BJ4*$BM4</f>
        <v>21.220992000000003</v>
      </c>
      <c r="BO4" s="9">
        <v>4119.0266666666676</v>
      </c>
      <c r="BP4" s="9">
        <v>2.3999999999999998E-3</v>
      </c>
      <c r="BQ4" s="9">
        <f t="shared" ref="BQ4:BQ67" si="15">$BO4*$BP4</f>
        <v>9.885664000000002</v>
      </c>
      <c r="BR4" s="9">
        <v>1.2200000000000001E-2</v>
      </c>
      <c r="BS4" s="9">
        <f t="shared" ref="BS4:BS67" si="16">$BO4*$BR4</f>
        <v>50.252125333333346</v>
      </c>
      <c r="BT4" s="9">
        <f t="shared" ref="BT4:BT67" si="17">SUM($AR4,$AW4,$BB4)</f>
        <v>15.139900000000003</v>
      </c>
      <c r="BU4" s="9">
        <f t="shared" ref="BU4:BU67" si="18">SUM($AT4,$AY4,$BD4)</f>
        <v>76.37026933333334</v>
      </c>
      <c r="BV4" s="9">
        <f t="shared" ref="BV4:BV67" si="19">SUM($AF4,$AH4,$AK4,$AM4)+$BT4</f>
        <v>346.71789999999999</v>
      </c>
      <c r="BW4">
        <f t="shared" ref="BW4:BW67" si="20">$BV4+$BX4</f>
        <v>346.71789999999999</v>
      </c>
      <c r="BX4">
        <v>0</v>
      </c>
      <c r="BY4">
        <f t="shared" ref="BY4:BY67" si="21">SUM($AG4,$AI4,$AJ4,$AL4,$AN4,$AO4)+$BU4</f>
        <v>1716.4060693333331</v>
      </c>
      <c r="BZ4">
        <v>3452.9487699455999</v>
      </c>
      <c r="CA4">
        <f t="shared" ref="CA4:CA67" si="22">$W4-$BV4-$BZ4</f>
        <v>6289.6133300544006</v>
      </c>
      <c r="CB4">
        <f t="shared" ref="CB4:CB67" si="23">$W4+$BY4</f>
        <v>11805.686069333333</v>
      </c>
      <c r="CC4">
        <v>0</v>
      </c>
      <c r="CD4">
        <v>0</v>
      </c>
      <c r="CE4">
        <f t="shared" ref="CE4:CE67" si="24">MAX(0,$CC4-$BX4-$CD4)</f>
        <v>0</v>
      </c>
      <c r="CF4">
        <f t="shared" ref="CF4:CF67" si="25">$W4+$CC4</f>
        <v>10089.280000000001</v>
      </c>
      <c r="CG4">
        <f t="shared" ref="CG4:CG67" si="26">$CA4+$CE4</f>
        <v>6289.6133300544006</v>
      </c>
      <c r="CH4">
        <f t="shared" ref="CH4:CH67" si="27">IF($E4="Nacimiento/cuidado menor",MAX(0,$J4-$L4)*$N4,0)</f>
        <v>0</v>
      </c>
      <c r="CJ4" t="s">
        <v>278</v>
      </c>
      <c r="CL4" t="str">
        <f t="shared" ref="CL4:CL67" si="28">IF($E4="Nacimiento/cuidado menor",IF(ABS($CC4-$L4*$N4)&lt;0.02,"OK","REVISAR"),"")</f>
        <v/>
      </c>
    </row>
    <row r="5" spans="1:90" x14ac:dyDescent="0.25">
      <c r="A5" t="s">
        <v>91</v>
      </c>
      <c r="B5" t="s">
        <v>176</v>
      </c>
      <c r="C5" s="1">
        <v>46054</v>
      </c>
      <c r="D5" t="s">
        <v>174</v>
      </c>
      <c r="E5" t="s">
        <v>175</v>
      </c>
      <c r="F5" s="4">
        <v>1</v>
      </c>
      <c r="G5" s="4">
        <v>0.6</v>
      </c>
      <c r="H5" s="9">
        <v>10089.280000000001</v>
      </c>
      <c r="I5" s="9">
        <v>1681.5466666666666</v>
      </c>
      <c r="J5" s="9">
        <f t="shared" si="0"/>
        <v>11770.826666666668</v>
      </c>
      <c r="K5" s="9">
        <v>0</v>
      </c>
      <c r="L5" s="9">
        <f t="shared" si="1"/>
        <v>0</v>
      </c>
      <c r="M5">
        <v>0</v>
      </c>
      <c r="N5" s="4">
        <f t="shared" si="2"/>
        <v>0</v>
      </c>
      <c r="O5" s="9">
        <v>5917.01</v>
      </c>
      <c r="P5" s="9">
        <v>3783.48</v>
      </c>
      <c r="Q5" s="9">
        <v>42.19</v>
      </c>
      <c r="R5" s="9">
        <v>55.01</v>
      </c>
      <c r="S5" s="9">
        <v>126.56</v>
      </c>
      <c r="T5" s="9">
        <v>165.03</v>
      </c>
      <c r="U5" s="9">
        <v>0</v>
      </c>
      <c r="V5" s="9">
        <v>0</v>
      </c>
      <c r="W5" s="9">
        <f t="shared" si="3"/>
        <v>10089.280000000001</v>
      </c>
      <c r="X5" s="9">
        <v>1681.5466666666666</v>
      </c>
      <c r="Y5" s="9">
        <v>0</v>
      </c>
      <c r="Z5" s="9">
        <v>11770.826666666668</v>
      </c>
      <c r="AA5" s="9">
        <v>0</v>
      </c>
      <c r="AB5" s="9">
        <f t="shared" si="4"/>
        <v>11770.826666666668</v>
      </c>
      <c r="AC5" s="9">
        <v>5101.2</v>
      </c>
      <c r="AD5" s="9">
        <v>0</v>
      </c>
      <c r="AE5" s="9">
        <v>9920.5300000000007</v>
      </c>
      <c r="AF5" s="9">
        <v>239.75639999999999</v>
      </c>
      <c r="AG5" s="9">
        <v>1203.8832</v>
      </c>
      <c r="AH5" s="9">
        <v>79.068600000000004</v>
      </c>
      <c r="AI5" s="9">
        <v>280.56599999999997</v>
      </c>
      <c r="AJ5" s="9">
        <v>10.202399999999999</v>
      </c>
      <c r="AK5" s="9">
        <v>5.1011999999999995</v>
      </c>
      <c r="AL5" s="9">
        <v>30.607199999999999</v>
      </c>
      <c r="AM5" s="9">
        <v>7.6517999999999997</v>
      </c>
      <c r="AN5" s="9">
        <v>38.259</v>
      </c>
      <c r="AO5" s="9">
        <v>76.518000000000001</v>
      </c>
      <c r="AP5" s="9">
        <v>510.11999999999989</v>
      </c>
      <c r="AQ5" s="25">
        <v>1.9E-3</v>
      </c>
      <c r="AR5" s="9">
        <f t="shared" si="5"/>
        <v>0.96922799999999976</v>
      </c>
      <c r="AS5" s="25">
        <v>9.5999999999999992E-3</v>
      </c>
      <c r="AT5" s="9">
        <f t="shared" si="6"/>
        <v>4.8971519999999984</v>
      </c>
      <c r="AU5" s="9">
        <v>2040.4800000000005</v>
      </c>
      <c r="AV5" s="25">
        <v>2.0999999999999999E-3</v>
      </c>
      <c r="AW5" s="9">
        <f t="shared" si="7"/>
        <v>4.2850080000000004</v>
      </c>
      <c r="AX5" s="25">
        <v>1.04E-2</v>
      </c>
      <c r="AY5" s="9">
        <f t="shared" si="8"/>
        <v>21.220992000000003</v>
      </c>
      <c r="AZ5" s="9">
        <v>4119.0266666666676</v>
      </c>
      <c r="BA5" s="25">
        <v>2.3999999999999998E-3</v>
      </c>
      <c r="BB5" s="9">
        <f t="shared" si="9"/>
        <v>9.885664000000002</v>
      </c>
      <c r="BC5" s="25">
        <v>1.2200000000000001E-2</v>
      </c>
      <c r="BD5" s="9">
        <f t="shared" si="10"/>
        <v>50.252125333333346</v>
      </c>
      <c r="BE5" s="9">
        <v>510.11999999999989</v>
      </c>
      <c r="BF5" s="9">
        <v>1.9E-3</v>
      </c>
      <c r="BG5" s="9">
        <f t="shared" si="11"/>
        <v>0.96922799999999976</v>
      </c>
      <c r="BH5" s="9">
        <v>9.5999999999999992E-3</v>
      </c>
      <c r="BI5" s="9">
        <f t="shared" si="12"/>
        <v>4.8971519999999984</v>
      </c>
      <c r="BJ5" s="9">
        <v>2040.4800000000005</v>
      </c>
      <c r="BK5" s="9">
        <v>2.0999999999999999E-3</v>
      </c>
      <c r="BL5" s="9">
        <f t="shared" si="13"/>
        <v>4.2850080000000004</v>
      </c>
      <c r="BM5" s="9">
        <v>1.04E-2</v>
      </c>
      <c r="BN5" s="9">
        <f t="shared" si="14"/>
        <v>21.220992000000003</v>
      </c>
      <c r="BO5" s="9">
        <v>3861.6361813333324</v>
      </c>
      <c r="BP5" s="9">
        <v>2.3999999999999998E-3</v>
      </c>
      <c r="BQ5" s="9">
        <f t="shared" si="15"/>
        <v>9.2679268351999973</v>
      </c>
      <c r="BR5" s="9">
        <v>1.2200000000000001E-2</v>
      </c>
      <c r="BS5" s="9">
        <f t="shared" si="16"/>
        <v>47.111961412266659</v>
      </c>
      <c r="BT5" s="9">
        <f t="shared" si="17"/>
        <v>15.139900000000003</v>
      </c>
      <c r="BU5" s="9">
        <f t="shared" si="18"/>
        <v>76.37026933333334</v>
      </c>
      <c r="BV5" s="9">
        <f t="shared" si="19"/>
        <v>346.71789999999999</v>
      </c>
      <c r="BW5">
        <f t="shared" si="20"/>
        <v>346.71789999999999</v>
      </c>
      <c r="BX5">
        <v>0</v>
      </c>
      <c r="BY5">
        <f t="shared" si="21"/>
        <v>1716.4060693333331</v>
      </c>
      <c r="BZ5">
        <v>3452.9487699455999</v>
      </c>
      <c r="CA5">
        <f t="shared" si="22"/>
        <v>6289.6133300544006</v>
      </c>
      <c r="CB5">
        <f t="shared" si="23"/>
        <v>11805.686069333333</v>
      </c>
      <c r="CC5">
        <v>0</v>
      </c>
      <c r="CD5">
        <v>0</v>
      </c>
      <c r="CE5">
        <f t="shared" si="24"/>
        <v>0</v>
      </c>
      <c r="CF5">
        <f t="shared" si="25"/>
        <v>10089.280000000001</v>
      </c>
      <c r="CG5">
        <f t="shared" si="26"/>
        <v>6289.6133300544006</v>
      </c>
      <c r="CH5">
        <f t="shared" si="27"/>
        <v>0</v>
      </c>
      <c r="CJ5" t="s">
        <v>278</v>
      </c>
      <c r="CL5" t="str">
        <f t="shared" si="28"/>
        <v/>
      </c>
    </row>
    <row r="6" spans="1:90" x14ac:dyDescent="0.25">
      <c r="A6" t="s">
        <v>91</v>
      </c>
      <c r="B6" t="s">
        <v>177</v>
      </c>
      <c r="C6" s="1">
        <v>46082</v>
      </c>
      <c r="D6" t="s">
        <v>174</v>
      </c>
      <c r="E6" t="s">
        <v>175</v>
      </c>
      <c r="F6" s="4">
        <v>1</v>
      </c>
      <c r="G6" s="4">
        <v>0.6</v>
      </c>
      <c r="H6" s="9">
        <v>10089.280000000001</v>
      </c>
      <c r="I6" s="9">
        <v>1681.5466666666666</v>
      </c>
      <c r="J6" s="9">
        <f t="shared" si="0"/>
        <v>11770.826666666668</v>
      </c>
      <c r="K6" s="9">
        <v>0</v>
      </c>
      <c r="L6" s="9">
        <f t="shared" si="1"/>
        <v>0</v>
      </c>
      <c r="M6">
        <v>0</v>
      </c>
      <c r="N6" s="4">
        <f t="shared" si="2"/>
        <v>0</v>
      </c>
      <c r="O6" s="9">
        <v>5917.01</v>
      </c>
      <c r="P6" s="9">
        <v>3783.48</v>
      </c>
      <c r="Q6" s="9">
        <v>42.19</v>
      </c>
      <c r="R6" s="9">
        <v>55.01</v>
      </c>
      <c r="S6" s="9">
        <v>126.56</v>
      </c>
      <c r="T6" s="9">
        <v>165.03</v>
      </c>
      <c r="U6" s="9">
        <v>0</v>
      </c>
      <c r="V6" s="9">
        <v>0</v>
      </c>
      <c r="W6" s="9">
        <f t="shared" si="3"/>
        <v>10089.280000000001</v>
      </c>
      <c r="X6" s="9">
        <v>1681.5466666666666</v>
      </c>
      <c r="Y6" s="9">
        <v>0</v>
      </c>
      <c r="Z6" s="9">
        <v>11770.826666666668</v>
      </c>
      <c r="AA6" s="9">
        <v>0</v>
      </c>
      <c r="AB6" s="9">
        <f t="shared" si="4"/>
        <v>11770.826666666668</v>
      </c>
      <c r="AC6" s="9">
        <v>5101.2</v>
      </c>
      <c r="AD6" s="9">
        <v>0</v>
      </c>
      <c r="AE6" s="9">
        <v>9920.5300000000007</v>
      </c>
      <c r="AF6" s="9">
        <v>239.75639999999999</v>
      </c>
      <c r="AG6" s="9">
        <v>1203.8832</v>
      </c>
      <c r="AH6" s="9">
        <v>79.068600000000004</v>
      </c>
      <c r="AI6" s="9">
        <v>280.56599999999997</v>
      </c>
      <c r="AJ6" s="9">
        <v>10.202399999999999</v>
      </c>
      <c r="AK6" s="9">
        <v>5.1011999999999995</v>
      </c>
      <c r="AL6" s="9">
        <v>30.607199999999999</v>
      </c>
      <c r="AM6" s="9">
        <v>7.6517999999999997</v>
      </c>
      <c r="AN6" s="9">
        <v>38.259</v>
      </c>
      <c r="AO6" s="9">
        <v>76.518000000000001</v>
      </c>
      <c r="AP6" s="9">
        <v>510.11999999999989</v>
      </c>
      <c r="AQ6" s="25">
        <v>1.9E-3</v>
      </c>
      <c r="AR6" s="9">
        <f t="shared" si="5"/>
        <v>0.96922799999999976</v>
      </c>
      <c r="AS6" s="25">
        <v>9.5999999999999992E-3</v>
      </c>
      <c r="AT6" s="9">
        <f t="shared" si="6"/>
        <v>4.8971519999999984</v>
      </c>
      <c r="AU6" s="9">
        <v>2040.4800000000005</v>
      </c>
      <c r="AV6" s="25">
        <v>2.0999999999999999E-3</v>
      </c>
      <c r="AW6" s="9">
        <f t="shared" si="7"/>
        <v>4.2850080000000004</v>
      </c>
      <c r="AX6" s="25">
        <v>1.04E-2</v>
      </c>
      <c r="AY6" s="9">
        <f t="shared" si="8"/>
        <v>21.220992000000003</v>
      </c>
      <c r="AZ6" s="9">
        <v>4119.0266666666676</v>
      </c>
      <c r="BA6" s="25">
        <v>2.3999999999999998E-3</v>
      </c>
      <c r="BB6" s="9">
        <f t="shared" si="9"/>
        <v>9.885664000000002</v>
      </c>
      <c r="BC6" s="25">
        <v>1.2200000000000001E-2</v>
      </c>
      <c r="BD6" s="9">
        <f t="shared" si="10"/>
        <v>50.252125333333346</v>
      </c>
      <c r="BE6" s="9">
        <v>510.11999999999989</v>
      </c>
      <c r="BF6" s="9">
        <v>1.9E-3</v>
      </c>
      <c r="BG6" s="9">
        <f t="shared" si="11"/>
        <v>0.96922799999999976</v>
      </c>
      <c r="BH6" s="9">
        <v>9.5999999999999992E-3</v>
      </c>
      <c r="BI6" s="9">
        <f t="shared" si="12"/>
        <v>4.8971519999999984</v>
      </c>
      <c r="BJ6" s="9">
        <v>2040.4800000000005</v>
      </c>
      <c r="BK6" s="9">
        <v>2.0999999999999999E-3</v>
      </c>
      <c r="BL6" s="9">
        <f t="shared" si="13"/>
        <v>4.2850080000000004</v>
      </c>
      <c r="BM6" s="9">
        <v>1.04E-2</v>
      </c>
      <c r="BN6" s="9">
        <f t="shared" si="14"/>
        <v>21.220992000000003</v>
      </c>
      <c r="BO6" s="9">
        <v>3861.6361813333324</v>
      </c>
      <c r="BP6" s="9">
        <v>2.3999999999999998E-3</v>
      </c>
      <c r="BQ6" s="9">
        <f t="shared" si="15"/>
        <v>9.2679268351999973</v>
      </c>
      <c r="BR6" s="9">
        <v>1.2200000000000001E-2</v>
      </c>
      <c r="BS6" s="9">
        <f t="shared" si="16"/>
        <v>47.111961412266659</v>
      </c>
      <c r="BT6" s="9">
        <f t="shared" si="17"/>
        <v>15.139900000000003</v>
      </c>
      <c r="BU6" s="9">
        <f t="shared" si="18"/>
        <v>76.37026933333334</v>
      </c>
      <c r="BV6" s="9">
        <f t="shared" si="19"/>
        <v>346.71789999999999</v>
      </c>
      <c r="BW6">
        <f t="shared" si="20"/>
        <v>346.71789999999999</v>
      </c>
      <c r="BX6">
        <v>0</v>
      </c>
      <c r="BY6">
        <f t="shared" si="21"/>
        <v>1716.4060693333331</v>
      </c>
      <c r="BZ6">
        <v>3452.9487699455999</v>
      </c>
      <c r="CA6">
        <f t="shared" si="22"/>
        <v>6289.6133300544006</v>
      </c>
      <c r="CB6">
        <f t="shared" si="23"/>
        <v>11805.686069333333</v>
      </c>
      <c r="CC6">
        <v>0</v>
      </c>
      <c r="CD6">
        <v>0</v>
      </c>
      <c r="CE6">
        <f t="shared" si="24"/>
        <v>0</v>
      </c>
      <c r="CF6">
        <f t="shared" si="25"/>
        <v>10089.280000000001</v>
      </c>
      <c r="CG6">
        <f t="shared" si="26"/>
        <v>6289.6133300544006</v>
      </c>
      <c r="CH6">
        <f t="shared" si="27"/>
        <v>0</v>
      </c>
      <c r="CJ6" t="s">
        <v>278</v>
      </c>
      <c r="CL6" t="str">
        <f t="shared" si="28"/>
        <v/>
      </c>
    </row>
    <row r="7" spans="1:90" x14ac:dyDescent="0.25">
      <c r="A7" t="s">
        <v>91</v>
      </c>
      <c r="B7" t="s">
        <v>178</v>
      </c>
      <c r="C7" s="1">
        <v>46113</v>
      </c>
      <c r="D7" t="s">
        <v>174</v>
      </c>
      <c r="E7" t="s">
        <v>175</v>
      </c>
      <c r="F7" s="4">
        <v>1</v>
      </c>
      <c r="G7" s="4">
        <v>0.6</v>
      </c>
      <c r="H7" s="9">
        <v>10089.280000000001</v>
      </c>
      <c r="I7" s="9">
        <v>1681.5466666666666</v>
      </c>
      <c r="J7" s="9">
        <f t="shared" si="0"/>
        <v>11770.826666666668</v>
      </c>
      <c r="K7" s="9">
        <v>0</v>
      </c>
      <c r="L7" s="9">
        <f t="shared" si="1"/>
        <v>0</v>
      </c>
      <c r="M7">
        <v>0</v>
      </c>
      <c r="N7" s="4">
        <f t="shared" si="2"/>
        <v>0</v>
      </c>
      <c r="O7" s="9">
        <v>5917.01</v>
      </c>
      <c r="P7" s="9">
        <v>3783.48</v>
      </c>
      <c r="Q7" s="9">
        <v>42.19</v>
      </c>
      <c r="R7" s="9">
        <v>55.01</v>
      </c>
      <c r="S7" s="9">
        <v>126.56</v>
      </c>
      <c r="T7" s="9">
        <v>165.03</v>
      </c>
      <c r="U7" s="9">
        <v>0</v>
      </c>
      <c r="V7" s="9">
        <v>0</v>
      </c>
      <c r="W7" s="9">
        <f t="shared" si="3"/>
        <v>10089.280000000001</v>
      </c>
      <c r="X7" s="9">
        <v>1681.5466666666666</v>
      </c>
      <c r="Y7" s="9">
        <v>0</v>
      </c>
      <c r="Z7" s="9">
        <v>11770.826666666668</v>
      </c>
      <c r="AA7" s="9">
        <v>0</v>
      </c>
      <c r="AB7" s="9">
        <f t="shared" si="4"/>
        <v>11770.826666666668</v>
      </c>
      <c r="AC7" s="9">
        <v>5101.2</v>
      </c>
      <c r="AD7" s="9">
        <v>0</v>
      </c>
      <c r="AE7" s="9">
        <v>9920.5300000000007</v>
      </c>
      <c r="AF7" s="9">
        <v>239.75639999999999</v>
      </c>
      <c r="AG7" s="9">
        <v>1203.8832</v>
      </c>
      <c r="AH7" s="9">
        <v>79.068600000000004</v>
      </c>
      <c r="AI7" s="9">
        <v>280.56599999999997</v>
      </c>
      <c r="AJ7" s="9">
        <v>10.202399999999999</v>
      </c>
      <c r="AK7" s="9">
        <v>5.1011999999999995</v>
      </c>
      <c r="AL7" s="9">
        <v>30.607199999999999</v>
      </c>
      <c r="AM7" s="9">
        <v>7.6517999999999997</v>
      </c>
      <c r="AN7" s="9">
        <v>38.259</v>
      </c>
      <c r="AO7" s="9">
        <v>76.518000000000001</v>
      </c>
      <c r="AP7" s="9">
        <v>510.11999999999989</v>
      </c>
      <c r="AQ7" s="25">
        <v>1.9E-3</v>
      </c>
      <c r="AR7" s="9">
        <f t="shared" si="5"/>
        <v>0.96922799999999976</v>
      </c>
      <c r="AS7" s="25">
        <v>9.5999999999999992E-3</v>
      </c>
      <c r="AT7" s="9">
        <f t="shared" si="6"/>
        <v>4.8971519999999984</v>
      </c>
      <c r="AU7" s="9">
        <v>2040.4800000000005</v>
      </c>
      <c r="AV7" s="25">
        <v>2.0999999999999999E-3</v>
      </c>
      <c r="AW7" s="9">
        <f t="shared" si="7"/>
        <v>4.2850080000000004</v>
      </c>
      <c r="AX7" s="25">
        <v>1.04E-2</v>
      </c>
      <c r="AY7" s="9">
        <f t="shared" si="8"/>
        <v>21.220992000000003</v>
      </c>
      <c r="AZ7" s="9">
        <v>4119.0266666666676</v>
      </c>
      <c r="BA7" s="25">
        <v>2.3999999999999998E-3</v>
      </c>
      <c r="BB7" s="9">
        <f t="shared" si="9"/>
        <v>9.885664000000002</v>
      </c>
      <c r="BC7" s="25">
        <v>1.2200000000000001E-2</v>
      </c>
      <c r="BD7" s="9">
        <f t="shared" si="10"/>
        <v>50.252125333333346</v>
      </c>
      <c r="BE7" s="9">
        <v>510.11999999999989</v>
      </c>
      <c r="BF7" s="9">
        <v>1.9E-3</v>
      </c>
      <c r="BG7" s="9">
        <f t="shared" si="11"/>
        <v>0.96922799999999976</v>
      </c>
      <c r="BH7" s="9">
        <v>9.5999999999999992E-3</v>
      </c>
      <c r="BI7" s="9">
        <f t="shared" si="12"/>
        <v>4.8971519999999984</v>
      </c>
      <c r="BJ7" s="9">
        <v>2040.4800000000005</v>
      </c>
      <c r="BK7" s="9">
        <v>2.0999999999999999E-3</v>
      </c>
      <c r="BL7" s="9">
        <f t="shared" si="13"/>
        <v>4.2850080000000004</v>
      </c>
      <c r="BM7" s="9">
        <v>1.04E-2</v>
      </c>
      <c r="BN7" s="9">
        <f t="shared" si="14"/>
        <v>21.220992000000003</v>
      </c>
      <c r="BO7" s="9">
        <v>3861.6361813333324</v>
      </c>
      <c r="BP7" s="9">
        <v>2.3999999999999998E-3</v>
      </c>
      <c r="BQ7" s="9">
        <f t="shared" si="15"/>
        <v>9.2679268351999973</v>
      </c>
      <c r="BR7" s="9">
        <v>1.2200000000000001E-2</v>
      </c>
      <c r="BS7" s="9">
        <f t="shared" si="16"/>
        <v>47.111961412266659</v>
      </c>
      <c r="BT7" s="9">
        <f t="shared" si="17"/>
        <v>15.139900000000003</v>
      </c>
      <c r="BU7" s="9">
        <f t="shared" si="18"/>
        <v>76.37026933333334</v>
      </c>
      <c r="BV7" s="9">
        <f t="shared" si="19"/>
        <v>346.71789999999999</v>
      </c>
      <c r="BW7">
        <f t="shared" si="20"/>
        <v>346.71789999999999</v>
      </c>
      <c r="BX7">
        <v>0</v>
      </c>
      <c r="BY7">
        <f t="shared" si="21"/>
        <v>1716.4060693333331</v>
      </c>
      <c r="BZ7">
        <v>3452.9487699455999</v>
      </c>
      <c r="CA7">
        <f t="shared" si="22"/>
        <v>6289.6133300544006</v>
      </c>
      <c r="CB7">
        <f t="shared" si="23"/>
        <v>11805.686069333333</v>
      </c>
      <c r="CC7">
        <v>0</v>
      </c>
      <c r="CD7">
        <v>0</v>
      </c>
      <c r="CE7">
        <f t="shared" si="24"/>
        <v>0</v>
      </c>
      <c r="CF7">
        <f t="shared" si="25"/>
        <v>10089.280000000001</v>
      </c>
      <c r="CG7">
        <f t="shared" si="26"/>
        <v>6289.6133300544006</v>
      </c>
      <c r="CH7">
        <f t="shared" si="27"/>
        <v>0</v>
      </c>
      <c r="CJ7" t="s">
        <v>278</v>
      </c>
      <c r="CL7" t="str">
        <f t="shared" si="28"/>
        <v/>
      </c>
    </row>
    <row r="8" spans="1:90" x14ac:dyDescent="0.25">
      <c r="A8" t="s">
        <v>91</v>
      </c>
      <c r="B8" t="s">
        <v>179</v>
      </c>
      <c r="C8" s="1">
        <v>46143</v>
      </c>
      <c r="D8" t="s">
        <v>174</v>
      </c>
      <c r="E8" t="s">
        <v>175</v>
      </c>
      <c r="F8" s="4">
        <v>1</v>
      </c>
      <c r="G8" s="4">
        <v>0.6</v>
      </c>
      <c r="H8" s="9">
        <v>10089.280000000001</v>
      </c>
      <c r="I8" s="9">
        <v>1681.5466666666666</v>
      </c>
      <c r="J8" s="9">
        <f t="shared" si="0"/>
        <v>11770.826666666668</v>
      </c>
      <c r="K8" s="9">
        <v>0</v>
      </c>
      <c r="L8" s="9">
        <f t="shared" si="1"/>
        <v>0</v>
      </c>
      <c r="M8">
        <v>0</v>
      </c>
      <c r="N8" s="4">
        <f t="shared" si="2"/>
        <v>0</v>
      </c>
      <c r="O8" s="9">
        <v>5917.01</v>
      </c>
      <c r="P8" s="9">
        <v>3783.48</v>
      </c>
      <c r="Q8" s="9">
        <v>42.19</v>
      </c>
      <c r="R8" s="9">
        <v>55.01</v>
      </c>
      <c r="S8" s="9">
        <v>126.56</v>
      </c>
      <c r="T8" s="9">
        <v>165.03</v>
      </c>
      <c r="U8" s="9">
        <v>0</v>
      </c>
      <c r="V8" s="9">
        <v>0</v>
      </c>
      <c r="W8" s="9">
        <f t="shared" si="3"/>
        <v>10089.280000000001</v>
      </c>
      <c r="X8" s="9">
        <v>1681.5466666666666</v>
      </c>
      <c r="Y8" s="9">
        <v>0</v>
      </c>
      <c r="Z8" s="9">
        <v>11770.826666666668</v>
      </c>
      <c r="AA8" s="9">
        <v>0</v>
      </c>
      <c r="AB8" s="9">
        <f t="shared" si="4"/>
        <v>11770.826666666668</v>
      </c>
      <c r="AC8" s="9">
        <v>5101.2</v>
      </c>
      <c r="AD8" s="9">
        <v>0</v>
      </c>
      <c r="AE8" s="9">
        <v>9920.5300000000007</v>
      </c>
      <c r="AF8" s="9">
        <v>239.75639999999999</v>
      </c>
      <c r="AG8" s="9">
        <v>1203.8832</v>
      </c>
      <c r="AH8" s="9">
        <v>79.068600000000004</v>
      </c>
      <c r="AI8" s="9">
        <v>280.56599999999997</v>
      </c>
      <c r="AJ8" s="9">
        <v>10.202399999999999</v>
      </c>
      <c r="AK8" s="9">
        <v>5.1011999999999995</v>
      </c>
      <c r="AL8" s="9">
        <v>30.607199999999999</v>
      </c>
      <c r="AM8" s="9">
        <v>7.6517999999999997</v>
      </c>
      <c r="AN8" s="9">
        <v>38.259</v>
      </c>
      <c r="AO8" s="9">
        <v>76.518000000000001</v>
      </c>
      <c r="AP8" s="9">
        <v>510.11999999999989</v>
      </c>
      <c r="AQ8" s="25">
        <v>1.9E-3</v>
      </c>
      <c r="AR8" s="9">
        <f t="shared" si="5"/>
        <v>0.96922799999999976</v>
      </c>
      <c r="AS8" s="25">
        <v>9.5999999999999992E-3</v>
      </c>
      <c r="AT8" s="9">
        <f t="shared" si="6"/>
        <v>4.8971519999999984</v>
      </c>
      <c r="AU8" s="9">
        <v>2040.4800000000005</v>
      </c>
      <c r="AV8" s="25">
        <v>2.0999999999999999E-3</v>
      </c>
      <c r="AW8" s="9">
        <f t="shared" si="7"/>
        <v>4.2850080000000004</v>
      </c>
      <c r="AX8" s="25">
        <v>1.04E-2</v>
      </c>
      <c r="AY8" s="9">
        <f t="shared" si="8"/>
        <v>21.220992000000003</v>
      </c>
      <c r="AZ8" s="9">
        <v>4119.0266666666676</v>
      </c>
      <c r="BA8" s="25">
        <v>2.3999999999999998E-3</v>
      </c>
      <c r="BB8" s="9">
        <f t="shared" si="9"/>
        <v>9.885664000000002</v>
      </c>
      <c r="BC8" s="25">
        <v>1.2200000000000001E-2</v>
      </c>
      <c r="BD8" s="9">
        <f t="shared" si="10"/>
        <v>50.252125333333346</v>
      </c>
      <c r="BE8" s="9">
        <v>510.11999999999989</v>
      </c>
      <c r="BF8" s="9">
        <v>1.9E-3</v>
      </c>
      <c r="BG8" s="9">
        <f t="shared" si="11"/>
        <v>0.96922799999999976</v>
      </c>
      <c r="BH8" s="9">
        <v>9.5999999999999992E-3</v>
      </c>
      <c r="BI8" s="9">
        <f t="shared" si="12"/>
        <v>4.8971519999999984</v>
      </c>
      <c r="BJ8" s="9">
        <v>2040.4800000000005</v>
      </c>
      <c r="BK8" s="9">
        <v>2.0999999999999999E-3</v>
      </c>
      <c r="BL8" s="9">
        <f t="shared" si="13"/>
        <v>4.2850080000000004</v>
      </c>
      <c r="BM8" s="9">
        <v>1.04E-2</v>
      </c>
      <c r="BN8" s="9">
        <f t="shared" si="14"/>
        <v>21.220992000000003</v>
      </c>
      <c r="BO8" s="9">
        <v>3861.6361813333324</v>
      </c>
      <c r="BP8" s="9">
        <v>2.3999999999999998E-3</v>
      </c>
      <c r="BQ8" s="9">
        <f t="shared" si="15"/>
        <v>9.2679268351999973</v>
      </c>
      <c r="BR8" s="9">
        <v>1.2200000000000001E-2</v>
      </c>
      <c r="BS8" s="9">
        <f t="shared" si="16"/>
        <v>47.111961412266659</v>
      </c>
      <c r="BT8" s="9">
        <f t="shared" si="17"/>
        <v>15.139900000000003</v>
      </c>
      <c r="BU8" s="9">
        <f t="shared" si="18"/>
        <v>76.37026933333334</v>
      </c>
      <c r="BV8" s="9">
        <f t="shared" si="19"/>
        <v>346.71789999999999</v>
      </c>
      <c r="BW8">
        <f t="shared" si="20"/>
        <v>346.71789999999999</v>
      </c>
      <c r="BX8">
        <v>0</v>
      </c>
      <c r="BY8">
        <f t="shared" si="21"/>
        <v>1716.4060693333331</v>
      </c>
      <c r="BZ8">
        <v>3452.9487699455999</v>
      </c>
      <c r="CA8">
        <f t="shared" si="22"/>
        <v>6289.6133300544006</v>
      </c>
      <c r="CB8">
        <f t="shared" si="23"/>
        <v>11805.686069333333</v>
      </c>
      <c r="CC8">
        <v>0</v>
      </c>
      <c r="CD8">
        <v>0</v>
      </c>
      <c r="CE8">
        <f t="shared" si="24"/>
        <v>0</v>
      </c>
      <c r="CF8">
        <f t="shared" si="25"/>
        <v>10089.280000000001</v>
      </c>
      <c r="CG8">
        <f t="shared" si="26"/>
        <v>6289.6133300544006</v>
      </c>
      <c r="CH8">
        <f t="shared" si="27"/>
        <v>0</v>
      </c>
      <c r="CJ8" t="s">
        <v>278</v>
      </c>
      <c r="CL8" t="str">
        <f t="shared" si="28"/>
        <v/>
      </c>
    </row>
    <row r="9" spans="1:90" x14ac:dyDescent="0.25">
      <c r="A9" t="s">
        <v>91</v>
      </c>
      <c r="B9" t="s">
        <v>180</v>
      </c>
      <c r="C9" s="1">
        <v>46174</v>
      </c>
      <c r="D9" t="s">
        <v>174</v>
      </c>
      <c r="E9" t="s">
        <v>175</v>
      </c>
      <c r="F9" s="4">
        <v>1</v>
      </c>
      <c r="G9" s="4">
        <v>0.6</v>
      </c>
      <c r="H9" s="9">
        <v>10089.280000000001</v>
      </c>
      <c r="I9" s="9">
        <v>1681.5466666666666</v>
      </c>
      <c r="J9" s="9">
        <f t="shared" si="0"/>
        <v>11770.826666666668</v>
      </c>
      <c r="K9" s="9">
        <v>0</v>
      </c>
      <c r="L9" s="9">
        <f t="shared" si="1"/>
        <v>0</v>
      </c>
      <c r="M9">
        <v>0</v>
      </c>
      <c r="N9" s="4">
        <f t="shared" si="2"/>
        <v>0</v>
      </c>
      <c r="O9" s="9">
        <v>5917.01</v>
      </c>
      <c r="P9" s="9">
        <v>3783.48</v>
      </c>
      <c r="Q9" s="9">
        <v>42.19</v>
      </c>
      <c r="R9" s="9">
        <v>55.01</v>
      </c>
      <c r="S9" s="9">
        <v>126.56</v>
      </c>
      <c r="T9" s="9">
        <v>165.03</v>
      </c>
      <c r="U9" s="9">
        <v>0</v>
      </c>
      <c r="V9" s="9">
        <v>0</v>
      </c>
      <c r="W9" s="9">
        <f t="shared" si="3"/>
        <v>10089.280000000001</v>
      </c>
      <c r="X9" s="9">
        <v>1681.5466666666666</v>
      </c>
      <c r="Y9" s="9">
        <v>0</v>
      </c>
      <c r="Z9" s="9">
        <v>11770.826666666668</v>
      </c>
      <c r="AA9" s="9">
        <v>0</v>
      </c>
      <c r="AB9" s="9">
        <f t="shared" si="4"/>
        <v>11770.826666666668</v>
      </c>
      <c r="AC9" s="9">
        <v>5101.2</v>
      </c>
      <c r="AD9" s="9">
        <v>0</v>
      </c>
      <c r="AE9" s="9">
        <v>9920.5300000000007</v>
      </c>
      <c r="AF9" s="9">
        <v>239.75639999999999</v>
      </c>
      <c r="AG9" s="9">
        <v>1203.8832</v>
      </c>
      <c r="AH9" s="9">
        <v>79.068600000000004</v>
      </c>
      <c r="AI9" s="9">
        <v>280.56599999999997</v>
      </c>
      <c r="AJ9" s="9">
        <v>10.202399999999999</v>
      </c>
      <c r="AK9" s="9">
        <v>5.1011999999999995</v>
      </c>
      <c r="AL9" s="9">
        <v>30.607199999999999</v>
      </c>
      <c r="AM9" s="9">
        <v>7.6517999999999997</v>
      </c>
      <c r="AN9" s="9">
        <v>38.259</v>
      </c>
      <c r="AO9" s="9">
        <v>76.518000000000001</v>
      </c>
      <c r="AP9" s="9">
        <v>510.11999999999989</v>
      </c>
      <c r="AQ9" s="25">
        <v>1.9E-3</v>
      </c>
      <c r="AR9" s="9">
        <f t="shared" si="5"/>
        <v>0.96922799999999976</v>
      </c>
      <c r="AS9" s="25">
        <v>9.5999999999999992E-3</v>
      </c>
      <c r="AT9" s="9">
        <f t="shared" si="6"/>
        <v>4.8971519999999984</v>
      </c>
      <c r="AU9" s="9">
        <v>2040.4800000000005</v>
      </c>
      <c r="AV9" s="25">
        <v>2.0999999999999999E-3</v>
      </c>
      <c r="AW9" s="9">
        <f t="shared" si="7"/>
        <v>4.2850080000000004</v>
      </c>
      <c r="AX9" s="25">
        <v>1.04E-2</v>
      </c>
      <c r="AY9" s="9">
        <f t="shared" si="8"/>
        <v>21.220992000000003</v>
      </c>
      <c r="AZ9" s="9">
        <v>4119.0266666666676</v>
      </c>
      <c r="BA9" s="25">
        <v>2.3999999999999998E-3</v>
      </c>
      <c r="BB9" s="9">
        <f t="shared" si="9"/>
        <v>9.885664000000002</v>
      </c>
      <c r="BC9" s="25">
        <v>1.2200000000000001E-2</v>
      </c>
      <c r="BD9" s="9">
        <f t="shared" si="10"/>
        <v>50.252125333333346</v>
      </c>
      <c r="BE9" s="9">
        <v>510.11999999999989</v>
      </c>
      <c r="BF9" s="9">
        <v>1.9E-3</v>
      </c>
      <c r="BG9" s="9">
        <f t="shared" si="11"/>
        <v>0.96922799999999976</v>
      </c>
      <c r="BH9" s="9">
        <v>9.5999999999999992E-3</v>
      </c>
      <c r="BI9" s="9">
        <f t="shared" si="12"/>
        <v>4.8971519999999984</v>
      </c>
      <c r="BJ9" s="9">
        <v>2040.4800000000005</v>
      </c>
      <c r="BK9" s="9">
        <v>2.0999999999999999E-3</v>
      </c>
      <c r="BL9" s="9">
        <f t="shared" si="13"/>
        <v>4.2850080000000004</v>
      </c>
      <c r="BM9" s="9">
        <v>1.04E-2</v>
      </c>
      <c r="BN9" s="9">
        <f t="shared" si="14"/>
        <v>21.220992000000003</v>
      </c>
      <c r="BO9" s="9">
        <v>3861.6361813333324</v>
      </c>
      <c r="BP9" s="9">
        <v>2.3999999999999998E-3</v>
      </c>
      <c r="BQ9" s="9">
        <f t="shared" si="15"/>
        <v>9.2679268351999973</v>
      </c>
      <c r="BR9" s="9">
        <v>1.2200000000000001E-2</v>
      </c>
      <c r="BS9" s="9">
        <f t="shared" si="16"/>
        <v>47.111961412266659</v>
      </c>
      <c r="BT9" s="9">
        <f t="shared" si="17"/>
        <v>15.139900000000003</v>
      </c>
      <c r="BU9" s="9">
        <f t="shared" si="18"/>
        <v>76.37026933333334</v>
      </c>
      <c r="BV9" s="9">
        <f t="shared" si="19"/>
        <v>346.71789999999999</v>
      </c>
      <c r="BW9">
        <f t="shared" si="20"/>
        <v>346.71789999999999</v>
      </c>
      <c r="BX9">
        <v>0</v>
      </c>
      <c r="BY9">
        <f t="shared" si="21"/>
        <v>1716.4060693333331</v>
      </c>
      <c r="BZ9">
        <v>3452.9487699455999</v>
      </c>
      <c r="CA9">
        <f t="shared" si="22"/>
        <v>6289.6133300544006</v>
      </c>
      <c r="CB9">
        <f t="shared" si="23"/>
        <v>11805.686069333333</v>
      </c>
      <c r="CC9">
        <v>0</v>
      </c>
      <c r="CD9">
        <v>0</v>
      </c>
      <c r="CE9">
        <f t="shared" si="24"/>
        <v>0</v>
      </c>
      <c r="CF9">
        <f t="shared" si="25"/>
        <v>10089.280000000001</v>
      </c>
      <c r="CG9">
        <f t="shared" si="26"/>
        <v>6289.6133300544006</v>
      </c>
      <c r="CH9">
        <f t="shared" si="27"/>
        <v>0</v>
      </c>
      <c r="CJ9" t="s">
        <v>278</v>
      </c>
      <c r="CL9" t="str">
        <f t="shared" si="28"/>
        <v/>
      </c>
    </row>
    <row r="10" spans="1:90" x14ac:dyDescent="0.25">
      <c r="A10" t="s">
        <v>91</v>
      </c>
      <c r="B10" t="s">
        <v>181</v>
      </c>
      <c r="C10" s="1">
        <v>46204</v>
      </c>
      <c r="D10" t="s">
        <v>182</v>
      </c>
      <c r="E10" t="s">
        <v>175</v>
      </c>
      <c r="F10" s="4">
        <v>1</v>
      </c>
      <c r="G10" s="4">
        <v>0.6</v>
      </c>
      <c r="H10" s="9">
        <v>10089.280000000001</v>
      </c>
      <c r="I10" s="9">
        <v>1681.5466666666666</v>
      </c>
      <c r="J10" s="9">
        <f t="shared" si="0"/>
        <v>11770.826666666668</v>
      </c>
      <c r="K10" s="9">
        <v>0</v>
      </c>
      <c r="L10" s="9">
        <f t="shared" si="1"/>
        <v>0</v>
      </c>
      <c r="M10">
        <v>0</v>
      </c>
      <c r="N10" s="4">
        <f t="shared" si="2"/>
        <v>0</v>
      </c>
      <c r="O10" s="9">
        <v>5917.01</v>
      </c>
      <c r="P10" s="9">
        <v>3783.48</v>
      </c>
      <c r="Q10" s="9">
        <v>42.19</v>
      </c>
      <c r="R10" s="9">
        <v>55.01</v>
      </c>
      <c r="S10" s="9">
        <v>126.56</v>
      </c>
      <c r="T10" s="9">
        <v>165.03</v>
      </c>
      <c r="U10" s="9">
        <v>0</v>
      </c>
      <c r="V10" s="9">
        <v>0</v>
      </c>
      <c r="W10" s="9">
        <f t="shared" si="3"/>
        <v>10089.280000000001</v>
      </c>
      <c r="X10" s="9">
        <v>0</v>
      </c>
      <c r="Y10" s="9">
        <v>0</v>
      </c>
      <c r="Z10" s="9">
        <v>0</v>
      </c>
      <c r="AA10" s="9">
        <v>0</v>
      </c>
      <c r="AB10" s="9">
        <f t="shared" si="4"/>
        <v>0</v>
      </c>
      <c r="AC10" s="9">
        <v>0</v>
      </c>
      <c r="AD10" s="9">
        <v>0</v>
      </c>
      <c r="AE10" s="9">
        <v>9920.5300000000007</v>
      </c>
      <c r="AF10" s="9">
        <v>0</v>
      </c>
      <c r="AG10" s="9">
        <v>0</v>
      </c>
      <c r="AH10" s="9">
        <v>0</v>
      </c>
      <c r="AI10" s="9">
        <v>0</v>
      </c>
      <c r="AJ10" s="9">
        <v>0</v>
      </c>
      <c r="AK10" s="9">
        <v>0</v>
      </c>
      <c r="AL10" s="9">
        <v>0</v>
      </c>
      <c r="AM10" s="9">
        <v>0</v>
      </c>
      <c r="AN10" s="9">
        <v>0</v>
      </c>
      <c r="AO10" s="9">
        <v>0</v>
      </c>
      <c r="AP10" s="9">
        <v>0</v>
      </c>
      <c r="AQ10" s="25">
        <v>0</v>
      </c>
      <c r="AR10" s="9">
        <f t="shared" si="5"/>
        <v>0</v>
      </c>
      <c r="AS10" s="25">
        <v>0</v>
      </c>
      <c r="AT10" s="9">
        <f t="shared" si="6"/>
        <v>0</v>
      </c>
      <c r="AU10" s="9">
        <v>0</v>
      </c>
      <c r="AV10" s="25">
        <v>0</v>
      </c>
      <c r="AW10" s="9">
        <f t="shared" si="7"/>
        <v>0</v>
      </c>
      <c r="AX10" s="25">
        <v>0</v>
      </c>
      <c r="AY10" s="9">
        <f t="shared" si="8"/>
        <v>0</v>
      </c>
      <c r="AZ10" s="9">
        <v>0</v>
      </c>
      <c r="BA10" s="25">
        <v>0</v>
      </c>
      <c r="BB10" s="9">
        <f t="shared" si="9"/>
        <v>0</v>
      </c>
      <c r="BC10" s="25">
        <v>0</v>
      </c>
      <c r="BD10" s="9">
        <f t="shared" si="10"/>
        <v>0</v>
      </c>
      <c r="BE10" s="9">
        <v>0</v>
      </c>
      <c r="BF10" s="9">
        <v>0</v>
      </c>
      <c r="BG10" s="9">
        <f t="shared" si="11"/>
        <v>0</v>
      </c>
      <c r="BH10" s="9">
        <v>0</v>
      </c>
      <c r="BI10" s="9">
        <f t="shared" si="12"/>
        <v>0</v>
      </c>
      <c r="BJ10" s="9">
        <v>0</v>
      </c>
      <c r="BK10" s="9">
        <v>0</v>
      </c>
      <c r="BL10" s="9">
        <f t="shared" si="13"/>
        <v>0</v>
      </c>
      <c r="BM10" s="9">
        <v>0</v>
      </c>
      <c r="BN10" s="9">
        <f t="shared" si="14"/>
        <v>0</v>
      </c>
      <c r="BO10" s="9">
        <v>0</v>
      </c>
      <c r="BP10" s="9">
        <v>0</v>
      </c>
      <c r="BQ10" s="9">
        <f t="shared" si="15"/>
        <v>0</v>
      </c>
      <c r="BR10" s="9">
        <v>0</v>
      </c>
      <c r="BS10" s="9">
        <f t="shared" si="16"/>
        <v>0</v>
      </c>
      <c r="BT10" s="9">
        <f t="shared" si="17"/>
        <v>0</v>
      </c>
      <c r="BU10" s="9">
        <f t="shared" si="18"/>
        <v>0</v>
      </c>
      <c r="BV10" s="9">
        <f t="shared" si="19"/>
        <v>0</v>
      </c>
      <c r="BW10">
        <f t="shared" si="20"/>
        <v>0</v>
      </c>
      <c r="BX10">
        <v>0</v>
      </c>
      <c r="BY10">
        <f t="shared" si="21"/>
        <v>0</v>
      </c>
      <c r="BZ10">
        <v>3452.9487699455999</v>
      </c>
      <c r="CA10">
        <f t="shared" si="22"/>
        <v>6636.3312300544003</v>
      </c>
      <c r="CB10">
        <f t="shared" si="23"/>
        <v>10089.280000000001</v>
      </c>
      <c r="CC10">
        <v>0</v>
      </c>
      <c r="CD10">
        <v>0</v>
      </c>
      <c r="CE10">
        <f t="shared" si="24"/>
        <v>0</v>
      </c>
      <c r="CF10">
        <f t="shared" si="25"/>
        <v>10089.280000000001</v>
      </c>
      <c r="CG10">
        <f t="shared" si="26"/>
        <v>6636.3312300544003</v>
      </c>
      <c r="CH10">
        <f t="shared" si="27"/>
        <v>0</v>
      </c>
      <c r="CJ10" t="s">
        <v>278</v>
      </c>
      <c r="CL10" t="str">
        <f t="shared" si="28"/>
        <v/>
      </c>
    </row>
    <row r="11" spans="1:90" x14ac:dyDescent="0.25">
      <c r="A11" t="s">
        <v>91</v>
      </c>
      <c r="B11" t="s">
        <v>183</v>
      </c>
      <c r="C11" s="1">
        <v>46204</v>
      </c>
      <c r="D11" t="s">
        <v>174</v>
      </c>
      <c r="E11" t="s">
        <v>175</v>
      </c>
      <c r="F11" s="4">
        <v>1</v>
      </c>
      <c r="G11" s="4">
        <v>0.6</v>
      </c>
      <c r="H11" s="9">
        <v>10089.280000000001</v>
      </c>
      <c r="I11" s="9">
        <v>1681.5466666666666</v>
      </c>
      <c r="J11" s="9">
        <f t="shared" si="0"/>
        <v>11770.826666666668</v>
      </c>
      <c r="K11" s="9">
        <v>0</v>
      </c>
      <c r="L11" s="9">
        <f t="shared" si="1"/>
        <v>0</v>
      </c>
      <c r="M11">
        <v>0</v>
      </c>
      <c r="N11" s="4">
        <f t="shared" si="2"/>
        <v>0</v>
      </c>
      <c r="O11" s="9">
        <v>5917.01</v>
      </c>
      <c r="P11" s="9">
        <v>3783.48</v>
      </c>
      <c r="Q11" s="9">
        <v>42.19</v>
      </c>
      <c r="R11" s="9">
        <v>55.01</v>
      </c>
      <c r="S11" s="9">
        <v>126.56</v>
      </c>
      <c r="T11" s="9">
        <v>165.03</v>
      </c>
      <c r="U11" s="9">
        <v>0</v>
      </c>
      <c r="V11" s="9">
        <v>0</v>
      </c>
      <c r="W11" s="9">
        <f t="shared" si="3"/>
        <v>10089.280000000001</v>
      </c>
      <c r="X11" s="9">
        <v>1681.5466666666666</v>
      </c>
      <c r="Y11" s="9">
        <v>0</v>
      </c>
      <c r="Z11" s="9">
        <v>11770.826666666668</v>
      </c>
      <c r="AA11" s="9">
        <v>0</v>
      </c>
      <c r="AB11" s="9">
        <f t="shared" si="4"/>
        <v>11770.826666666668</v>
      </c>
      <c r="AC11" s="9">
        <v>5101.2</v>
      </c>
      <c r="AD11" s="9">
        <v>0</v>
      </c>
      <c r="AE11" s="9">
        <v>9920.5300000000007</v>
      </c>
      <c r="AF11" s="9">
        <v>239.75639999999999</v>
      </c>
      <c r="AG11" s="9">
        <v>1203.8832</v>
      </c>
      <c r="AH11" s="9">
        <v>79.068600000000004</v>
      </c>
      <c r="AI11" s="9">
        <v>280.56599999999997</v>
      </c>
      <c r="AJ11" s="9">
        <v>10.202399999999999</v>
      </c>
      <c r="AK11" s="9">
        <v>5.1011999999999995</v>
      </c>
      <c r="AL11" s="9">
        <v>30.607199999999999</v>
      </c>
      <c r="AM11" s="9">
        <v>7.6517999999999997</v>
      </c>
      <c r="AN11" s="9">
        <v>38.259</v>
      </c>
      <c r="AO11" s="9">
        <v>76.518000000000001</v>
      </c>
      <c r="AP11" s="9">
        <v>510.11999999999989</v>
      </c>
      <c r="AQ11" s="25">
        <v>1.9E-3</v>
      </c>
      <c r="AR11" s="9">
        <f t="shared" si="5"/>
        <v>0.96922799999999976</v>
      </c>
      <c r="AS11" s="25">
        <v>9.5999999999999992E-3</v>
      </c>
      <c r="AT11" s="9">
        <f t="shared" si="6"/>
        <v>4.8971519999999984</v>
      </c>
      <c r="AU11" s="9">
        <v>2040.4800000000005</v>
      </c>
      <c r="AV11" s="25">
        <v>2.0999999999999999E-3</v>
      </c>
      <c r="AW11" s="9">
        <f t="shared" si="7"/>
        <v>4.2850080000000004</v>
      </c>
      <c r="AX11" s="25">
        <v>1.04E-2</v>
      </c>
      <c r="AY11" s="9">
        <f t="shared" si="8"/>
        <v>21.220992000000003</v>
      </c>
      <c r="AZ11" s="9">
        <v>4119.0266666666676</v>
      </c>
      <c r="BA11" s="25">
        <v>2.3999999999999998E-3</v>
      </c>
      <c r="BB11" s="9">
        <f t="shared" si="9"/>
        <v>9.885664000000002</v>
      </c>
      <c r="BC11" s="25">
        <v>1.2200000000000001E-2</v>
      </c>
      <c r="BD11" s="9">
        <f t="shared" si="10"/>
        <v>50.252125333333346</v>
      </c>
      <c r="BE11" s="9">
        <v>510.11999999999989</v>
      </c>
      <c r="BF11" s="9">
        <v>1.9E-3</v>
      </c>
      <c r="BG11" s="9">
        <f t="shared" si="11"/>
        <v>0.96922799999999976</v>
      </c>
      <c r="BH11" s="9">
        <v>9.5999999999999992E-3</v>
      </c>
      <c r="BI11" s="9">
        <f t="shared" si="12"/>
        <v>4.8971519999999984</v>
      </c>
      <c r="BJ11" s="9">
        <v>2040.4800000000005</v>
      </c>
      <c r="BK11" s="9">
        <v>2.0999999999999999E-3</v>
      </c>
      <c r="BL11" s="9">
        <f t="shared" si="13"/>
        <v>4.2850080000000004</v>
      </c>
      <c r="BM11" s="9">
        <v>1.04E-2</v>
      </c>
      <c r="BN11" s="9">
        <f t="shared" si="14"/>
        <v>21.220992000000003</v>
      </c>
      <c r="BO11" s="9">
        <v>3861.6361813333324</v>
      </c>
      <c r="BP11" s="9">
        <v>2.3999999999999998E-3</v>
      </c>
      <c r="BQ11" s="9">
        <f t="shared" si="15"/>
        <v>9.2679268351999973</v>
      </c>
      <c r="BR11" s="9">
        <v>1.2200000000000001E-2</v>
      </c>
      <c r="BS11" s="9">
        <f t="shared" si="16"/>
        <v>47.111961412266659</v>
      </c>
      <c r="BT11" s="9">
        <f t="shared" si="17"/>
        <v>15.139900000000003</v>
      </c>
      <c r="BU11" s="9">
        <f t="shared" si="18"/>
        <v>76.37026933333334</v>
      </c>
      <c r="BV11" s="9">
        <f t="shared" si="19"/>
        <v>346.71789999999999</v>
      </c>
      <c r="BW11">
        <f t="shared" si="20"/>
        <v>346.71789999999999</v>
      </c>
      <c r="BX11">
        <v>0</v>
      </c>
      <c r="BY11">
        <f t="shared" si="21"/>
        <v>1716.4060693333331</v>
      </c>
      <c r="BZ11">
        <v>3452.9487699455999</v>
      </c>
      <c r="CA11">
        <f t="shared" si="22"/>
        <v>6289.6133300544006</v>
      </c>
      <c r="CB11">
        <f t="shared" si="23"/>
        <v>11805.686069333333</v>
      </c>
      <c r="CC11">
        <v>0</v>
      </c>
      <c r="CD11">
        <v>0</v>
      </c>
      <c r="CE11">
        <f t="shared" si="24"/>
        <v>0</v>
      </c>
      <c r="CF11">
        <f t="shared" si="25"/>
        <v>10089.280000000001</v>
      </c>
      <c r="CG11">
        <f t="shared" si="26"/>
        <v>6289.6133300544006</v>
      </c>
      <c r="CH11">
        <f t="shared" si="27"/>
        <v>0</v>
      </c>
      <c r="CJ11" t="s">
        <v>278</v>
      </c>
      <c r="CL11" t="str">
        <f t="shared" si="28"/>
        <v/>
      </c>
    </row>
    <row r="12" spans="1:90" x14ac:dyDescent="0.25">
      <c r="A12" t="s">
        <v>91</v>
      </c>
      <c r="B12" t="s">
        <v>184</v>
      </c>
      <c r="C12" s="1">
        <v>46235</v>
      </c>
      <c r="D12" t="s">
        <v>174</v>
      </c>
      <c r="E12" t="s">
        <v>175</v>
      </c>
      <c r="F12" s="4">
        <v>1</v>
      </c>
      <c r="G12" s="4">
        <v>0.6</v>
      </c>
      <c r="H12" s="9">
        <v>10089.280000000001</v>
      </c>
      <c r="I12" s="9">
        <v>1681.5466666666666</v>
      </c>
      <c r="J12" s="9">
        <f t="shared" si="0"/>
        <v>11770.826666666668</v>
      </c>
      <c r="K12" s="9">
        <v>0</v>
      </c>
      <c r="L12" s="9">
        <f t="shared" si="1"/>
        <v>0</v>
      </c>
      <c r="M12">
        <v>0</v>
      </c>
      <c r="N12" s="4">
        <f t="shared" si="2"/>
        <v>0</v>
      </c>
      <c r="O12" s="9">
        <v>5917.01</v>
      </c>
      <c r="P12" s="9">
        <v>3783.48</v>
      </c>
      <c r="Q12" s="9">
        <v>42.19</v>
      </c>
      <c r="R12" s="9">
        <v>55.01</v>
      </c>
      <c r="S12" s="9">
        <v>126.56</v>
      </c>
      <c r="T12" s="9">
        <v>165.03</v>
      </c>
      <c r="U12" s="9">
        <v>0</v>
      </c>
      <c r="V12" s="9">
        <v>0</v>
      </c>
      <c r="W12" s="9">
        <f t="shared" si="3"/>
        <v>10089.280000000001</v>
      </c>
      <c r="X12" s="9">
        <v>1681.5466666666666</v>
      </c>
      <c r="Y12" s="9">
        <v>0</v>
      </c>
      <c r="Z12" s="9">
        <v>11770.826666666668</v>
      </c>
      <c r="AA12" s="9">
        <v>0</v>
      </c>
      <c r="AB12" s="9">
        <f t="shared" si="4"/>
        <v>11770.826666666668</v>
      </c>
      <c r="AC12" s="9">
        <v>5101.2</v>
      </c>
      <c r="AD12" s="9">
        <v>0</v>
      </c>
      <c r="AE12" s="9">
        <v>9920.5300000000007</v>
      </c>
      <c r="AF12" s="9">
        <v>239.75639999999999</v>
      </c>
      <c r="AG12" s="9">
        <v>1203.8832</v>
      </c>
      <c r="AH12" s="9">
        <v>79.068600000000004</v>
      </c>
      <c r="AI12" s="9">
        <v>280.56599999999997</v>
      </c>
      <c r="AJ12" s="9">
        <v>10.202399999999999</v>
      </c>
      <c r="AK12" s="9">
        <v>5.1011999999999995</v>
      </c>
      <c r="AL12" s="9">
        <v>30.607199999999999</v>
      </c>
      <c r="AM12" s="9">
        <v>7.6517999999999997</v>
      </c>
      <c r="AN12" s="9">
        <v>38.259</v>
      </c>
      <c r="AO12" s="9">
        <v>76.518000000000001</v>
      </c>
      <c r="AP12" s="9">
        <v>510.11999999999989</v>
      </c>
      <c r="AQ12" s="25">
        <v>1.9E-3</v>
      </c>
      <c r="AR12" s="9">
        <f t="shared" si="5"/>
        <v>0.96922799999999976</v>
      </c>
      <c r="AS12" s="25">
        <v>9.5999999999999992E-3</v>
      </c>
      <c r="AT12" s="9">
        <f t="shared" si="6"/>
        <v>4.8971519999999984</v>
      </c>
      <c r="AU12" s="9">
        <v>2040.4800000000005</v>
      </c>
      <c r="AV12" s="25">
        <v>2.0999999999999999E-3</v>
      </c>
      <c r="AW12" s="9">
        <f t="shared" si="7"/>
        <v>4.2850080000000004</v>
      </c>
      <c r="AX12" s="25">
        <v>1.04E-2</v>
      </c>
      <c r="AY12" s="9">
        <f t="shared" si="8"/>
        <v>21.220992000000003</v>
      </c>
      <c r="AZ12" s="9">
        <v>4119.0266666666676</v>
      </c>
      <c r="BA12" s="25">
        <v>2.3999999999999998E-3</v>
      </c>
      <c r="BB12" s="9">
        <f t="shared" si="9"/>
        <v>9.885664000000002</v>
      </c>
      <c r="BC12" s="25">
        <v>1.2200000000000001E-2</v>
      </c>
      <c r="BD12" s="9">
        <f t="shared" si="10"/>
        <v>50.252125333333346</v>
      </c>
      <c r="BE12" s="9">
        <v>510.11999999999989</v>
      </c>
      <c r="BF12" s="9">
        <v>1.9E-3</v>
      </c>
      <c r="BG12" s="9">
        <f t="shared" si="11"/>
        <v>0.96922799999999976</v>
      </c>
      <c r="BH12" s="9">
        <v>9.5999999999999992E-3</v>
      </c>
      <c r="BI12" s="9">
        <f t="shared" si="12"/>
        <v>4.8971519999999984</v>
      </c>
      <c r="BJ12" s="9">
        <v>2040.4800000000005</v>
      </c>
      <c r="BK12" s="9">
        <v>2.0999999999999999E-3</v>
      </c>
      <c r="BL12" s="9">
        <f t="shared" si="13"/>
        <v>4.2850080000000004</v>
      </c>
      <c r="BM12" s="9">
        <v>1.04E-2</v>
      </c>
      <c r="BN12" s="9">
        <f t="shared" si="14"/>
        <v>21.220992000000003</v>
      </c>
      <c r="BO12" s="9">
        <v>3861.6361813333324</v>
      </c>
      <c r="BP12" s="9">
        <v>2.3999999999999998E-3</v>
      </c>
      <c r="BQ12" s="9">
        <f t="shared" si="15"/>
        <v>9.2679268351999973</v>
      </c>
      <c r="BR12" s="9">
        <v>1.2200000000000001E-2</v>
      </c>
      <c r="BS12" s="9">
        <f t="shared" si="16"/>
        <v>47.111961412266659</v>
      </c>
      <c r="BT12" s="9">
        <f t="shared" si="17"/>
        <v>15.139900000000003</v>
      </c>
      <c r="BU12" s="9">
        <f t="shared" si="18"/>
        <v>76.37026933333334</v>
      </c>
      <c r="BV12" s="9">
        <f t="shared" si="19"/>
        <v>346.71789999999999</v>
      </c>
      <c r="BW12">
        <f t="shared" si="20"/>
        <v>346.71789999999999</v>
      </c>
      <c r="BX12">
        <v>0</v>
      </c>
      <c r="BY12">
        <f t="shared" si="21"/>
        <v>1716.4060693333331</v>
      </c>
      <c r="BZ12">
        <v>3452.9487699455999</v>
      </c>
      <c r="CA12">
        <f t="shared" si="22"/>
        <v>6289.6133300544006</v>
      </c>
      <c r="CB12">
        <f t="shared" si="23"/>
        <v>11805.686069333333</v>
      </c>
      <c r="CC12">
        <v>0</v>
      </c>
      <c r="CD12">
        <v>0</v>
      </c>
      <c r="CE12">
        <f t="shared" si="24"/>
        <v>0</v>
      </c>
      <c r="CF12">
        <f t="shared" si="25"/>
        <v>10089.280000000001</v>
      </c>
      <c r="CG12">
        <f t="shared" si="26"/>
        <v>6289.6133300544006</v>
      </c>
      <c r="CH12">
        <f t="shared" si="27"/>
        <v>0</v>
      </c>
      <c r="CJ12" t="s">
        <v>278</v>
      </c>
      <c r="CL12" t="str">
        <f t="shared" si="28"/>
        <v/>
      </c>
    </row>
    <row r="13" spans="1:90" x14ac:dyDescent="0.25">
      <c r="A13" t="s">
        <v>91</v>
      </c>
      <c r="B13" t="s">
        <v>185</v>
      </c>
      <c r="C13" s="1">
        <v>46266</v>
      </c>
      <c r="D13" t="s">
        <v>174</v>
      </c>
      <c r="E13" t="s">
        <v>175</v>
      </c>
      <c r="F13" s="4">
        <v>1</v>
      </c>
      <c r="G13" s="4">
        <v>0.6</v>
      </c>
      <c r="H13" s="9">
        <v>10089.280000000001</v>
      </c>
      <c r="I13" s="9">
        <v>1681.5466666666666</v>
      </c>
      <c r="J13" s="9">
        <f t="shared" si="0"/>
        <v>11770.826666666668</v>
      </c>
      <c r="K13" s="9">
        <v>0</v>
      </c>
      <c r="L13" s="9">
        <f t="shared" si="1"/>
        <v>0</v>
      </c>
      <c r="M13">
        <v>0</v>
      </c>
      <c r="N13" s="4">
        <f t="shared" si="2"/>
        <v>0</v>
      </c>
      <c r="O13" s="9">
        <v>5917.01</v>
      </c>
      <c r="P13" s="9">
        <v>3783.48</v>
      </c>
      <c r="Q13" s="9">
        <v>42.19</v>
      </c>
      <c r="R13" s="9">
        <v>55.01</v>
      </c>
      <c r="S13" s="9">
        <v>126.56</v>
      </c>
      <c r="T13" s="9">
        <v>165.03</v>
      </c>
      <c r="U13" s="9">
        <v>0</v>
      </c>
      <c r="V13" s="9">
        <v>0</v>
      </c>
      <c r="W13" s="9">
        <f t="shared" si="3"/>
        <v>10089.280000000001</v>
      </c>
      <c r="X13" s="9">
        <v>1681.5466666666666</v>
      </c>
      <c r="Y13" s="9">
        <v>0</v>
      </c>
      <c r="Z13" s="9">
        <v>11770.826666666668</v>
      </c>
      <c r="AA13" s="9">
        <v>0</v>
      </c>
      <c r="AB13" s="9">
        <f t="shared" si="4"/>
        <v>11770.826666666668</v>
      </c>
      <c r="AC13" s="9">
        <v>5101.2</v>
      </c>
      <c r="AD13" s="9">
        <v>0</v>
      </c>
      <c r="AE13" s="9">
        <v>9920.5300000000007</v>
      </c>
      <c r="AF13" s="9">
        <v>239.75639999999999</v>
      </c>
      <c r="AG13" s="9">
        <v>1203.8832</v>
      </c>
      <c r="AH13" s="9">
        <v>79.068600000000004</v>
      </c>
      <c r="AI13" s="9">
        <v>280.56599999999997</v>
      </c>
      <c r="AJ13" s="9">
        <v>10.202399999999999</v>
      </c>
      <c r="AK13" s="9">
        <v>5.1011999999999995</v>
      </c>
      <c r="AL13" s="9">
        <v>30.607199999999999</v>
      </c>
      <c r="AM13" s="9">
        <v>7.6517999999999997</v>
      </c>
      <c r="AN13" s="9">
        <v>38.259</v>
      </c>
      <c r="AO13" s="9">
        <v>76.518000000000001</v>
      </c>
      <c r="AP13" s="9">
        <v>510.11999999999989</v>
      </c>
      <c r="AQ13" s="25">
        <v>1.9E-3</v>
      </c>
      <c r="AR13" s="9">
        <f t="shared" si="5"/>
        <v>0.96922799999999976</v>
      </c>
      <c r="AS13" s="25">
        <v>9.5999999999999992E-3</v>
      </c>
      <c r="AT13" s="9">
        <f t="shared" si="6"/>
        <v>4.8971519999999984</v>
      </c>
      <c r="AU13" s="9">
        <v>2040.4800000000005</v>
      </c>
      <c r="AV13" s="25">
        <v>2.0999999999999999E-3</v>
      </c>
      <c r="AW13" s="9">
        <f t="shared" si="7"/>
        <v>4.2850080000000004</v>
      </c>
      <c r="AX13" s="25">
        <v>1.04E-2</v>
      </c>
      <c r="AY13" s="9">
        <f t="shared" si="8"/>
        <v>21.220992000000003</v>
      </c>
      <c r="AZ13" s="9">
        <v>4119.0266666666676</v>
      </c>
      <c r="BA13" s="25">
        <v>2.3999999999999998E-3</v>
      </c>
      <c r="BB13" s="9">
        <f t="shared" si="9"/>
        <v>9.885664000000002</v>
      </c>
      <c r="BC13" s="25">
        <v>1.2200000000000001E-2</v>
      </c>
      <c r="BD13" s="9">
        <f t="shared" si="10"/>
        <v>50.252125333333346</v>
      </c>
      <c r="BE13" s="9">
        <v>510.11999999999989</v>
      </c>
      <c r="BF13" s="9">
        <v>1.9E-3</v>
      </c>
      <c r="BG13" s="9">
        <f t="shared" si="11"/>
        <v>0.96922799999999976</v>
      </c>
      <c r="BH13" s="9">
        <v>9.5999999999999992E-3</v>
      </c>
      <c r="BI13" s="9">
        <f t="shared" si="12"/>
        <v>4.8971519999999984</v>
      </c>
      <c r="BJ13" s="9">
        <v>2040.4800000000005</v>
      </c>
      <c r="BK13" s="9">
        <v>2.0999999999999999E-3</v>
      </c>
      <c r="BL13" s="9">
        <f t="shared" si="13"/>
        <v>4.2850080000000004</v>
      </c>
      <c r="BM13" s="9">
        <v>1.04E-2</v>
      </c>
      <c r="BN13" s="9">
        <f t="shared" si="14"/>
        <v>21.220992000000003</v>
      </c>
      <c r="BO13" s="9">
        <v>3861.6361813333324</v>
      </c>
      <c r="BP13" s="9">
        <v>2.3999999999999998E-3</v>
      </c>
      <c r="BQ13" s="9">
        <f t="shared" si="15"/>
        <v>9.2679268351999973</v>
      </c>
      <c r="BR13" s="9">
        <v>1.2200000000000001E-2</v>
      </c>
      <c r="BS13" s="9">
        <f t="shared" si="16"/>
        <v>47.111961412266659</v>
      </c>
      <c r="BT13" s="9">
        <f t="shared" si="17"/>
        <v>15.139900000000003</v>
      </c>
      <c r="BU13" s="9">
        <f t="shared" si="18"/>
        <v>76.37026933333334</v>
      </c>
      <c r="BV13" s="9">
        <f t="shared" si="19"/>
        <v>346.71789999999999</v>
      </c>
      <c r="BW13">
        <f t="shared" si="20"/>
        <v>346.71789999999999</v>
      </c>
      <c r="BX13">
        <v>0</v>
      </c>
      <c r="BY13">
        <f t="shared" si="21"/>
        <v>1716.4060693333331</v>
      </c>
      <c r="BZ13">
        <v>3452.9487699455999</v>
      </c>
      <c r="CA13">
        <f t="shared" si="22"/>
        <v>6289.6133300544006</v>
      </c>
      <c r="CB13">
        <f t="shared" si="23"/>
        <v>11805.686069333333</v>
      </c>
      <c r="CC13">
        <v>0</v>
      </c>
      <c r="CD13">
        <v>0</v>
      </c>
      <c r="CE13">
        <f t="shared" si="24"/>
        <v>0</v>
      </c>
      <c r="CF13">
        <f t="shared" si="25"/>
        <v>10089.280000000001</v>
      </c>
      <c r="CG13">
        <f t="shared" si="26"/>
        <v>6289.6133300544006</v>
      </c>
      <c r="CH13">
        <f t="shared" si="27"/>
        <v>0</v>
      </c>
      <c r="CJ13" t="s">
        <v>278</v>
      </c>
      <c r="CL13" t="str">
        <f t="shared" si="28"/>
        <v/>
      </c>
    </row>
    <row r="14" spans="1:90" x14ac:dyDescent="0.25">
      <c r="A14" t="s">
        <v>91</v>
      </c>
      <c r="B14" t="s">
        <v>186</v>
      </c>
      <c r="C14" s="1">
        <v>46296</v>
      </c>
      <c r="D14" t="s">
        <v>174</v>
      </c>
      <c r="E14" t="s">
        <v>175</v>
      </c>
      <c r="F14" s="4">
        <v>1</v>
      </c>
      <c r="G14" s="4">
        <v>0.6</v>
      </c>
      <c r="H14" s="9">
        <v>10089.280000000001</v>
      </c>
      <c r="I14" s="9">
        <v>1681.5466666666666</v>
      </c>
      <c r="J14" s="9">
        <f t="shared" si="0"/>
        <v>11770.826666666668</v>
      </c>
      <c r="K14" s="9">
        <v>0</v>
      </c>
      <c r="L14" s="9">
        <f t="shared" si="1"/>
        <v>0</v>
      </c>
      <c r="M14">
        <v>0</v>
      </c>
      <c r="N14" s="4">
        <f t="shared" si="2"/>
        <v>0</v>
      </c>
      <c r="O14" s="9">
        <v>5917.01</v>
      </c>
      <c r="P14" s="9">
        <v>3783.48</v>
      </c>
      <c r="Q14" s="9">
        <v>42.19</v>
      </c>
      <c r="R14" s="9">
        <v>55.01</v>
      </c>
      <c r="S14" s="9">
        <v>126.56</v>
      </c>
      <c r="T14" s="9">
        <v>165.03</v>
      </c>
      <c r="U14" s="9">
        <v>0</v>
      </c>
      <c r="V14" s="9">
        <v>0</v>
      </c>
      <c r="W14" s="9">
        <f t="shared" si="3"/>
        <v>10089.280000000001</v>
      </c>
      <c r="X14" s="9">
        <v>1681.5466666666666</v>
      </c>
      <c r="Y14" s="9">
        <v>0</v>
      </c>
      <c r="Z14" s="9">
        <v>11770.826666666668</v>
      </c>
      <c r="AA14" s="9">
        <v>0</v>
      </c>
      <c r="AB14" s="9">
        <f t="shared" si="4"/>
        <v>11770.826666666668</v>
      </c>
      <c r="AC14" s="9">
        <v>5101.2</v>
      </c>
      <c r="AD14" s="9">
        <v>0</v>
      </c>
      <c r="AE14" s="9">
        <v>9920.5300000000007</v>
      </c>
      <c r="AF14" s="9">
        <v>239.75639999999999</v>
      </c>
      <c r="AG14" s="9">
        <v>1203.8832</v>
      </c>
      <c r="AH14" s="9">
        <v>79.068600000000004</v>
      </c>
      <c r="AI14" s="9">
        <v>280.56599999999997</v>
      </c>
      <c r="AJ14" s="9">
        <v>10.202399999999999</v>
      </c>
      <c r="AK14" s="9">
        <v>5.1011999999999995</v>
      </c>
      <c r="AL14" s="9">
        <v>30.607199999999999</v>
      </c>
      <c r="AM14" s="9">
        <v>7.6517999999999997</v>
      </c>
      <c r="AN14" s="9">
        <v>38.259</v>
      </c>
      <c r="AO14" s="9">
        <v>76.518000000000001</v>
      </c>
      <c r="AP14" s="9">
        <v>510.11999999999989</v>
      </c>
      <c r="AQ14" s="25">
        <v>1.9E-3</v>
      </c>
      <c r="AR14" s="9">
        <f t="shared" si="5"/>
        <v>0.96922799999999976</v>
      </c>
      <c r="AS14" s="25">
        <v>9.5999999999999992E-3</v>
      </c>
      <c r="AT14" s="9">
        <f t="shared" si="6"/>
        <v>4.8971519999999984</v>
      </c>
      <c r="AU14" s="9">
        <v>2040.4800000000005</v>
      </c>
      <c r="AV14" s="25">
        <v>2.0999999999999999E-3</v>
      </c>
      <c r="AW14" s="9">
        <f t="shared" si="7"/>
        <v>4.2850080000000004</v>
      </c>
      <c r="AX14" s="25">
        <v>1.04E-2</v>
      </c>
      <c r="AY14" s="9">
        <f t="shared" si="8"/>
        <v>21.220992000000003</v>
      </c>
      <c r="AZ14" s="9">
        <v>4119.0266666666676</v>
      </c>
      <c r="BA14" s="25">
        <v>2.3999999999999998E-3</v>
      </c>
      <c r="BB14" s="9">
        <f t="shared" si="9"/>
        <v>9.885664000000002</v>
      </c>
      <c r="BC14" s="25">
        <v>1.2200000000000001E-2</v>
      </c>
      <c r="BD14" s="9">
        <f t="shared" si="10"/>
        <v>50.252125333333346</v>
      </c>
      <c r="BE14" s="9">
        <v>510.11999999999989</v>
      </c>
      <c r="BF14" s="9">
        <v>1.9E-3</v>
      </c>
      <c r="BG14" s="9">
        <f t="shared" si="11"/>
        <v>0.96922799999999976</v>
      </c>
      <c r="BH14" s="9">
        <v>9.5999999999999992E-3</v>
      </c>
      <c r="BI14" s="9">
        <f t="shared" si="12"/>
        <v>4.8971519999999984</v>
      </c>
      <c r="BJ14" s="9">
        <v>2040.4800000000005</v>
      </c>
      <c r="BK14" s="9">
        <v>2.0999999999999999E-3</v>
      </c>
      <c r="BL14" s="9">
        <f t="shared" si="13"/>
        <v>4.2850080000000004</v>
      </c>
      <c r="BM14" s="9">
        <v>1.04E-2</v>
      </c>
      <c r="BN14" s="9">
        <f t="shared" si="14"/>
        <v>21.220992000000003</v>
      </c>
      <c r="BO14" s="9">
        <v>3861.6361813333324</v>
      </c>
      <c r="BP14" s="9">
        <v>2.3999999999999998E-3</v>
      </c>
      <c r="BQ14" s="9">
        <f t="shared" si="15"/>
        <v>9.2679268351999973</v>
      </c>
      <c r="BR14" s="9">
        <v>1.2200000000000001E-2</v>
      </c>
      <c r="BS14" s="9">
        <f t="shared" si="16"/>
        <v>47.111961412266659</v>
      </c>
      <c r="BT14" s="9">
        <f t="shared" si="17"/>
        <v>15.139900000000003</v>
      </c>
      <c r="BU14" s="9">
        <f t="shared" si="18"/>
        <v>76.37026933333334</v>
      </c>
      <c r="BV14" s="9">
        <f t="shared" si="19"/>
        <v>346.71789999999999</v>
      </c>
      <c r="BW14">
        <f t="shared" si="20"/>
        <v>346.71789999999999</v>
      </c>
      <c r="BX14">
        <v>0</v>
      </c>
      <c r="BY14">
        <f t="shared" si="21"/>
        <v>1716.4060693333331</v>
      </c>
      <c r="BZ14">
        <v>3452.9487699455999</v>
      </c>
      <c r="CA14">
        <f t="shared" si="22"/>
        <v>6289.6133300544006</v>
      </c>
      <c r="CB14">
        <f t="shared" si="23"/>
        <v>11805.686069333333</v>
      </c>
      <c r="CC14">
        <v>0</v>
      </c>
      <c r="CD14">
        <v>0</v>
      </c>
      <c r="CE14">
        <f t="shared" si="24"/>
        <v>0</v>
      </c>
      <c r="CF14">
        <f t="shared" si="25"/>
        <v>10089.280000000001</v>
      </c>
      <c r="CG14">
        <f t="shared" si="26"/>
        <v>6289.6133300544006</v>
      </c>
      <c r="CH14">
        <f t="shared" si="27"/>
        <v>0</v>
      </c>
      <c r="CJ14" t="s">
        <v>278</v>
      </c>
      <c r="CL14" t="str">
        <f t="shared" si="28"/>
        <v/>
      </c>
    </row>
    <row r="15" spans="1:90" x14ac:dyDescent="0.25">
      <c r="A15" t="s">
        <v>91</v>
      </c>
      <c r="B15" t="s">
        <v>187</v>
      </c>
      <c r="C15" s="1">
        <v>46327</v>
      </c>
      <c r="D15" t="s">
        <v>174</v>
      </c>
      <c r="E15" t="s">
        <v>175</v>
      </c>
      <c r="F15" s="4">
        <v>1</v>
      </c>
      <c r="G15" s="4">
        <v>0.6</v>
      </c>
      <c r="H15" s="9">
        <v>10089.280000000001</v>
      </c>
      <c r="I15" s="9">
        <v>1681.5466666666666</v>
      </c>
      <c r="J15" s="9">
        <f t="shared" si="0"/>
        <v>11770.826666666668</v>
      </c>
      <c r="K15" s="9">
        <v>0</v>
      </c>
      <c r="L15" s="9">
        <f t="shared" si="1"/>
        <v>0</v>
      </c>
      <c r="M15">
        <v>0</v>
      </c>
      <c r="N15" s="4">
        <f t="shared" si="2"/>
        <v>0</v>
      </c>
      <c r="O15" s="9">
        <v>5917.01</v>
      </c>
      <c r="P15" s="9">
        <v>3783.48</v>
      </c>
      <c r="Q15" s="9">
        <v>42.19</v>
      </c>
      <c r="R15" s="9">
        <v>55.01</v>
      </c>
      <c r="S15" s="9">
        <v>126.56</v>
      </c>
      <c r="T15" s="9">
        <v>165.03</v>
      </c>
      <c r="U15" s="9">
        <v>0</v>
      </c>
      <c r="V15" s="9">
        <v>0</v>
      </c>
      <c r="W15" s="9">
        <f t="shared" si="3"/>
        <v>10089.280000000001</v>
      </c>
      <c r="X15" s="9">
        <v>1681.5466666666666</v>
      </c>
      <c r="Y15" s="9">
        <v>0</v>
      </c>
      <c r="Z15" s="9">
        <v>11770.826666666668</v>
      </c>
      <c r="AA15" s="9">
        <v>0</v>
      </c>
      <c r="AB15" s="9">
        <f t="shared" si="4"/>
        <v>11770.826666666668</v>
      </c>
      <c r="AC15" s="9">
        <v>5101.2</v>
      </c>
      <c r="AD15" s="9">
        <v>0</v>
      </c>
      <c r="AE15" s="9">
        <v>9920.5300000000007</v>
      </c>
      <c r="AF15" s="9">
        <v>239.75639999999999</v>
      </c>
      <c r="AG15" s="9">
        <v>1203.8832</v>
      </c>
      <c r="AH15" s="9">
        <v>79.068600000000004</v>
      </c>
      <c r="AI15" s="9">
        <v>280.56599999999997</v>
      </c>
      <c r="AJ15" s="9">
        <v>10.202399999999999</v>
      </c>
      <c r="AK15" s="9">
        <v>5.1011999999999995</v>
      </c>
      <c r="AL15" s="9">
        <v>30.607199999999999</v>
      </c>
      <c r="AM15" s="9">
        <v>7.6517999999999997</v>
      </c>
      <c r="AN15" s="9">
        <v>38.259</v>
      </c>
      <c r="AO15" s="9">
        <v>76.518000000000001</v>
      </c>
      <c r="AP15" s="9">
        <v>510.11999999999989</v>
      </c>
      <c r="AQ15" s="25">
        <v>1.9E-3</v>
      </c>
      <c r="AR15" s="9">
        <f t="shared" si="5"/>
        <v>0.96922799999999976</v>
      </c>
      <c r="AS15" s="25">
        <v>9.5999999999999992E-3</v>
      </c>
      <c r="AT15" s="9">
        <f t="shared" si="6"/>
        <v>4.8971519999999984</v>
      </c>
      <c r="AU15" s="9">
        <v>2040.4800000000005</v>
      </c>
      <c r="AV15" s="25">
        <v>2.0999999999999999E-3</v>
      </c>
      <c r="AW15" s="9">
        <f t="shared" si="7"/>
        <v>4.2850080000000004</v>
      </c>
      <c r="AX15" s="25">
        <v>1.04E-2</v>
      </c>
      <c r="AY15" s="9">
        <f t="shared" si="8"/>
        <v>21.220992000000003</v>
      </c>
      <c r="AZ15" s="9">
        <v>4119.0266666666676</v>
      </c>
      <c r="BA15" s="25">
        <v>2.3999999999999998E-3</v>
      </c>
      <c r="BB15" s="9">
        <f t="shared" si="9"/>
        <v>9.885664000000002</v>
      </c>
      <c r="BC15" s="25">
        <v>1.2200000000000001E-2</v>
      </c>
      <c r="BD15" s="9">
        <f t="shared" si="10"/>
        <v>50.252125333333346</v>
      </c>
      <c r="BE15" s="9">
        <v>510.11999999999989</v>
      </c>
      <c r="BF15" s="9">
        <v>1.9E-3</v>
      </c>
      <c r="BG15" s="9">
        <f t="shared" si="11"/>
        <v>0.96922799999999976</v>
      </c>
      <c r="BH15" s="9">
        <v>9.5999999999999992E-3</v>
      </c>
      <c r="BI15" s="9">
        <f t="shared" si="12"/>
        <v>4.8971519999999984</v>
      </c>
      <c r="BJ15" s="9">
        <v>2040.4800000000005</v>
      </c>
      <c r="BK15" s="9">
        <v>2.0999999999999999E-3</v>
      </c>
      <c r="BL15" s="9">
        <f t="shared" si="13"/>
        <v>4.2850080000000004</v>
      </c>
      <c r="BM15" s="9">
        <v>1.04E-2</v>
      </c>
      <c r="BN15" s="9">
        <f t="shared" si="14"/>
        <v>21.220992000000003</v>
      </c>
      <c r="BO15" s="9">
        <v>3861.6361813333324</v>
      </c>
      <c r="BP15" s="9">
        <v>2.3999999999999998E-3</v>
      </c>
      <c r="BQ15" s="9">
        <f t="shared" si="15"/>
        <v>9.2679268351999973</v>
      </c>
      <c r="BR15" s="9">
        <v>1.2200000000000001E-2</v>
      </c>
      <c r="BS15" s="9">
        <f t="shared" si="16"/>
        <v>47.111961412266659</v>
      </c>
      <c r="BT15" s="9">
        <f t="shared" si="17"/>
        <v>15.139900000000003</v>
      </c>
      <c r="BU15" s="9">
        <f t="shared" si="18"/>
        <v>76.37026933333334</v>
      </c>
      <c r="BV15" s="9">
        <f t="shared" si="19"/>
        <v>346.71789999999999</v>
      </c>
      <c r="BW15">
        <f t="shared" si="20"/>
        <v>346.71789999999999</v>
      </c>
      <c r="BX15">
        <v>0</v>
      </c>
      <c r="BY15">
        <f t="shared" si="21"/>
        <v>1716.4060693333331</v>
      </c>
      <c r="BZ15">
        <v>3452.9487699455999</v>
      </c>
      <c r="CA15">
        <f t="shared" si="22"/>
        <v>6289.6133300544006</v>
      </c>
      <c r="CB15">
        <f t="shared" si="23"/>
        <v>11805.686069333333</v>
      </c>
      <c r="CC15">
        <v>0</v>
      </c>
      <c r="CD15">
        <v>0</v>
      </c>
      <c r="CE15">
        <f t="shared" si="24"/>
        <v>0</v>
      </c>
      <c r="CF15">
        <f t="shared" si="25"/>
        <v>10089.280000000001</v>
      </c>
      <c r="CG15">
        <f t="shared" si="26"/>
        <v>6289.6133300544006</v>
      </c>
      <c r="CH15">
        <f t="shared" si="27"/>
        <v>0</v>
      </c>
      <c r="CJ15" t="s">
        <v>278</v>
      </c>
      <c r="CL15" t="str">
        <f t="shared" si="28"/>
        <v/>
      </c>
    </row>
    <row r="16" spans="1:90" x14ac:dyDescent="0.25">
      <c r="A16" t="s">
        <v>91</v>
      </c>
      <c r="B16" t="s">
        <v>188</v>
      </c>
      <c r="C16" s="1">
        <v>46357</v>
      </c>
      <c r="D16" t="s">
        <v>182</v>
      </c>
      <c r="E16" t="s">
        <v>175</v>
      </c>
      <c r="F16" s="4">
        <v>1</v>
      </c>
      <c r="G16" s="4">
        <v>0.6</v>
      </c>
      <c r="H16" s="9">
        <v>10089.280000000001</v>
      </c>
      <c r="I16" s="9">
        <v>1681.5466666666666</v>
      </c>
      <c r="J16" s="9">
        <f t="shared" si="0"/>
        <v>11770.826666666668</v>
      </c>
      <c r="K16" s="9">
        <v>0</v>
      </c>
      <c r="L16" s="9">
        <f t="shared" si="1"/>
        <v>0</v>
      </c>
      <c r="M16">
        <v>0</v>
      </c>
      <c r="N16" s="4">
        <f t="shared" si="2"/>
        <v>0</v>
      </c>
      <c r="O16" s="9">
        <v>5917.01</v>
      </c>
      <c r="P16" s="9">
        <v>3783.48</v>
      </c>
      <c r="Q16" s="9">
        <v>42.19</v>
      </c>
      <c r="R16" s="9">
        <v>55.01</v>
      </c>
      <c r="S16" s="9">
        <v>126.56</v>
      </c>
      <c r="T16" s="9">
        <v>165.03</v>
      </c>
      <c r="U16" s="9">
        <v>0</v>
      </c>
      <c r="V16" s="9">
        <v>0</v>
      </c>
      <c r="W16" s="9">
        <f t="shared" si="3"/>
        <v>10089.280000000001</v>
      </c>
      <c r="X16" s="9">
        <v>0</v>
      </c>
      <c r="Y16" s="9">
        <v>0</v>
      </c>
      <c r="Z16" s="9">
        <v>0</v>
      </c>
      <c r="AA16" s="9">
        <v>0</v>
      </c>
      <c r="AB16" s="9">
        <f t="shared" si="4"/>
        <v>0</v>
      </c>
      <c r="AC16" s="9">
        <v>0</v>
      </c>
      <c r="AD16" s="9">
        <v>0</v>
      </c>
      <c r="AE16" s="9">
        <v>9920.5300000000007</v>
      </c>
      <c r="AF16" s="9">
        <v>0</v>
      </c>
      <c r="AG16" s="9">
        <v>0</v>
      </c>
      <c r="AH16" s="9">
        <v>0</v>
      </c>
      <c r="AI16" s="9">
        <v>0</v>
      </c>
      <c r="AJ16" s="9">
        <v>0</v>
      </c>
      <c r="AK16" s="9">
        <v>0</v>
      </c>
      <c r="AL16" s="9">
        <v>0</v>
      </c>
      <c r="AM16" s="9">
        <v>0</v>
      </c>
      <c r="AN16" s="9">
        <v>0</v>
      </c>
      <c r="AO16" s="9">
        <v>0</v>
      </c>
      <c r="AP16" s="9">
        <v>0</v>
      </c>
      <c r="AQ16" s="25">
        <v>0</v>
      </c>
      <c r="AR16" s="9">
        <f t="shared" si="5"/>
        <v>0</v>
      </c>
      <c r="AS16" s="25">
        <v>0</v>
      </c>
      <c r="AT16" s="9">
        <f t="shared" si="6"/>
        <v>0</v>
      </c>
      <c r="AU16" s="9">
        <v>0</v>
      </c>
      <c r="AV16" s="25">
        <v>0</v>
      </c>
      <c r="AW16" s="9">
        <f t="shared" si="7"/>
        <v>0</v>
      </c>
      <c r="AX16" s="25">
        <v>0</v>
      </c>
      <c r="AY16" s="9">
        <f t="shared" si="8"/>
        <v>0</v>
      </c>
      <c r="AZ16" s="9">
        <v>0</v>
      </c>
      <c r="BA16" s="25">
        <v>0</v>
      </c>
      <c r="BB16" s="9">
        <f t="shared" si="9"/>
        <v>0</v>
      </c>
      <c r="BC16" s="25">
        <v>0</v>
      </c>
      <c r="BD16" s="9">
        <f t="shared" si="10"/>
        <v>0</v>
      </c>
      <c r="BE16" s="9">
        <v>0</v>
      </c>
      <c r="BF16" s="9">
        <v>0</v>
      </c>
      <c r="BG16" s="9">
        <f t="shared" si="11"/>
        <v>0</v>
      </c>
      <c r="BH16" s="9">
        <v>0</v>
      </c>
      <c r="BI16" s="9">
        <f t="shared" si="12"/>
        <v>0</v>
      </c>
      <c r="BJ16" s="9">
        <v>0</v>
      </c>
      <c r="BK16" s="9">
        <v>0</v>
      </c>
      <c r="BL16" s="9">
        <f t="shared" si="13"/>
        <v>0</v>
      </c>
      <c r="BM16" s="9">
        <v>0</v>
      </c>
      <c r="BN16" s="9">
        <f t="shared" si="14"/>
        <v>0</v>
      </c>
      <c r="BO16" s="9">
        <v>0</v>
      </c>
      <c r="BP16" s="9">
        <v>0</v>
      </c>
      <c r="BQ16" s="9">
        <f t="shared" si="15"/>
        <v>0</v>
      </c>
      <c r="BR16" s="9">
        <v>0</v>
      </c>
      <c r="BS16" s="9">
        <f t="shared" si="16"/>
        <v>0</v>
      </c>
      <c r="BT16" s="9">
        <f t="shared" si="17"/>
        <v>0</v>
      </c>
      <c r="BU16" s="9">
        <f t="shared" si="18"/>
        <v>0</v>
      </c>
      <c r="BV16" s="9">
        <f t="shared" si="19"/>
        <v>0</v>
      </c>
      <c r="BW16">
        <f t="shared" si="20"/>
        <v>0</v>
      </c>
      <c r="BX16">
        <v>0</v>
      </c>
      <c r="BY16">
        <f t="shared" si="21"/>
        <v>0</v>
      </c>
      <c r="BZ16">
        <v>3452.9487699455999</v>
      </c>
      <c r="CA16">
        <f t="shared" si="22"/>
        <v>6636.3312300544003</v>
      </c>
      <c r="CB16">
        <f t="shared" si="23"/>
        <v>10089.280000000001</v>
      </c>
      <c r="CC16">
        <v>0</v>
      </c>
      <c r="CD16">
        <v>0</v>
      </c>
      <c r="CE16">
        <f t="shared" si="24"/>
        <v>0</v>
      </c>
      <c r="CF16">
        <f t="shared" si="25"/>
        <v>10089.280000000001</v>
      </c>
      <c r="CG16">
        <f t="shared" si="26"/>
        <v>6636.3312300544003</v>
      </c>
      <c r="CH16">
        <f t="shared" si="27"/>
        <v>0</v>
      </c>
      <c r="CJ16" t="s">
        <v>278</v>
      </c>
      <c r="CL16" t="str">
        <f t="shared" si="28"/>
        <v/>
      </c>
    </row>
    <row r="17" spans="1:90" x14ac:dyDescent="0.25">
      <c r="A17" t="s">
        <v>91</v>
      </c>
      <c r="B17" t="s">
        <v>189</v>
      </c>
      <c r="C17" s="1">
        <v>46357</v>
      </c>
      <c r="D17" t="s">
        <v>174</v>
      </c>
      <c r="E17" t="s">
        <v>175</v>
      </c>
      <c r="F17" s="4">
        <v>1</v>
      </c>
      <c r="G17" s="4">
        <v>0.6</v>
      </c>
      <c r="H17" s="9">
        <v>10089.280000000001</v>
      </c>
      <c r="I17" s="9">
        <v>1681.5466666666666</v>
      </c>
      <c r="J17" s="9">
        <f t="shared" si="0"/>
        <v>11770.826666666668</v>
      </c>
      <c r="K17" s="9">
        <v>0</v>
      </c>
      <c r="L17" s="9">
        <f t="shared" si="1"/>
        <v>0</v>
      </c>
      <c r="M17">
        <v>0</v>
      </c>
      <c r="N17" s="4">
        <f t="shared" si="2"/>
        <v>0</v>
      </c>
      <c r="O17" s="9">
        <v>5917.01</v>
      </c>
      <c r="P17" s="9">
        <v>3783.48</v>
      </c>
      <c r="Q17" s="9">
        <v>42.19</v>
      </c>
      <c r="R17" s="9">
        <v>55.01</v>
      </c>
      <c r="S17" s="9">
        <v>126.56</v>
      </c>
      <c r="T17" s="9">
        <v>165.03</v>
      </c>
      <c r="U17" s="9">
        <v>0</v>
      </c>
      <c r="V17" s="9">
        <v>0</v>
      </c>
      <c r="W17" s="9">
        <f t="shared" si="3"/>
        <v>10089.280000000001</v>
      </c>
      <c r="X17" s="9">
        <v>1681.5466666666666</v>
      </c>
      <c r="Y17" s="9">
        <v>0</v>
      </c>
      <c r="Z17" s="9">
        <v>11770.826666666668</v>
      </c>
      <c r="AA17" s="9">
        <v>0</v>
      </c>
      <c r="AB17" s="9">
        <f t="shared" si="4"/>
        <v>11770.826666666668</v>
      </c>
      <c r="AC17" s="9">
        <v>5101.2</v>
      </c>
      <c r="AD17" s="9">
        <v>0</v>
      </c>
      <c r="AE17" s="9">
        <v>9920.5300000000007</v>
      </c>
      <c r="AF17" s="9">
        <v>239.75639999999999</v>
      </c>
      <c r="AG17" s="9">
        <v>1203.8832</v>
      </c>
      <c r="AH17" s="9">
        <v>79.068600000000004</v>
      </c>
      <c r="AI17" s="9">
        <v>280.56599999999997</v>
      </c>
      <c r="AJ17" s="9">
        <v>10.202399999999999</v>
      </c>
      <c r="AK17" s="9">
        <v>5.1011999999999995</v>
      </c>
      <c r="AL17" s="9">
        <v>30.607199999999999</v>
      </c>
      <c r="AM17" s="9">
        <v>7.6517999999999997</v>
      </c>
      <c r="AN17" s="9">
        <v>38.259</v>
      </c>
      <c r="AO17" s="9">
        <v>76.518000000000001</v>
      </c>
      <c r="AP17" s="9">
        <v>510.11999999999989</v>
      </c>
      <c r="AQ17" s="25">
        <v>1.9E-3</v>
      </c>
      <c r="AR17" s="9">
        <f t="shared" si="5"/>
        <v>0.96922799999999976</v>
      </c>
      <c r="AS17" s="25">
        <v>9.5999999999999992E-3</v>
      </c>
      <c r="AT17" s="9">
        <f t="shared" si="6"/>
        <v>4.8971519999999984</v>
      </c>
      <c r="AU17" s="9">
        <v>2040.4800000000005</v>
      </c>
      <c r="AV17" s="25">
        <v>2.0999999999999999E-3</v>
      </c>
      <c r="AW17" s="9">
        <f t="shared" si="7"/>
        <v>4.2850080000000004</v>
      </c>
      <c r="AX17" s="25">
        <v>1.04E-2</v>
      </c>
      <c r="AY17" s="9">
        <f t="shared" si="8"/>
        <v>21.220992000000003</v>
      </c>
      <c r="AZ17" s="9">
        <v>4119.0266666666676</v>
      </c>
      <c r="BA17" s="25">
        <v>2.3999999999999998E-3</v>
      </c>
      <c r="BB17" s="9">
        <f t="shared" si="9"/>
        <v>9.885664000000002</v>
      </c>
      <c r="BC17" s="25">
        <v>1.2200000000000001E-2</v>
      </c>
      <c r="BD17" s="9">
        <f t="shared" si="10"/>
        <v>50.252125333333346</v>
      </c>
      <c r="BE17" s="9">
        <v>510.11999999999989</v>
      </c>
      <c r="BF17" s="9">
        <v>1.9E-3</v>
      </c>
      <c r="BG17" s="9">
        <f t="shared" si="11"/>
        <v>0.96922799999999976</v>
      </c>
      <c r="BH17" s="9">
        <v>9.5999999999999992E-3</v>
      </c>
      <c r="BI17" s="9">
        <f t="shared" si="12"/>
        <v>4.8971519999999984</v>
      </c>
      <c r="BJ17" s="9">
        <v>2040.4800000000005</v>
      </c>
      <c r="BK17" s="9">
        <v>2.0999999999999999E-3</v>
      </c>
      <c r="BL17" s="9">
        <f t="shared" si="13"/>
        <v>4.2850080000000004</v>
      </c>
      <c r="BM17" s="9">
        <v>1.04E-2</v>
      </c>
      <c r="BN17" s="9">
        <f t="shared" si="14"/>
        <v>21.220992000000003</v>
      </c>
      <c r="BO17" s="9">
        <v>3861.6361813333324</v>
      </c>
      <c r="BP17" s="9">
        <v>2.3999999999999998E-3</v>
      </c>
      <c r="BQ17" s="9">
        <f t="shared" si="15"/>
        <v>9.2679268351999973</v>
      </c>
      <c r="BR17" s="9">
        <v>1.2200000000000001E-2</v>
      </c>
      <c r="BS17" s="9">
        <f t="shared" si="16"/>
        <v>47.111961412266659</v>
      </c>
      <c r="BT17" s="9">
        <f t="shared" si="17"/>
        <v>15.139900000000003</v>
      </c>
      <c r="BU17" s="9">
        <f t="shared" si="18"/>
        <v>76.37026933333334</v>
      </c>
      <c r="BV17" s="9">
        <f t="shared" si="19"/>
        <v>346.71789999999999</v>
      </c>
      <c r="BW17">
        <f t="shared" si="20"/>
        <v>346.71789999999999</v>
      </c>
      <c r="BX17">
        <v>0</v>
      </c>
      <c r="BY17">
        <f t="shared" si="21"/>
        <v>1716.4060693333331</v>
      </c>
      <c r="BZ17">
        <v>3452.9487699455999</v>
      </c>
      <c r="CA17">
        <f t="shared" si="22"/>
        <v>6289.6133300544006</v>
      </c>
      <c r="CB17">
        <f t="shared" si="23"/>
        <v>11805.686069333333</v>
      </c>
      <c r="CC17">
        <v>0</v>
      </c>
      <c r="CD17">
        <v>0</v>
      </c>
      <c r="CE17">
        <f t="shared" si="24"/>
        <v>0</v>
      </c>
      <c r="CF17">
        <f t="shared" si="25"/>
        <v>10089.280000000001</v>
      </c>
      <c r="CG17">
        <f t="shared" si="26"/>
        <v>6289.6133300544006</v>
      </c>
      <c r="CH17">
        <f t="shared" si="27"/>
        <v>0</v>
      </c>
      <c r="CJ17" t="s">
        <v>278</v>
      </c>
      <c r="CL17" t="str">
        <f t="shared" si="28"/>
        <v/>
      </c>
    </row>
    <row r="18" spans="1:90" x14ac:dyDescent="0.25">
      <c r="A18" t="s">
        <v>96</v>
      </c>
      <c r="B18" t="s">
        <v>173</v>
      </c>
      <c r="C18" s="1">
        <v>46023</v>
      </c>
      <c r="D18" t="s">
        <v>174</v>
      </c>
      <c r="E18" t="s">
        <v>175</v>
      </c>
      <c r="F18" s="4">
        <v>1</v>
      </c>
      <c r="G18" s="4">
        <v>0.6</v>
      </c>
      <c r="H18" s="9">
        <v>12478.096000000001</v>
      </c>
      <c r="I18" s="9">
        <v>2079.6826666666666</v>
      </c>
      <c r="J18" s="9">
        <f t="shared" si="0"/>
        <v>14557.778666666669</v>
      </c>
      <c r="K18" s="9">
        <v>0</v>
      </c>
      <c r="L18" s="9">
        <f t="shared" si="1"/>
        <v>0</v>
      </c>
      <c r="M18">
        <v>0</v>
      </c>
      <c r="N18" s="4">
        <f t="shared" si="2"/>
        <v>0</v>
      </c>
      <c r="O18" s="9">
        <v>7399.5</v>
      </c>
      <c r="P18" s="9">
        <v>4679.2860000000001</v>
      </c>
      <c r="Q18" s="9">
        <v>41.27</v>
      </c>
      <c r="R18" s="9">
        <v>110.84</v>
      </c>
      <c r="S18" s="9">
        <v>82.54</v>
      </c>
      <c r="T18" s="9">
        <v>164.66</v>
      </c>
      <c r="U18" s="9">
        <v>0</v>
      </c>
      <c r="V18" s="9">
        <v>0</v>
      </c>
      <c r="W18" s="9">
        <f t="shared" si="3"/>
        <v>12478.096000000001</v>
      </c>
      <c r="X18" s="9">
        <v>2079.6826666666666</v>
      </c>
      <c r="Y18" s="9">
        <v>0</v>
      </c>
      <c r="Z18" s="9">
        <v>14557.778666666669</v>
      </c>
      <c r="AA18" s="9">
        <v>0</v>
      </c>
      <c r="AB18" s="9">
        <f t="shared" si="4"/>
        <v>14557.778666666669</v>
      </c>
      <c r="AC18" s="9">
        <v>5101.2</v>
      </c>
      <c r="AD18" s="9">
        <v>0</v>
      </c>
      <c r="AE18" s="9">
        <v>12354.286</v>
      </c>
      <c r="AF18" s="9">
        <v>239.75639999999999</v>
      </c>
      <c r="AG18" s="9">
        <v>1203.8832</v>
      </c>
      <c r="AH18" s="9">
        <v>79.068600000000004</v>
      </c>
      <c r="AI18" s="9">
        <v>280.56599999999997</v>
      </c>
      <c r="AJ18" s="9">
        <v>10.202399999999999</v>
      </c>
      <c r="AK18" s="9">
        <v>5.1011999999999995</v>
      </c>
      <c r="AL18" s="9">
        <v>30.607199999999999</v>
      </c>
      <c r="AM18" s="9">
        <v>7.6517999999999997</v>
      </c>
      <c r="AN18" s="9">
        <v>38.259</v>
      </c>
      <c r="AO18" s="9">
        <v>76.518000000000001</v>
      </c>
      <c r="AP18" s="9">
        <v>510.11999999999989</v>
      </c>
      <c r="AQ18" s="25">
        <v>1.9E-3</v>
      </c>
      <c r="AR18" s="9">
        <f t="shared" si="5"/>
        <v>0.96922799999999976</v>
      </c>
      <c r="AS18" s="25">
        <v>9.5999999999999992E-3</v>
      </c>
      <c r="AT18" s="9">
        <f t="shared" si="6"/>
        <v>4.8971519999999984</v>
      </c>
      <c r="AU18" s="9">
        <v>2040.4800000000005</v>
      </c>
      <c r="AV18" s="25">
        <v>2.0999999999999999E-3</v>
      </c>
      <c r="AW18" s="9">
        <f t="shared" si="7"/>
        <v>4.2850080000000004</v>
      </c>
      <c r="AX18" s="25">
        <v>1.04E-2</v>
      </c>
      <c r="AY18" s="9">
        <f t="shared" si="8"/>
        <v>21.220992000000003</v>
      </c>
      <c r="AZ18" s="9">
        <v>6905.9786666666687</v>
      </c>
      <c r="BA18" s="25">
        <v>2.3999999999999998E-3</v>
      </c>
      <c r="BB18" s="9">
        <f t="shared" si="9"/>
        <v>16.574348800000003</v>
      </c>
      <c r="BC18" s="25">
        <v>1.2200000000000001E-2</v>
      </c>
      <c r="BD18" s="9">
        <f t="shared" si="10"/>
        <v>84.252939733333363</v>
      </c>
      <c r="BE18" s="9">
        <v>510.11999999999989</v>
      </c>
      <c r="BF18" s="9">
        <v>1.9E-3</v>
      </c>
      <c r="BG18" s="9">
        <f t="shared" si="11"/>
        <v>0.96922799999999976</v>
      </c>
      <c r="BH18" s="9">
        <v>9.5999999999999992E-3</v>
      </c>
      <c r="BI18" s="9">
        <f t="shared" si="12"/>
        <v>4.8971519999999984</v>
      </c>
      <c r="BJ18" s="9">
        <v>2040.4800000000005</v>
      </c>
      <c r="BK18" s="9">
        <v>2.0999999999999999E-3</v>
      </c>
      <c r="BL18" s="9">
        <f t="shared" si="13"/>
        <v>4.2850080000000004</v>
      </c>
      <c r="BM18" s="9">
        <v>1.04E-2</v>
      </c>
      <c r="BN18" s="9">
        <f t="shared" si="14"/>
        <v>21.220992000000003</v>
      </c>
      <c r="BO18" s="9">
        <v>7151.8933333333307</v>
      </c>
      <c r="BP18" s="9">
        <v>2.3999999999999998E-3</v>
      </c>
      <c r="BQ18" s="9">
        <f t="shared" si="15"/>
        <v>17.164543999999992</v>
      </c>
      <c r="BR18" s="9">
        <v>1.2200000000000001E-2</v>
      </c>
      <c r="BS18" s="9">
        <f t="shared" si="16"/>
        <v>87.253098666666645</v>
      </c>
      <c r="BT18" s="9">
        <f t="shared" si="17"/>
        <v>21.828584800000002</v>
      </c>
      <c r="BU18" s="9">
        <f t="shared" si="18"/>
        <v>110.37108373333336</v>
      </c>
      <c r="BV18" s="9">
        <f t="shared" si="19"/>
        <v>353.40658479999996</v>
      </c>
      <c r="BW18">
        <f t="shared" si="20"/>
        <v>353.40658479999996</v>
      </c>
      <c r="BX18">
        <v>0</v>
      </c>
      <c r="BY18">
        <f t="shared" si="21"/>
        <v>1750.4068837333332</v>
      </c>
      <c r="BZ18">
        <v>4808.2045299999991</v>
      </c>
      <c r="CA18">
        <f t="shared" si="22"/>
        <v>7316.4848852000032</v>
      </c>
      <c r="CB18">
        <f t="shared" si="23"/>
        <v>14228.502883733334</v>
      </c>
      <c r="CC18">
        <v>0</v>
      </c>
      <c r="CD18">
        <v>0</v>
      </c>
      <c r="CE18">
        <f t="shared" si="24"/>
        <v>0</v>
      </c>
      <c r="CF18">
        <f t="shared" si="25"/>
        <v>12478.096000000001</v>
      </c>
      <c r="CG18">
        <f t="shared" si="26"/>
        <v>7316.4848852000032</v>
      </c>
      <c r="CH18">
        <f t="shared" si="27"/>
        <v>0</v>
      </c>
      <c r="CJ18" t="s">
        <v>278</v>
      </c>
      <c r="CL18" t="str">
        <f t="shared" si="28"/>
        <v/>
      </c>
    </row>
    <row r="19" spans="1:90" x14ac:dyDescent="0.25">
      <c r="A19" t="s">
        <v>96</v>
      </c>
      <c r="B19" t="s">
        <v>176</v>
      </c>
      <c r="C19" s="1">
        <v>46054</v>
      </c>
      <c r="D19" t="s">
        <v>174</v>
      </c>
      <c r="E19" t="s">
        <v>175</v>
      </c>
      <c r="F19" s="4">
        <v>1</v>
      </c>
      <c r="G19" s="4">
        <v>0.6</v>
      </c>
      <c r="H19" s="9">
        <v>12478.096000000001</v>
      </c>
      <c r="I19" s="9">
        <v>2079.6826666666666</v>
      </c>
      <c r="J19" s="9">
        <f t="shared" si="0"/>
        <v>14557.778666666669</v>
      </c>
      <c r="K19" s="9">
        <v>0</v>
      </c>
      <c r="L19" s="9">
        <f t="shared" si="1"/>
        <v>0</v>
      </c>
      <c r="M19">
        <v>0</v>
      </c>
      <c r="N19" s="4">
        <f t="shared" si="2"/>
        <v>0</v>
      </c>
      <c r="O19" s="9">
        <v>7399.5</v>
      </c>
      <c r="P19" s="9">
        <v>4679.2860000000001</v>
      </c>
      <c r="Q19" s="9">
        <v>41.27</v>
      </c>
      <c r="R19" s="9">
        <v>110.84</v>
      </c>
      <c r="S19" s="9">
        <v>82.54</v>
      </c>
      <c r="T19" s="9">
        <v>164.66</v>
      </c>
      <c r="U19" s="9">
        <v>0</v>
      </c>
      <c r="V19" s="9">
        <v>0</v>
      </c>
      <c r="W19" s="9">
        <f t="shared" si="3"/>
        <v>12478.096000000001</v>
      </c>
      <c r="X19" s="9">
        <v>2079.6826666666666</v>
      </c>
      <c r="Y19" s="9">
        <v>0</v>
      </c>
      <c r="Z19" s="9">
        <v>14557.778666666669</v>
      </c>
      <c r="AA19" s="9">
        <v>0</v>
      </c>
      <c r="AB19" s="9">
        <f t="shared" si="4"/>
        <v>14557.778666666669</v>
      </c>
      <c r="AC19" s="9">
        <v>5101.2</v>
      </c>
      <c r="AD19" s="9">
        <v>0</v>
      </c>
      <c r="AE19" s="9">
        <v>12354.286</v>
      </c>
      <c r="AF19" s="9">
        <v>239.75639999999999</v>
      </c>
      <c r="AG19" s="9">
        <v>1203.8832</v>
      </c>
      <c r="AH19" s="9">
        <v>79.068600000000004</v>
      </c>
      <c r="AI19" s="9">
        <v>280.56599999999997</v>
      </c>
      <c r="AJ19" s="9">
        <v>10.202399999999999</v>
      </c>
      <c r="AK19" s="9">
        <v>5.1011999999999995</v>
      </c>
      <c r="AL19" s="9">
        <v>30.607199999999999</v>
      </c>
      <c r="AM19" s="9">
        <v>7.6517999999999997</v>
      </c>
      <c r="AN19" s="9">
        <v>38.259</v>
      </c>
      <c r="AO19" s="9">
        <v>76.518000000000001</v>
      </c>
      <c r="AP19" s="9">
        <v>510.11999999999989</v>
      </c>
      <c r="AQ19" s="25">
        <v>1.9E-3</v>
      </c>
      <c r="AR19" s="9">
        <f t="shared" si="5"/>
        <v>0.96922799999999976</v>
      </c>
      <c r="AS19" s="25">
        <v>9.5999999999999992E-3</v>
      </c>
      <c r="AT19" s="9">
        <f t="shared" si="6"/>
        <v>4.8971519999999984</v>
      </c>
      <c r="AU19" s="9">
        <v>2040.4800000000005</v>
      </c>
      <c r="AV19" s="25">
        <v>2.0999999999999999E-3</v>
      </c>
      <c r="AW19" s="9">
        <f t="shared" si="7"/>
        <v>4.2850080000000004</v>
      </c>
      <c r="AX19" s="25">
        <v>1.04E-2</v>
      </c>
      <c r="AY19" s="9">
        <f t="shared" si="8"/>
        <v>21.220992000000003</v>
      </c>
      <c r="AZ19" s="9">
        <v>6905.9786666666687</v>
      </c>
      <c r="BA19" s="25">
        <v>2.3999999999999998E-3</v>
      </c>
      <c r="BB19" s="9">
        <f t="shared" si="9"/>
        <v>16.574348800000003</v>
      </c>
      <c r="BC19" s="25">
        <v>1.2200000000000001E-2</v>
      </c>
      <c r="BD19" s="9">
        <f t="shared" si="10"/>
        <v>84.252939733333363</v>
      </c>
      <c r="BE19" s="9">
        <v>510.11999999999989</v>
      </c>
      <c r="BF19" s="9">
        <v>1.9E-3</v>
      </c>
      <c r="BG19" s="9">
        <f t="shared" si="11"/>
        <v>0.96922799999999976</v>
      </c>
      <c r="BH19" s="9">
        <v>9.5999999999999992E-3</v>
      </c>
      <c r="BI19" s="9">
        <f t="shared" si="12"/>
        <v>4.8971519999999984</v>
      </c>
      <c r="BJ19" s="9">
        <v>2040.4800000000005</v>
      </c>
      <c r="BK19" s="9">
        <v>2.0999999999999999E-3</v>
      </c>
      <c r="BL19" s="9">
        <f t="shared" si="13"/>
        <v>4.2850080000000004</v>
      </c>
      <c r="BM19" s="9">
        <v>1.04E-2</v>
      </c>
      <c r="BN19" s="9">
        <f t="shared" si="14"/>
        <v>21.220992000000003</v>
      </c>
      <c r="BO19" s="9">
        <v>7151.8933333333307</v>
      </c>
      <c r="BP19" s="9">
        <v>2.3999999999999998E-3</v>
      </c>
      <c r="BQ19" s="9">
        <f t="shared" si="15"/>
        <v>17.164543999999992</v>
      </c>
      <c r="BR19" s="9">
        <v>1.2200000000000001E-2</v>
      </c>
      <c r="BS19" s="9">
        <f t="shared" si="16"/>
        <v>87.253098666666645</v>
      </c>
      <c r="BT19" s="9">
        <f t="shared" si="17"/>
        <v>21.828584800000002</v>
      </c>
      <c r="BU19" s="9">
        <f t="shared" si="18"/>
        <v>110.37108373333336</v>
      </c>
      <c r="BV19" s="9">
        <f t="shared" si="19"/>
        <v>353.40658479999996</v>
      </c>
      <c r="BW19">
        <f t="shared" si="20"/>
        <v>353.40658479999996</v>
      </c>
      <c r="BX19">
        <v>0</v>
      </c>
      <c r="BY19">
        <f t="shared" si="21"/>
        <v>1750.4068837333332</v>
      </c>
      <c r="BZ19">
        <v>4808.2045299999991</v>
      </c>
      <c r="CA19">
        <f t="shared" si="22"/>
        <v>7316.4848852000032</v>
      </c>
      <c r="CB19">
        <f t="shared" si="23"/>
        <v>14228.502883733334</v>
      </c>
      <c r="CC19">
        <v>0</v>
      </c>
      <c r="CD19">
        <v>0</v>
      </c>
      <c r="CE19">
        <f t="shared" si="24"/>
        <v>0</v>
      </c>
      <c r="CF19">
        <f t="shared" si="25"/>
        <v>12478.096000000001</v>
      </c>
      <c r="CG19">
        <f t="shared" si="26"/>
        <v>7316.4848852000032</v>
      </c>
      <c r="CH19">
        <f t="shared" si="27"/>
        <v>0</v>
      </c>
      <c r="CJ19" t="s">
        <v>278</v>
      </c>
      <c r="CL19" t="str">
        <f t="shared" si="28"/>
        <v/>
      </c>
    </row>
    <row r="20" spans="1:90" x14ac:dyDescent="0.25">
      <c r="A20" t="s">
        <v>96</v>
      </c>
      <c r="B20" t="s">
        <v>177</v>
      </c>
      <c r="C20" s="1">
        <v>46082</v>
      </c>
      <c r="D20" t="s">
        <v>174</v>
      </c>
      <c r="E20" t="s">
        <v>175</v>
      </c>
      <c r="F20" s="4">
        <v>1</v>
      </c>
      <c r="G20" s="4">
        <v>0.6</v>
      </c>
      <c r="H20" s="9">
        <v>12478.096000000001</v>
      </c>
      <c r="I20" s="9">
        <v>2079.6826666666666</v>
      </c>
      <c r="J20" s="9">
        <f t="shared" si="0"/>
        <v>14557.778666666669</v>
      </c>
      <c r="K20" s="9">
        <v>0</v>
      </c>
      <c r="L20" s="9">
        <f t="shared" si="1"/>
        <v>0</v>
      </c>
      <c r="M20">
        <v>0</v>
      </c>
      <c r="N20" s="4">
        <f t="shared" si="2"/>
        <v>0</v>
      </c>
      <c r="O20" s="9">
        <v>7399.5</v>
      </c>
      <c r="P20" s="9">
        <v>4679.2860000000001</v>
      </c>
      <c r="Q20" s="9">
        <v>41.27</v>
      </c>
      <c r="R20" s="9">
        <v>110.84</v>
      </c>
      <c r="S20" s="9">
        <v>82.54</v>
      </c>
      <c r="T20" s="9">
        <v>164.66</v>
      </c>
      <c r="U20" s="9">
        <v>0</v>
      </c>
      <c r="V20" s="9">
        <v>0</v>
      </c>
      <c r="W20" s="9">
        <f t="shared" si="3"/>
        <v>12478.096000000001</v>
      </c>
      <c r="X20" s="9">
        <v>2079.6826666666666</v>
      </c>
      <c r="Y20" s="9">
        <v>0</v>
      </c>
      <c r="Z20" s="9">
        <v>14557.778666666669</v>
      </c>
      <c r="AA20" s="9">
        <v>0</v>
      </c>
      <c r="AB20" s="9">
        <f t="shared" si="4"/>
        <v>14557.778666666669</v>
      </c>
      <c r="AC20" s="9">
        <v>5101.2</v>
      </c>
      <c r="AD20" s="9">
        <v>0</v>
      </c>
      <c r="AE20" s="9">
        <v>12354.286</v>
      </c>
      <c r="AF20" s="9">
        <v>239.75639999999999</v>
      </c>
      <c r="AG20" s="9">
        <v>1203.8832</v>
      </c>
      <c r="AH20" s="9">
        <v>79.068600000000004</v>
      </c>
      <c r="AI20" s="9">
        <v>280.56599999999997</v>
      </c>
      <c r="AJ20" s="9">
        <v>10.202399999999999</v>
      </c>
      <c r="AK20" s="9">
        <v>5.1011999999999995</v>
      </c>
      <c r="AL20" s="9">
        <v>30.607199999999999</v>
      </c>
      <c r="AM20" s="9">
        <v>7.6517999999999997</v>
      </c>
      <c r="AN20" s="9">
        <v>38.259</v>
      </c>
      <c r="AO20" s="9">
        <v>76.518000000000001</v>
      </c>
      <c r="AP20" s="9">
        <v>510.11999999999989</v>
      </c>
      <c r="AQ20" s="25">
        <v>1.9E-3</v>
      </c>
      <c r="AR20" s="9">
        <f t="shared" si="5"/>
        <v>0.96922799999999976</v>
      </c>
      <c r="AS20" s="25">
        <v>9.5999999999999992E-3</v>
      </c>
      <c r="AT20" s="9">
        <f t="shared" si="6"/>
        <v>4.8971519999999984</v>
      </c>
      <c r="AU20" s="9">
        <v>2040.4800000000005</v>
      </c>
      <c r="AV20" s="25">
        <v>2.0999999999999999E-3</v>
      </c>
      <c r="AW20" s="9">
        <f t="shared" si="7"/>
        <v>4.2850080000000004</v>
      </c>
      <c r="AX20" s="25">
        <v>1.04E-2</v>
      </c>
      <c r="AY20" s="9">
        <f t="shared" si="8"/>
        <v>21.220992000000003</v>
      </c>
      <c r="AZ20" s="9">
        <v>6905.9786666666687</v>
      </c>
      <c r="BA20" s="25">
        <v>2.3999999999999998E-3</v>
      </c>
      <c r="BB20" s="9">
        <f t="shared" si="9"/>
        <v>16.574348800000003</v>
      </c>
      <c r="BC20" s="25">
        <v>1.2200000000000001E-2</v>
      </c>
      <c r="BD20" s="9">
        <f t="shared" si="10"/>
        <v>84.252939733333363</v>
      </c>
      <c r="BE20" s="9">
        <v>510.11999999999989</v>
      </c>
      <c r="BF20" s="9">
        <v>1.9E-3</v>
      </c>
      <c r="BG20" s="9">
        <f t="shared" si="11"/>
        <v>0.96922799999999976</v>
      </c>
      <c r="BH20" s="9">
        <v>9.5999999999999992E-3</v>
      </c>
      <c r="BI20" s="9">
        <f t="shared" si="12"/>
        <v>4.8971519999999984</v>
      </c>
      <c r="BJ20" s="9">
        <v>2040.4800000000005</v>
      </c>
      <c r="BK20" s="9">
        <v>2.0999999999999999E-3</v>
      </c>
      <c r="BL20" s="9">
        <f t="shared" si="13"/>
        <v>4.2850080000000004</v>
      </c>
      <c r="BM20" s="9">
        <v>1.04E-2</v>
      </c>
      <c r="BN20" s="9">
        <f t="shared" si="14"/>
        <v>21.220992000000003</v>
      </c>
      <c r="BO20" s="9">
        <v>7151.8933333333307</v>
      </c>
      <c r="BP20" s="9">
        <v>2.3999999999999998E-3</v>
      </c>
      <c r="BQ20" s="9">
        <f t="shared" si="15"/>
        <v>17.164543999999992</v>
      </c>
      <c r="BR20" s="9">
        <v>1.2200000000000001E-2</v>
      </c>
      <c r="BS20" s="9">
        <f t="shared" si="16"/>
        <v>87.253098666666645</v>
      </c>
      <c r="BT20" s="9">
        <f t="shared" si="17"/>
        <v>21.828584800000002</v>
      </c>
      <c r="BU20" s="9">
        <f t="shared" si="18"/>
        <v>110.37108373333336</v>
      </c>
      <c r="BV20" s="9">
        <f t="shared" si="19"/>
        <v>353.40658479999996</v>
      </c>
      <c r="BW20">
        <f t="shared" si="20"/>
        <v>353.40658479999996</v>
      </c>
      <c r="BX20">
        <v>0</v>
      </c>
      <c r="BY20">
        <f t="shared" si="21"/>
        <v>1750.4068837333332</v>
      </c>
      <c r="BZ20">
        <v>4808.2045299999991</v>
      </c>
      <c r="CA20">
        <f t="shared" si="22"/>
        <v>7316.4848852000032</v>
      </c>
      <c r="CB20">
        <f t="shared" si="23"/>
        <v>14228.502883733334</v>
      </c>
      <c r="CC20">
        <v>0</v>
      </c>
      <c r="CD20">
        <v>0</v>
      </c>
      <c r="CE20">
        <f t="shared" si="24"/>
        <v>0</v>
      </c>
      <c r="CF20">
        <f t="shared" si="25"/>
        <v>12478.096000000001</v>
      </c>
      <c r="CG20">
        <f t="shared" si="26"/>
        <v>7316.4848852000032</v>
      </c>
      <c r="CH20">
        <f t="shared" si="27"/>
        <v>0</v>
      </c>
      <c r="CJ20" t="s">
        <v>278</v>
      </c>
      <c r="CL20" t="str">
        <f t="shared" si="28"/>
        <v/>
      </c>
    </row>
    <row r="21" spans="1:90" x14ac:dyDescent="0.25">
      <c r="A21" t="s">
        <v>96</v>
      </c>
      <c r="B21" t="s">
        <v>178</v>
      </c>
      <c r="C21" s="1">
        <v>46113</v>
      </c>
      <c r="D21" t="s">
        <v>174</v>
      </c>
      <c r="E21" t="s">
        <v>175</v>
      </c>
      <c r="F21" s="4">
        <v>1</v>
      </c>
      <c r="G21" s="4">
        <v>0.6</v>
      </c>
      <c r="H21" s="9">
        <v>12478.096000000001</v>
      </c>
      <c r="I21" s="9">
        <v>2079.6826666666666</v>
      </c>
      <c r="J21" s="9">
        <f t="shared" si="0"/>
        <v>14557.778666666669</v>
      </c>
      <c r="K21" s="9">
        <v>0</v>
      </c>
      <c r="L21" s="9">
        <f t="shared" si="1"/>
        <v>0</v>
      </c>
      <c r="M21">
        <v>0</v>
      </c>
      <c r="N21" s="4">
        <f t="shared" si="2"/>
        <v>0</v>
      </c>
      <c r="O21" s="9">
        <v>7399.5</v>
      </c>
      <c r="P21" s="9">
        <v>4679.2860000000001</v>
      </c>
      <c r="Q21" s="9">
        <v>41.27</v>
      </c>
      <c r="R21" s="9">
        <v>110.84</v>
      </c>
      <c r="S21" s="9">
        <v>82.54</v>
      </c>
      <c r="T21" s="9">
        <v>164.66</v>
      </c>
      <c r="U21" s="9">
        <v>0</v>
      </c>
      <c r="V21" s="9">
        <v>0</v>
      </c>
      <c r="W21" s="9">
        <f t="shared" si="3"/>
        <v>12478.096000000001</v>
      </c>
      <c r="X21" s="9">
        <v>2079.6826666666666</v>
      </c>
      <c r="Y21" s="9">
        <v>0</v>
      </c>
      <c r="Z21" s="9">
        <v>14557.778666666669</v>
      </c>
      <c r="AA21" s="9">
        <v>0</v>
      </c>
      <c r="AB21" s="9">
        <f t="shared" si="4"/>
        <v>14557.778666666669</v>
      </c>
      <c r="AC21" s="9">
        <v>5101.2</v>
      </c>
      <c r="AD21" s="9">
        <v>0</v>
      </c>
      <c r="AE21" s="9">
        <v>12354.286</v>
      </c>
      <c r="AF21" s="9">
        <v>239.75639999999999</v>
      </c>
      <c r="AG21" s="9">
        <v>1203.8832</v>
      </c>
      <c r="AH21" s="9">
        <v>79.068600000000004</v>
      </c>
      <c r="AI21" s="9">
        <v>280.56599999999997</v>
      </c>
      <c r="AJ21" s="9">
        <v>10.202399999999999</v>
      </c>
      <c r="AK21" s="9">
        <v>5.1011999999999995</v>
      </c>
      <c r="AL21" s="9">
        <v>30.607199999999999</v>
      </c>
      <c r="AM21" s="9">
        <v>7.6517999999999997</v>
      </c>
      <c r="AN21" s="9">
        <v>38.259</v>
      </c>
      <c r="AO21" s="9">
        <v>76.518000000000001</v>
      </c>
      <c r="AP21" s="9">
        <v>510.11999999999989</v>
      </c>
      <c r="AQ21" s="25">
        <v>1.9E-3</v>
      </c>
      <c r="AR21" s="9">
        <f t="shared" si="5"/>
        <v>0.96922799999999976</v>
      </c>
      <c r="AS21" s="25">
        <v>9.5999999999999992E-3</v>
      </c>
      <c r="AT21" s="9">
        <f t="shared" si="6"/>
        <v>4.8971519999999984</v>
      </c>
      <c r="AU21" s="9">
        <v>2040.4800000000005</v>
      </c>
      <c r="AV21" s="25">
        <v>2.0999999999999999E-3</v>
      </c>
      <c r="AW21" s="9">
        <f t="shared" si="7"/>
        <v>4.2850080000000004</v>
      </c>
      <c r="AX21" s="25">
        <v>1.04E-2</v>
      </c>
      <c r="AY21" s="9">
        <f t="shared" si="8"/>
        <v>21.220992000000003</v>
      </c>
      <c r="AZ21" s="9">
        <v>6905.9786666666687</v>
      </c>
      <c r="BA21" s="25">
        <v>2.3999999999999998E-3</v>
      </c>
      <c r="BB21" s="9">
        <f t="shared" si="9"/>
        <v>16.574348800000003</v>
      </c>
      <c r="BC21" s="25">
        <v>1.2200000000000001E-2</v>
      </c>
      <c r="BD21" s="9">
        <f t="shared" si="10"/>
        <v>84.252939733333363</v>
      </c>
      <c r="BE21" s="9">
        <v>510.11999999999989</v>
      </c>
      <c r="BF21" s="9">
        <v>1.9E-3</v>
      </c>
      <c r="BG21" s="9">
        <f t="shared" si="11"/>
        <v>0.96922799999999976</v>
      </c>
      <c r="BH21" s="9">
        <v>9.5999999999999992E-3</v>
      </c>
      <c r="BI21" s="9">
        <f t="shared" si="12"/>
        <v>4.8971519999999984</v>
      </c>
      <c r="BJ21" s="9">
        <v>2040.4800000000005</v>
      </c>
      <c r="BK21" s="9">
        <v>2.0999999999999999E-3</v>
      </c>
      <c r="BL21" s="9">
        <f t="shared" si="13"/>
        <v>4.2850080000000004</v>
      </c>
      <c r="BM21" s="9">
        <v>1.04E-2</v>
      </c>
      <c r="BN21" s="9">
        <f t="shared" si="14"/>
        <v>21.220992000000003</v>
      </c>
      <c r="BO21" s="9">
        <v>7151.8933333333307</v>
      </c>
      <c r="BP21" s="9">
        <v>2.3999999999999998E-3</v>
      </c>
      <c r="BQ21" s="9">
        <f t="shared" si="15"/>
        <v>17.164543999999992</v>
      </c>
      <c r="BR21" s="9">
        <v>1.2200000000000001E-2</v>
      </c>
      <c r="BS21" s="9">
        <f t="shared" si="16"/>
        <v>87.253098666666645</v>
      </c>
      <c r="BT21" s="9">
        <f t="shared" si="17"/>
        <v>21.828584800000002</v>
      </c>
      <c r="BU21" s="9">
        <f t="shared" si="18"/>
        <v>110.37108373333336</v>
      </c>
      <c r="BV21" s="9">
        <f t="shared" si="19"/>
        <v>353.40658479999996</v>
      </c>
      <c r="BW21">
        <f t="shared" si="20"/>
        <v>353.40658479999996</v>
      </c>
      <c r="BX21">
        <v>0</v>
      </c>
      <c r="BY21">
        <f t="shared" si="21"/>
        <v>1750.4068837333332</v>
      </c>
      <c r="BZ21">
        <v>4808.2045299999991</v>
      </c>
      <c r="CA21">
        <f t="shared" si="22"/>
        <v>7316.4848852000032</v>
      </c>
      <c r="CB21">
        <f t="shared" si="23"/>
        <v>14228.502883733334</v>
      </c>
      <c r="CC21">
        <v>0</v>
      </c>
      <c r="CD21">
        <v>0</v>
      </c>
      <c r="CE21">
        <f t="shared" si="24"/>
        <v>0</v>
      </c>
      <c r="CF21">
        <f t="shared" si="25"/>
        <v>12478.096000000001</v>
      </c>
      <c r="CG21">
        <f t="shared" si="26"/>
        <v>7316.4848852000032</v>
      </c>
      <c r="CH21">
        <f t="shared" si="27"/>
        <v>0</v>
      </c>
      <c r="CJ21" t="s">
        <v>278</v>
      </c>
      <c r="CL21" t="str">
        <f t="shared" si="28"/>
        <v/>
      </c>
    </row>
    <row r="22" spans="1:90" x14ac:dyDescent="0.25">
      <c r="A22" t="s">
        <v>96</v>
      </c>
      <c r="B22" t="s">
        <v>179</v>
      </c>
      <c r="C22" s="1">
        <v>46143</v>
      </c>
      <c r="D22" t="s">
        <v>174</v>
      </c>
      <c r="E22" t="s">
        <v>175</v>
      </c>
      <c r="F22" s="4">
        <v>1</v>
      </c>
      <c r="G22" s="4">
        <v>0.6</v>
      </c>
      <c r="H22" s="9">
        <v>12478.096000000001</v>
      </c>
      <c r="I22" s="9">
        <v>2079.6826666666666</v>
      </c>
      <c r="J22" s="9">
        <f t="shared" si="0"/>
        <v>14557.778666666669</v>
      </c>
      <c r="K22" s="9">
        <v>0</v>
      </c>
      <c r="L22" s="9">
        <f t="shared" si="1"/>
        <v>0</v>
      </c>
      <c r="M22">
        <v>0</v>
      </c>
      <c r="N22" s="4">
        <f t="shared" si="2"/>
        <v>0</v>
      </c>
      <c r="O22" s="9">
        <v>7399.5</v>
      </c>
      <c r="P22" s="9">
        <v>4679.2860000000001</v>
      </c>
      <c r="Q22" s="9">
        <v>41.27</v>
      </c>
      <c r="R22" s="9">
        <v>110.84</v>
      </c>
      <c r="S22" s="9">
        <v>82.54</v>
      </c>
      <c r="T22" s="9">
        <v>164.66</v>
      </c>
      <c r="U22" s="9">
        <v>0</v>
      </c>
      <c r="V22" s="9">
        <v>0</v>
      </c>
      <c r="W22" s="9">
        <f t="shared" si="3"/>
        <v>12478.096000000001</v>
      </c>
      <c r="X22" s="9">
        <v>2079.6826666666666</v>
      </c>
      <c r="Y22" s="9">
        <v>0</v>
      </c>
      <c r="Z22" s="9">
        <v>14557.778666666669</v>
      </c>
      <c r="AA22" s="9">
        <v>0</v>
      </c>
      <c r="AB22" s="9">
        <f t="shared" si="4"/>
        <v>14557.778666666669</v>
      </c>
      <c r="AC22" s="9">
        <v>5101.2</v>
      </c>
      <c r="AD22" s="9">
        <v>0</v>
      </c>
      <c r="AE22" s="9">
        <v>12354.286</v>
      </c>
      <c r="AF22" s="9">
        <v>239.75639999999999</v>
      </c>
      <c r="AG22" s="9">
        <v>1203.8832</v>
      </c>
      <c r="AH22" s="9">
        <v>79.068600000000004</v>
      </c>
      <c r="AI22" s="9">
        <v>280.56599999999997</v>
      </c>
      <c r="AJ22" s="9">
        <v>10.202399999999999</v>
      </c>
      <c r="AK22" s="9">
        <v>5.1011999999999995</v>
      </c>
      <c r="AL22" s="9">
        <v>30.607199999999999</v>
      </c>
      <c r="AM22" s="9">
        <v>7.6517999999999997</v>
      </c>
      <c r="AN22" s="9">
        <v>38.259</v>
      </c>
      <c r="AO22" s="9">
        <v>76.518000000000001</v>
      </c>
      <c r="AP22" s="9">
        <v>510.11999999999989</v>
      </c>
      <c r="AQ22" s="25">
        <v>1.9E-3</v>
      </c>
      <c r="AR22" s="9">
        <f t="shared" si="5"/>
        <v>0.96922799999999976</v>
      </c>
      <c r="AS22" s="25">
        <v>9.5999999999999992E-3</v>
      </c>
      <c r="AT22" s="9">
        <f t="shared" si="6"/>
        <v>4.8971519999999984</v>
      </c>
      <c r="AU22" s="9">
        <v>2040.4800000000005</v>
      </c>
      <c r="AV22" s="25">
        <v>2.0999999999999999E-3</v>
      </c>
      <c r="AW22" s="9">
        <f t="shared" si="7"/>
        <v>4.2850080000000004</v>
      </c>
      <c r="AX22" s="25">
        <v>1.04E-2</v>
      </c>
      <c r="AY22" s="9">
        <f t="shared" si="8"/>
        <v>21.220992000000003</v>
      </c>
      <c r="AZ22" s="9">
        <v>6905.9786666666687</v>
      </c>
      <c r="BA22" s="25">
        <v>2.3999999999999998E-3</v>
      </c>
      <c r="BB22" s="9">
        <f t="shared" si="9"/>
        <v>16.574348800000003</v>
      </c>
      <c r="BC22" s="25">
        <v>1.2200000000000001E-2</v>
      </c>
      <c r="BD22" s="9">
        <f t="shared" si="10"/>
        <v>84.252939733333363</v>
      </c>
      <c r="BE22" s="9">
        <v>510.11999999999989</v>
      </c>
      <c r="BF22" s="9">
        <v>1.9E-3</v>
      </c>
      <c r="BG22" s="9">
        <f t="shared" si="11"/>
        <v>0.96922799999999976</v>
      </c>
      <c r="BH22" s="9">
        <v>9.5999999999999992E-3</v>
      </c>
      <c r="BI22" s="9">
        <f t="shared" si="12"/>
        <v>4.8971519999999984</v>
      </c>
      <c r="BJ22" s="9">
        <v>2040.4800000000005</v>
      </c>
      <c r="BK22" s="9">
        <v>2.0999999999999999E-3</v>
      </c>
      <c r="BL22" s="9">
        <f t="shared" si="13"/>
        <v>4.2850080000000004</v>
      </c>
      <c r="BM22" s="9">
        <v>1.04E-2</v>
      </c>
      <c r="BN22" s="9">
        <f t="shared" si="14"/>
        <v>21.220992000000003</v>
      </c>
      <c r="BO22" s="9">
        <v>7151.8933333333307</v>
      </c>
      <c r="BP22" s="9">
        <v>2.3999999999999998E-3</v>
      </c>
      <c r="BQ22" s="9">
        <f t="shared" si="15"/>
        <v>17.164543999999992</v>
      </c>
      <c r="BR22" s="9">
        <v>1.2200000000000001E-2</v>
      </c>
      <c r="BS22" s="9">
        <f t="shared" si="16"/>
        <v>87.253098666666645</v>
      </c>
      <c r="BT22" s="9">
        <f t="shared" si="17"/>
        <v>21.828584800000002</v>
      </c>
      <c r="BU22" s="9">
        <f t="shared" si="18"/>
        <v>110.37108373333336</v>
      </c>
      <c r="BV22" s="9">
        <f t="shared" si="19"/>
        <v>353.40658479999996</v>
      </c>
      <c r="BW22">
        <f t="shared" si="20"/>
        <v>353.40658479999996</v>
      </c>
      <c r="BX22">
        <v>0</v>
      </c>
      <c r="BY22">
        <f t="shared" si="21"/>
        <v>1750.4068837333332</v>
      </c>
      <c r="BZ22">
        <v>4808.2045299999991</v>
      </c>
      <c r="CA22">
        <f t="shared" si="22"/>
        <v>7316.4848852000032</v>
      </c>
      <c r="CB22">
        <f t="shared" si="23"/>
        <v>14228.502883733334</v>
      </c>
      <c r="CC22">
        <v>0</v>
      </c>
      <c r="CD22">
        <v>0</v>
      </c>
      <c r="CE22">
        <f t="shared" si="24"/>
        <v>0</v>
      </c>
      <c r="CF22">
        <f t="shared" si="25"/>
        <v>12478.096000000001</v>
      </c>
      <c r="CG22">
        <f t="shared" si="26"/>
        <v>7316.4848852000032</v>
      </c>
      <c r="CH22">
        <f t="shared" si="27"/>
        <v>0</v>
      </c>
      <c r="CJ22" t="s">
        <v>278</v>
      </c>
      <c r="CL22" t="str">
        <f t="shared" si="28"/>
        <v/>
      </c>
    </row>
    <row r="23" spans="1:90" x14ac:dyDescent="0.25">
      <c r="A23" t="s">
        <v>96</v>
      </c>
      <c r="B23" t="s">
        <v>180</v>
      </c>
      <c r="C23" s="1">
        <v>46174</v>
      </c>
      <c r="D23" t="s">
        <v>174</v>
      </c>
      <c r="E23" t="s">
        <v>175</v>
      </c>
      <c r="F23" s="4">
        <v>1</v>
      </c>
      <c r="G23" s="4">
        <v>0.6</v>
      </c>
      <c r="H23" s="9">
        <v>12478.096000000001</v>
      </c>
      <c r="I23" s="9">
        <v>2079.6826666666666</v>
      </c>
      <c r="J23" s="9">
        <f t="shared" si="0"/>
        <v>14557.778666666669</v>
      </c>
      <c r="K23" s="9">
        <v>0</v>
      </c>
      <c r="L23" s="9">
        <f t="shared" si="1"/>
        <v>0</v>
      </c>
      <c r="M23">
        <v>0</v>
      </c>
      <c r="N23" s="4">
        <f t="shared" si="2"/>
        <v>0</v>
      </c>
      <c r="O23" s="9">
        <v>7399.5</v>
      </c>
      <c r="P23" s="9">
        <v>4679.2860000000001</v>
      </c>
      <c r="Q23" s="9">
        <v>41.27</v>
      </c>
      <c r="R23" s="9">
        <v>110.84</v>
      </c>
      <c r="S23" s="9">
        <v>82.54</v>
      </c>
      <c r="T23" s="9">
        <v>164.66</v>
      </c>
      <c r="U23" s="9">
        <v>0</v>
      </c>
      <c r="V23" s="9">
        <v>0</v>
      </c>
      <c r="W23" s="9">
        <f t="shared" si="3"/>
        <v>12478.096000000001</v>
      </c>
      <c r="X23" s="9">
        <v>2079.6826666666666</v>
      </c>
      <c r="Y23" s="9">
        <v>0</v>
      </c>
      <c r="Z23" s="9">
        <v>14557.778666666669</v>
      </c>
      <c r="AA23" s="9">
        <v>0</v>
      </c>
      <c r="AB23" s="9">
        <f t="shared" si="4"/>
        <v>14557.778666666669</v>
      </c>
      <c r="AC23" s="9">
        <v>5101.2</v>
      </c>
      <c r="AD23" s="9">
        <v>0</v>
      </c>
      <c r="AE23" s="9">
        <v>12354.286</v>
      </c>
      <c r="AF23" s="9">
        <v>239.75639999999999</v>
      </c>
      <c r="AG23" s="9">
        <v>1203.8832</v>
      </c>
      <c r="AH23" s="9">
        <v>79.068600000000004</v>
      </c>
      <c r="AI23" s="9">
        <v>280.56599999999997</v>
      </c>
      <c r="AJ23" s="9">
        <v>10.202399999999999</v>
      </c>
      <c r="AK23" s="9">
        <v>5.1011999999999995</v>
      </c>
      <c r="AL23" s="9">
        <v>30.607199999999999</v>
      </c>
      <c r="AM23" s="9">
        <v>7.6517999999999997</v>
      </c>
      <c r="AN23" s="9">
        <v>38.259</v>
      </c>
      <c r="AO23" s="9">
        <v>76.518000000000001</v>
      </c>
      <c r="AP23" s="9">
        <v>510.11999999999989</v>
      </c>
      <c r="AQ23" s="25">
        <v>1.9E-3</v>
      </c>
      <c r="AR23" s="9">
        <f t="shared" si="5"/>
        <v>0.96922799999999976</v>
      </c>
      <c r="AS23" s="25">
        <v>9.5999999999999992E-3</v>
      </c>
      <c r="AT23" s="9">
        <f t="shared" si="6"/>
        <v>4.8971519999999984</v>
      </c>
      <c r="AU23" s="9">
        <v>2040.4800000000005</v>
      </c>
      <c r="AV23" s="25">
        <v>2.0999999999999999E-3</v>
      </c>
      <c r="AW23" s="9">
        <f t="shared" si="7"/>
        <v>4.2850080000000004</v>
      </c>
      <c r="AX23" s="25">
        <v>1.04E-2</v>
      </c>
      <c r="AY23" s="9">
        <f t="shared" si="8"/>
        <v>21.220992000000003</v>
      </c>
      <c r="AZ23" s="9">
        <v>6905.9786666666687</v>
      </c>
      <c r="BA23" s="25">
        <v>2.3999999999999998E-3</v>
      </c>
      <c r="BB23" s="9">
        <f t="shared" si="9"/>
        <v>16.574348800000003</v>
      </c>
      <c r="BC23" s="25">
        <v>1.2200000000000001E-2</v>
      </c>
      <c r="BD23" s="9">
        <f t="shared" si="10"/>
        <v>84.252939733333363</v>
      </c>
      <c r="BE23" s="9">
        <v>510.11999999999989</v>
      </c>
      <c r="BF23" s="9">
        <v>1.9E-3</v>
      </c>
      <c r="BG23" s="9">
        <f t="shared" si="11"/>
        <v>0.96922799999999976</v>
      </c>
      <c r="BH23" s="9">
        <v>9.5999999999999992E-3</v>
      </c>
      <c r="BI23" s="9">
        <f t="shared" si="12"/>
        <v>4.8971519999999984</v>
      </c>
      <c r="BJ23" s="9">
        <v>2040.4800000000005</v>
      </c>
      <c r="BK23" s="9">
        <v>2.0999999999999999E-3</v>
      </c>
      <c r="BL23" s="9">
        <f t="shared" si="13"/>
        <v>4.2850080000000004</v>
      </c>
      <c r="BM23" s="9">
        <v>1.04E-2</v>
      </c>
      <c r="BN23" s="9">
        <f t="shared" si="14"/>
        <v>21.220992000000003</v>
      </c>
      <c r="BO23" s="9">
        <v>7151.8933333333307</v>
      </c>
      <c r="BP23" s="9">
        <v>2.3999999999999998E-3</v>
      </c>
      <c r="BQ23" s="9">
        <f t="shared" si="15"/>
        <v>17.164543999999992</v>
      </c>
      <c r="BR23" s="9">
        <v>1.2200000000000001E-2</v>
      </c>
      <c r="BS23" s="9">
        <f t="shared" si="16"/>
        <v>87.253098666666645</v>
      </c>
      <c r="BT23" s="9">
        <f t="shared" si="17"/>
        <v>21.828584800000002</v>
      </c>
      <c r="BU23" s="9">
        <f t="shared" si="18"/>
        <v>110.37108373333336</v>
      </c>
      <c r="BV23" s="9">
        <f t="shared" si="19"/>
        <v>353.40658479999996</v>
      </c>
      <c r="BW23">
        <f t="shared" si="20"/>
        <v>353.40658479999996</v>
      </c>
      <c r="BX23">
        <v>0</v>
      </c>
      <c r="BY23">
        <f t="shared" si="21"/>
        <v>1750.4068837333332</v>
      </c>
      <c r="BZ23">
        <v>4808.2045299999991</v>
      </c>
      <c r="CA23">
        <f t="shared" si="22"/>
        <v>7316.4848852000032</v>
      </c>
      <c r="CB23">
        <f t="shared" si="23"/>
        <v>14228.502883733334</v>
      </c>
      <c r="CC23">
        <v>0</v>
      </c>
      <c r="CD23">
        <v>0</v>
      </c>
      <c r="CE23">
        <f t="shared" si="24"/>
        <v>0</v>
      </c>
      <c r="CF23">
        <f t="shared" si="25"/>
        <v>12478.096000000001</v>
      </c>
      <c r="CG23">
        <f t="shared" si="26"/>
        <v>7316.4848852000032</v>
      </c>
      <c r="CH23">
        <f t="shared" si="27"/>
        <v>0</v>
      </c>
      <c r="CJ23" t="s">
        <v>278</v>
      </c>
      <c r="CL23" t="str">
        <f t="shared" si="28"/>
        <v/>
      </c>
    </row>
    <row r="24" spans="1:90" x14ac:dyDescent="0.25">
      <c r="A24" t="s">
        <v>96</v>
      </c>
      <c r="B24" t="s">
        <v>181</v>
      </c>
      <c r="C24" s="1">
        <v>46204</v>
      </c>
      <c r="D24" t="s">
        <v>182</v>
      </c>
      <c r="E24" t="s">
        <v>175</v>
      </c>
      <c r="F24" s="4">
        <v>1</v>
      </c>
      <c r="G24" s="4">
        <v>0.6</v>
      </c>
      <c r="H24" s="9">
        <v>12478.096000000001</v>
      </c>
      <c r="I24" s="9">
        <v>2079.6826666666666</v>
      </c>
      <c r="J24" s="9">
        <f t="shared" si="0"/>
        <v>14557.778666666669</v>
      </c>
      <c r="K24" s="9">
        <v>0</v>
      </c>
      <c r="L24" s="9">
        <f t="shared" si="1"/>
        <v>0</v>
      </c>
      <c r="M24">
        <v>0</v>
      </c>
      <c r="N24" s="4">
        <f t="shared" si="2"/>
        <v>0</v>
      </c>
      <c r="O24" s="9">
        <v>7399.5</v>
      </c>
      <c r="P24" s="9">
        <v>4679.2860000000001</v>
      </c>
      <c r="Q24" s="9">
        <v>41.27</v>
      </c>
      <c r="R24" s="9">
        <v>110.84</v>
      </c>
      <c r="S24" s="9">
        <v>82.54</v>
      </c>
      <c r="T24" s="9">
        <v>164.66</v>
      </c>
      <c r="U24" s="9">
        <v>0</v>
      </c>
      <c r="V24" s="9">
        <v>0</v>
      </c>
      <c r="W24" s="9">
        <f t="shared" si="3"/>
        <v>12478.096000000001</v>
      </c>
      <c r="X24" s="9">
        <v>0</v>
      </c>
      <c r="Y24" s="9">
        <v>0</v>
      </c>
      <c r="Z24" s="9">
        <v>0</v>
      </c>
      <c r="AA24" s="9">
        <v>0</v>
      </c>
      <c r="AB24" s="9">
        <f t="shared" si="4"/>
        <v>0</v>
      </c>
      <c r="AC24" s="9">
        <v>0</v>
      </c>
      <c r="AD24" s="9">
        <v>0</v>
      </c>
      <c r="AE24" s="9">
        <v>12354.286</v>
      </c>
      <c r="AF24" s="9">
        <v>0</v>
      </c>
      <c r="AG24" s="9">
        <v>0</v>
      </c>
      <c r="AH24" s="9">
        <v>0</v>
      </c>
      <c r="AI24" s="9">
        <v>0</v>
      </c>
      <c r="AJ24" s="9">
        <v>0</v>
      </c>
      <c r="AK24" s="9">
        <v>0</v>
      </c>
      <c r="AL24" s="9">
        <v>0</v>
      </c>
      <c r="AM24" s="9">
        <v>0</v>
      </c>
      <c r="AN24" s="9">
        <v>0</v>
      </c>
      <c r="AO24" s="9">
        <v>0</v>
      </c>
      <c r="AP24" s="9">
        <v>0</v>
      </c>
      <c r="AQ24" s="25">
        <v>0</v>
      </c>
      <c r="AR24" s="9">
        <f t="shared" si="5"/>
        <v>0</v>
      </c>
      <c r="AS24" s="25">
        <v>0</v>
      </c>
      <c r="AT24" s="9">
        <f t="shared" si="6"/>
        <v>0</v>
      </c>
      <c r="AU24" s="9">
        <v>0</v>
      </c>
      <c r="AV24" s="25">
        <v>0</v>
      </c>
      <c r="AW24" s="9">
        <f t="shared" si="7"/>
        <v>0</v>
      </c>
      <c r="AX24" s="25">
        <v>0</v>
      </c>
      <c r="AY24" s="9">
        <f t="shared" si="8"/>
        <v>0</v>
      </c>
      <c r="AZ24" s="9">
        <v>0</v>
      </c>
      <c r="BA24" s="25">
        <v>0</v>
      </c>
      <c r="BB24" s="9">
        <f t="shared" si="9"/>
        <v>0</v>
      </c>
      <c r="BC24" s="25">
        <v>0</v>
      </c>
      <c r="BD24" s="9">
        <f t="shared" si="10"/>
        <v>0</v>
      </c>
      <c r="BE24" s="9">
        <v>0</v>
      </c>
      <c r="BF24" s="9">
        <v>0</v>
      </c>
      <c r="BG24" s="9">
        <f t="shared" si="11"/>
        <v>0</v>
      </c>
      <c r="BH24" s="9">
        <v>0</v>
      </c>
      <c r="BI24" s="9">
        <f t="shared" si="12"/>
        <v>0</v>
      </c>
      <c r="BJ24" s="9">
        <v>0</v>
      </c>
      <c r="BK24" s="9">
        <v>0</v>
      </c>
      <c r="BL24" s="9">
        <f t="shared" si="13"/>
        <v>0</v>
      </c>
      <c r="BM24" s="9">
        <v>0</v>
      </c>
      <c r="BN24" s="9">
        <f t="shared" si="14"/>
        <v>0</v>
      </c>
      <c r="BO24" s="9">
        <v>0</v>
      </c>
      <c r="BP24" s="9">
        <v>0</v>
      </c>
      <c r="BQ24" s="9">
        <f t="shared" si="15"/>
        <v>0</v>
      </c>
      <c r="BR24" s="9">
        <v>0</v>
      </c>
      <c r="BS24" s="9">
        <f t="shared" si="16"/>
        <v>0</v>
      </c>
      <c r="BT24" s="9">
        <f t="shared" si="17"/>
        <v>0</v>
      </c>
      <c r="BU24" s="9">
        <f t="shared" si="18"/>
        <v>0</v>
      </c>
      <c r="BV24" s="9">
        <f t="shared" si="19"/>
        <v>0</v>
      </c>
      <c r="BW24">
        <f t="shared" si="20"/>
        <v>0</v>
      </c>
      <c r="BX24">
        <v>0</v>
      </c>
      <c r="BY24">
        <f t="shared" si="21"/>
        <v>0</v>
      </c>
      <c r="BZ24">
        <v>4808.2045299999982</v>
      </c>
      <c r="CA24">
        <f t="shared" si="22"/>
        <v>7669.8914700000032</v>
      </c>
      <c r="CB24">
        <f t="shared" si="23"/>
        <v>12478.096000000001</v>
      </c>
      <c r="CC24">
        <v>0</v>
      </c>
      <c r="CD24">
        <v>0</v>
      </c>
      <c r="CE24">
        <f t="shared" si="24"/>
        <v>0</v>
      </c>
      <c r="CF24">
        <f t="shared" si="25"/>
        <v>12478.096000000001</v>
      </c>
      <c r="CG24">
        <f t="shared" si="26"/>
        <v>7669.8914700000032</v>
      </c>
      <c r="CH24">
        <f t="shared" si="27"/>
        <v>0</v>
      </c>
      <c r="CJ24" t="s">
        <v>278</v>
      </c>
      <c r="CL24" t="str">
        <f t="shared" si="28"/>
        <v/>
      </c>
    </row>
    <row r="25" spans="1:90" x14ac:dyDescent="0.25">
      <c r="A25" t="s">
        <v>96</v>
      </c>
      <c r="B25" t="s">
        <v>183</v>
      </c>
      <c r="C25" s="1">
        <v>46204</v>
      </c>
      <c r="D25" t="s">
        <v>174</v>
      </c>
      <c r="E25" t="s">
        <v>175</v>
      </c>
      <c r="F25" s="4">
        <v>1</v>
      </c>
      <c r="G25" s="4">
        <v>0.6</v>
      </c>
      <c r="H25" s="9">
        <v>12478.096000000001</v>
      </c>
      <c r="I25" s="9">
        <v>2079.6826666666666</v>
      </c>
      <c r="J25" s="9">
        <f t="shared" si="0"/>
        <v>14557.778666666669</v>
      </c>
      <c r="K25" s="9">
        <v>0</v>
      </c>
      <c r="L25" s="9">
        <f t="shared" si="1"/>
        <v>0</v>
      </c>
      <c r="M25">
        <v>0</v>
      </c>
      <c r="N25" s="4">
        <f t="shared" si="2"/>
        <v>0</v>
      </c>
      <c r="O25" s="9">
        <v>7399.5</v>
      </c>
      <c r="P25" s="9">
        <v>4679.2860000000001</v>
      </c>
      <c r="Q25" s="9">
        <v>41.27</v>
      </c>
      <c r="R25" s="9">
        <v>110.84</v>
      </c>
      <c r="S25" s="9">
        <v>82.54</v>
      </c>
      <c r="T25" s="9">
        <v>164.66</v>
      </c>
      <c r="U25" s="9">
        <v>0</v>
      </c>
      <c r="V25" s="9">
        <v>0</v>
      </c>
      <c r="W25" s="9">
        <f t="shared" si="3"/>
        <v>12478.096000000001</v>
      </c>
      <c r="X25" s="9">
        <v>2079.6826666666666</v>
      </c>
      <c r="Y25" s="9">
        <v>0</v>
      </c>
      <c r="Z25" s="9">
        <v>14557.778666666669</v>
      </c>
      <c r="AA25" s="9">
        <v>0</v>
      </c>
      <c r="AB25" s="9">
        <f t="shared" si="4"/>
        <v>14557.778666666669</v>
      </c>
      <c r="AC25" s="9">
        <v>5101.2</v>
      </c>
      <c r="AD25" s="9">
        <v>0</v>
      </c>
      <c r="AE25" s="9">
        <v>12354.286</v>
      </c>
      <c r="AF25" s="9">
        <v>239.75639999999999</v>
      </c>
      <c r="AG25" s="9">
        <v>1203.8832</v>
      </c>
      <c r="AH25" s="9">
        <v>79.068600000000004</v>
      </c>
      <c r="AI25" s="9">
        <v>280.56599999999997</v>
      </c>
      <c r="AJ25" s="9">
        <v>10.202399999999999</v>
      </c>
      <c r="AK25" s="9">
        <v>5.1011999999999995</v>
      </c>
      <c r="AL25" s="9">
        <v>30.607199999999999</v>
      </c>
      <c r="AM25" s="9">
        <v>7.6517999999999997</v>
      </c>
      <c r="AN25" s="9">
        <v>38.259</v>
      </c>
      <c r="AO25" s="9">
        <v>76.518000000000001</v>
      </c>
      <c r="AP25" s="9">
        <v>510.11999999999989</v>
      </c>
      <c r="AQ25" s="25">
        <v>1.9E-3</v>
      </c>
      <c r="AR25" s="9">
        <f t="shared" si="5"/>
        <v>0.96922799999999976</v>
      </c>
      <c r="AS25" s="25">
        <v>9.5999999999999992E-3</v>
      </c>
      <c r="AT25" s="9">
        <f t="shared" si="6"/>
        <v>4.8971519999999984</v>
      </c>
      <c r="AU25" s="9">
        <v>2040.4800000000005</v>
      </c>
      <c r="AV25" s="25">
        <v>2.0999999999999999E-3</v>
      </c>
      <c r="AW25" s="9">
        <f t="shared" si="7"/>
        <v>4.2850080000000004</v>
      </c>
      <c r="AX25" s="25">
        <v>1.04E-2</v>
      </c>
      <c r="AY25" s="9">
        <f t="shared" si="8"/>
        <v>21.220992000000003</v>
      </c>
      <c r="AZ25" s="9">
        <v>6905.9786666666687</v>
      </c>
      <c r="BA25" s="25">
        <v>2.3999999999999998E-3</v>
      </c>
      <c r="BB25" s="9">
        <f t="shared" si="9"/>
        <v>16.574348800000003</v>
      </c>
      <c r="BC25" s="25">
        <v>1.2200000000000001E-2</v>
      </c>
      <c r="BD25" s="9">
        <f t="shared" si="10"/>
        <v>84.252939733333363</v>
      </c>
      <c r="BE25" s="9">
        <v>510.11999999999989</v>
      </c>
      <c r="BF25" s="9">
        <v>1.9E-3</v>
      </c>
      <c r="BG25" s="9">
        <f t="shared" si="11"/>
        <v>0.96922799999999976</v>
      </c>
      <c r="BH25" s="9">
        <v>9.5999999999999992E-3</v>
      </c>
      <c r="BI25" s="9">
        <f t="shared" si="12"/>
        <v>4.8971519999999984</v>
      </c>
      <c r="BJ25" s="9">
        <v>2040.4800000000005</v>
      </c>
      <c r="BK25" s="9">
        <v>2.0999999999999999E-3</v>
      </c>
      <c r="BL25" s="9">
        <f t="shared" si="13"/>
        <v>4.2850080000000004</v>
      </c>
      <c r="BM25" s="9">
        <v>1.04E-2</v>
      </c>
      <c r="BN25" s="9">
        <f t="shared" si="14"/>
        <v>21.220992000000003</v>
      </c>
      <c r="BO25" s="9">
        <v>7151.8933333333307</v>
      </c>
      <c r="BP25" s="9">
        <v>2.3999999999999998E-3</v>
      </c>
      <c r="BQ25" s="9">
        <f t="shared" si="15"/>
        <v>17.164543999999992</v>
      </c>
      <c r="BR25" s="9">
        <v>1.2200000000000001E-2</v>
      </c>
      <c r="BS25" s="9">
        <f t="shared" si="16"/>
        <v>87.253098666666645</v>
      </c>
      <c r="BT25" s="9">
        <f t="shared" si="17"/>
        <v>21.828584800000002</v>
      </c>
      <c r="BU25" s="9">
        <f t="shared" si="18"/>
        <v>110.37108373333336</v>
      </c>
      <c r="BV25" s="9">
        <f t="shared" si="19"/>
        <v>353.40658479999996</v>
      </c>
      <c r="BW25">
        <f t="shared" si="20"/>
        <v>353.40658479999996</v>
      </c>
      <c r="BX25">
        <v>0</v>
      </c>
      <c r="BY25">
        <f t="shared" si="21"/>
        <v>1750.4068837333332</v>
      </c>
      <c r="BZ25">
        <v>4808.2045299999991</v>
      </c>
      <c r="CA25">
        <f t="shared" si="22"/>
        <v>7316.4848852000032</v>
      </c>
      <c r="CB25">
        <f t="shared" si="23"/>
        <v>14228.502883733334</v>
      </c>
      <c r="CC25">
        <v>0</v>
      </c>
      <c r="CD25">
        <v>0</v>
      </c>
      <c r="CE25">
        <f t="shared" si="24"/>
        <v>0</v>
      </c>
      <c r="CF25">
        <f t="shared" si="25"/>
        <v>12478.096000000001</v>
      </c>
      <c r="CG25">
        <f t="shared" si="26"/>
        <v>7316.4848852000032</v>
      </c>
      <c r="CH25">
        <f t="shared" si="27"/>
        <v>0</v>
      </c>
      <c r="CJ25" t="s">
        <v>278</v>
      </c>
      <c r="CL25" t="str">
        <f t="shared" si="28"/>
        <v/>
      </c>
    </row>
    <row r="26" spans="1:90" x14ac:dyDescent="0.25">
      <c r="A26" t="s">
        <v>96</v>
      </c>
      <c r="B26" t="s">
        <v>184</v>
      </c>
      <c r="C26" s="1">
        <v>46235</v>
      </c>
      <c r="D26" t="s">
        <v>174</v>
      </c>
      <c r="E26" t="s">
        <v>175</v>
      </c>
      <c r="F26" s="4">
        <v>1</v>
      </c>
      <c r="G26" s="4">
        <v>0.6</v>
      </c>
      <c r="H26" s="9">
        <v>12478.096000000001</v>
      </c>
      <c r="I26" s="9">
        <v>2079.6826666666666</v>
      </c>
      <c r="J26" s="9">
        <f t="shared" si="0"/>
        <v>14557.778666666669</v>
      </c>
      <c r="K26" s="9">
        <v>0</v>
      </c>
      <c r="L26" s="9">
        <f t="shared" si="1"/>
        <v>0</v>
      </c>
      <c r="M26">
        <v>0</v>
      </c>
      <c r="N26" s="4">
        <f t="shared" si="2"/>
        <v>0</v>
      </c>
      <c r="O26" s="9">
        <v>7399.5</v>
      </c>
      <c r="P26" s="9">
        <v>4679.2860000000001</v>
      </c>
      <c r="Q26" s="9">
        <v>41.27</v>
      </c>
      <c r="R26" s="9">
        <v>110.84</v>
      </c>
      <c r="S26" s="9">
        <v>82.54</v>
      </c>
      <c r="T26" s="9">
        <v>164.66</v>
      </c>
      <c r="U26" s="9">
        <v>0</v>
      </c>
      <c r="V26" s="9">
        <v>0</v>
      </c>
      <c r="W26" s="9">
        <f t="shared" si="3"/>
        <v>12478.096000000001</v>
      </c>
      <c r="X26" s="9">
        <v>2079.6826666666666</v>
      </c>
      <c r="Y26" s="9">
        <v>0</v>
      </c>
      <c r="Z26" s="9">
        <v>14557.778666666669</v>
      </c>
      <c r="AA26" s="9">
        <v>0</v>
      </c>
      <c r="AB26" s="9">
        <f t="shared" si="4"/>
        <v>14557.778666666669</v>
      </c>
      <c r="AC26" s="9">
        <v>5101.2</v>
      </c>
      <c r="AD26" s="9">
        <v>0</v>
      </c>
      <c r="AE26" s="9">
        <v>12354.286</v>
      </c>
      <c r="AF26" s="9">
        <v>239.75639999999999</v>
      </c>
      <c r="AG26" s="9">
        <v>1203.8832</v>
      </c>
      <c r="AH26" s="9">
        <v>79.068600000000004</v>
      </c>
      <c r="AI26" s="9">
        <v>280.56599999999997</v>
      </c>
      <c r="AJ26" s="9">
        <v>10.202399999999999</v>
      </c>
      <c r="AK26" s="9">
        <v>5.1011999999999995</v>
      </c>
      <c r="AL26" s="9">
        <v>30.607199999999999</v>
      </c>
      <c r="AM26" s="9">
        <v>7.6517999999999997</v>
      </c>
      <c r="AN26" s="9">
        <v>38.259</v>
      </c>
      <c r="AO26" s="9">
        <v>76.518000000000001</v>
      </c>
      <c r="AP26" s="9">
        <v>510.11999999999989</v>
      </c>
      <c r="AQ26" s="25">
        <v>1.9E-3</v>
      </c>
      <c r="AR26" s="9">
        <f t="shared" si="5"/>
        <v>0.96922799999999976</v>
      </c>
      <c r="AS26" s="25">
        <v>9.5999999999999992E-3</v>
      </c>
      <c r="AT26" s="9">
        <f t="shared" si="6"/>
        <v>4.8971519999999984</v>
      </c>
      <c r="AU26" s="9">
        <v>2040.4800000000005</v>
      </c>
      <c r="AV26" s="25">
        <v>2.0999999999999999E-3</v>
      </c>
      <c r="AW26" s="9">
        <f t="shared" si="7"/>
        <v>4.2850080000000004</v>
      </c>
      <c r="AX26" s="25">
        <v>1.04E-2</v>
      </c>
      <c r="AY26" s="9">
        <f t="shared" si="8"/>
        <v>21.220992000000003</v>
      </c>
      <c r="AZ26" s="9">
        <v>6905.9786666666687</v>
      </c>
      <c r="BA26" s="25">
        <v>2.3999999999999998E-3</v>
      </c>
      <c r="BB26" s="9">
        <f t="shared" si="9"/>
        <v>16.574348800000003</v>
      </c>
      <c r="BC26" s="25">
        <v>1.2200000000000001E-2</v>
      </c>
      <c r="BD26" s="9">
        <f t="shared" si="10"/>
        <v>84.252939733333363</v>
      </c>
      <c r="BE26" s="9">
        <v>510.11999999999989</v>
      </c>
      <c r="BF26" s="9">
        <v>1.9E-3</v>
      </c>
      <c r="BG26" s="9">
        <f t="shared" si="11"/>
        <v>0.96922799999999976</v>
      </c>
      <c r="BH26" s="9">
        <v>9.5999999999999992E-3</v>
      </c>
      <c r="BI26" s="9">
        <f t="shared" si="12"/>
        <v>4.8971519999999984</v>
      </c>
      <c r="BJ26" s="9">
        <v>2040.4800000000005</v>
      </c>
      <c r="BK26" s="9">
        <v>2.0999999999999999E-3</v>
      </c>
      <c r="BL26" s="9">
        <f t="shared" si="13"/>
        <v>4.2850080000000004</v>
      </c>
      <c r="BM26" s="9">
        <v>1.04E-2</v>
      </c>
      <c r="BN26" s="9">
        <f t="shared" si="14"/>
        <v>21.220992000000003</v>
      </c>
      <c r="BO26" s="9">
        <v>7151.8933333333307</v>
      </c>
      <c r="BP26" s="9">
        <v>2.3999999999999998E-3</v>
      </c>
      <c r="BQ26" s="9">
        <f t="shared" si="15"/>
        <v>17.164543999999992</v>
      </c>
      <c r="BR26" s="9">
        <v>1.2200000000000001E-2</v>
      </c>
      <c r="BS26" s="9">
        <f t="shared" si="16"/>
        <v>87.253098666666645</v>
      </c>
      <c r="BT26" s="9">
        <f t="shared" si="17"/>
        <v>21.828584800000002</v>
      </c>
      <c r="BU26" s="9">
        <f t="shared" si="18"/>
        <v>110.37108373333336</v>
      </c>
      <c r="BV26" s="9">
        <f t="shared" si="19"/>
        <v>353.40658479999996</v>
      </c>
      <c r="BW26">
        <f t="shared" si="20"/>
        <v>353.40658479999996</v>
      </c>
      <c r="BX26">
        <v>0</v>
      </c>
      <c r="BY26">
        <f t="shared" si="21"/>
        <v>1750.4068837333332</v>
      </c>
      <c r="BZ26">
        <v>4808.2045299999991</v>
      </c>
      <c r="CA26">
        <f t="shared" si="22"/>
        <v>7316.4848852000032</v>
      </c>
      <c r="CB26">
        <f t="shared" si="23"/>
        <v>14228.502883733334</v>
      </c>
      <c r="CC26">
        <v>0</v>
      </c>
      <c r="CD26">
        <v>0</v>
      </c>
      <c r="CE26">
        <f t="shared" si="24"/>
        <v>0</v>
      </c>
      <c r="CF26">
        <f t="shared" si="25"/>
        <v>12478.096000000001</v>
      </c>
      <c r="CG26">
        <f t="shared" si="26"/>
        <v>7316.4848852000032</v>
      </c>
      <c r="CH26">
        <f t="shared" si="27"/>
        <v>0</v>
      </c>
      <c r="CJ26" t="s">
        <v>278</v>
      </c>
      <c r="CL26" t="str">
        <f t="shared" si="28"/>
        <v/>
      </c>
    </row>
    <row r="27" spans="1:90" x14ac:dyDescent="0.25">
      <c r="A27" t="s">
        <v>96</v>
      </c>
      <c r="B27" t="s">
        <v>185</v>
      </c>
      <c r="C27" s="1">
        <v>46266</v>
      </c>
      <c r="D27" t="s">
        <v>174</v>
      </c>
      <c r="E27" t="s">
        <v>175</v>
      </c>
      <c r="F27" s="4">
        <v>1</v>
      </c>
      <c r="G27" s="4">
        <v>0.6</v>
      </c>
      <c r="H27" s="9">
        <v>12478.096000000001</v>
      </c>
      <c r="I27" s="9">
        <v>2079.6826666666666</v>
      </c>
      <c r="J27" s="9">
        <f t="shared" si="0"/>
        <v>14557.778666666669</v>
      </c>
      <c r="K27" s="9">
        <v>0</v>
      </c>
      <c r="L27" s="9">
        <f t="shared" si="1"/>
        <v>0</v>
      </c>
      <c r="M27">
        <v>0</v>
      </c>
      <c r="N27" s="4">
        <f t="shared" si="2"/>
        <v>0</v>
      </c>
      <c r="O27" s="9">
        <v>7399.5</v>
      </c>
      <c r="P27" s="9">
        <v>4679.2860000000001</v>
      </c>
      <c r="Q27" s="9">
        <v>41.27</v>
      </c>
      <c r="R27" s="9">
        <v>110.84</v>
      </c>
      <c r="S27" s="9">
        <v>82.54</v>
      </c>
      <c r="T27" s="9">
        <v>164.66</v>
      </c>
      <c r="U27" s="9">
        <v>0</v>
      </c>
      <c r="V27" s="9">
        <v>0</v>
      </c>
      <c r="W27" s="9">
        <f t="shared" si="3"/>
        <v>12478.096000000001</v>
      </c>
      <c r="X27" s="9">
        <v>2079.6826666666666</v>
      </c>
      <c r="Y27" s="9">
        <v>0</v>
      </c>
      <c r="Z27" s="9">
        <v>14557.778666666669</v>
      </c>
      <c r="AA27" s="9">
        <v>0</v>
      </c>
      <c r="AB27" s="9">
        <f t="shared" si="4"/>
        <v>14557.778666666669</v>
      </c>
      <c r="AC27" s="9">
        <v>5101.2</v>
      </c>
      <c r="AD27" s="9">
        <v>0</v>
      </c>
      <c r="AE27" s="9">
        <v>12354.286</v>
      </c>
      <c r="AF27" s="9">
        <v>239.75639999999999</v>
      </c>
      <c r="AG27" s="9">
        <v>1203.8832</v>
      </c>
      <c r="AH27" s="9">
        <v>79.068600000000004</v>
      </c>
      <c r="AI27" s="9">
        <v>280.56599999999997</v>
      </c>
      <c r="AJ27" s="9">
        <v>10.202399999999999</v>
      </c>
      <c r="AK27" s="9">
        <v>5.1011999999999995</v>
      </c>
      <c r="AL27" s="9">
        <v>30.607199999999999</v>
      </c>
      <c r="AM27" s="9">
        <v>7.6517999999999997</v>
      </c>
      <c r="AN27" s="9">
        <v>38.259</v>
      </c>
      <c r="AO27" s="9">
        <v>76.518000000000001</v>
      </c>
      <c r="AP27" s="9">
        <v>510.11999999999989</v>
      </c>
      <c r="AQ27" s="25">
        <v>1.9E-3</v>
      </c>
      <c r="AR27" s="9">
        <f t="shared" si="5"/>
        <v>0.96922799999999976</v>
      </c>
      <c r="AS27" s="25">
        <v>9.5999999999999992E-3</v>
      </c>
      <c r="AT27" s="9">
        <f t="shared" si="6"/>
        <v>4.8971519999999984</v>
      </c>
      <c r="AU27" s="9">
        <v>2040.4800000000005</v>
      </c>
      <c r="AV27" s="25">
        <v>2.0999999999999999E-3</v>
      </c>
      <c r="AW27" s="9">
        <f t="shared" si="7"/>
        <v>4.2850080000000004</v>
      </c>
      <c r="AX27" s="25">
        <v>1.04E-2</v>
      </c>
      <c r="AY27" s="9">
        <f t="shared" si="8"/>
        <v>21.220992000000003</v>
      </c>
      <c r="AZ27" s="9">
        <v>6905.9786666666687</v>
      </c>
      <c r="BA27" s="25">
        <v>2.3999999999999998E-3</v>
      </c>
      <c r="BB27" s="9">
        <f t="shared" si="9"/>
        <v>16.574348800000003</v>
      </c>
      <c r="BC27" s="25">
        <v>1.2200000000000001E-2</v>
      </c>
      <c r="BD27" s="9">
        <f t="shared" si="10"/>
        <v>84.252939733333363</v>
      </c>
      <c r="BE27" s="9">
        <v>510.11999999999989</v>
      </c>
      <c r="BF27" s="9">
        <v>1.9E-3</v>
      </c>
      <c r="BG27" s="9">
        <f t="shared" si="11"/>
        <v>0.96922799999999976</v>
      </c>
      <c r="BH27" s="9">
        <v>9.5999999999999992E-3</v>
      </c>
      <c r="BI27" s="9">
        <f t="shared" si="12"/>
        <v>4.8971519999999984</v>
      </c>
      <c r="BJ27" s="9">
        <v>2040.4800000000005</v>
      </c>
      <c r="BK27" s="9">
        <v>2.0999999999999999E-3</v>
      </c>
      <c r="BL27" s="9">
        <f t="shared" si="13"/>
        <v>4.2850080000000004</v>
      </c>
      <c r="BM27" s="9">
        <v>1.04E-2</v>
      </c>
      <c r="BN27" s="9">
        <f t="shared" si="14"/>
        <v>21.220992000000003</v>
      </c>
      <c r="BO27" s="9">
        <v>7151.8933333333307</v>
      </c>
      <c r="BP27" s="9">
        <v>2.3999999999999998E-3</v>
      </c>
      <c r="BQ27" s="9">
        <f t="shared" si="15"/>
        <v>17.164543999999992</v>
      </c>
      <c r="BR27" s="9">
        <v>1.2200000000000001E-2</v>
      </c>
      <c r="BS27" s="9">
        <f t="shared" si="16"/>
        <v>87.253098666666645</v>
      </c>
      <c r="BT27" s="9">
        <f t="shared" si="17"/>
        <v>21.828584800000002</v>
      </c>
      <c r="BU27" s="9">
        <f t="shared" si="18"/>
        <v>110.37108373333336</v>
      </c>
      <c r="BV27" s="9">
        <f t="shared" si="19"/>
        <v>353.40658479999996</v>
      </c>
      <c r="BW27">
        <f t="shared" si="20"/>
        <v>353.40658479999996</v>
      </c>
      <c r="BX27">
        <v>0</v>
      </c>
      <c r="BY27">
        <f t="shared" si="21"/>
        <v>1750.4068837333332</v>
      </c>
      <c r="BZ27">
        <v>4808.2045299999991</v>
      </c>
      <c r="CA27">
        <f t="shared" si="22"/>
        <v>7316.4848852000032</v>
      </c>
      <c r="CB27">
        <f t="shared" si="23"/>
        <v>14228.502883733334</v>
      </c>
      <c r="CC27">
        <v>0</v>
      </c>
      <c r="CD27">
        <v>0</v>
      </c>
      <c r="CE27">
        <f t="shared" si="24"/>
        <v>0</v>
      </c>
      <c r="CF27">
        <f t="shared" si="25"/>
        <v>12478.096000000001</v>
      </c>
      <c r="CG27">
        <f t="shared" si="26"/>
        <v>7316.4848852000032</v>
      </c>
      <c r="CH27">
        <f t="shared" si="27"/>
        <v>0</v>
      </c>
      <c r="CJ27" t="s">
        <v>278</v>
      </c>
      <c r="CL27" t="str">
        <f t="shared" si="28"/>
        <v/>
      </c>
    </row>
    <row r="28" spans="1:90" x14ac:dyDescent="0.25">
      <c r="A28" t="s">
        <v>96</v>
      </c>
      <c r="B28" t="s">
        <v>186</v>
      </c>
      <c r="C28" s="1">
        <v>46296</v>
      </c>
      <c r="D28" t="s">
        <v>174</v>
      </c>
      <c r="E28" t="s">
        <v>175</v>
      </c>
      <c r="F28" s="4">
        <v>1</v>
      </c>
      <c r="G28" s="4">
        <v>0.6</v>
      </c>
      <c r="H28" s="9">
        <v>12478.096000000001</v>
      </c>
      <c r="I28" s="9">
        <v>2079.6826666666666</v>
      </c>
      <c r="J28" s="9">
        <f t="shared" si="0"/>
        <v>14557.778666666669</v>
      </c>
      <c r="K28" s="9">
        <v>0</v>
      </c>
      <c r="L28" s="9">
        <f t="shared" si="1"/>
        <v>0</v>
      </c>
      <c r="M28">
        <v>0</v>
      </c>
      <c r="N28" s="4">
        <f t="shared" si="2"/>
        <v>0</v>
      </c>
      <c r="O28" s="9">
        <v>7399.5</v>
      </c>
      <c r="P28" s="9">
        <v>4679.2860000000001</v>
      </c>
      <c r="Q28" s="9">
        <v>41.27</v>
      </c>
      <c r="R28" s="9">
        <v>110.84</v>
      </c>
      <c r="S28" s="9">
        <v>82.54</v>
      </c>
      <c r="T28" s="9">
        <v>164.66</v>
      </c>
      <c r="U28" s="9">
        <v>0</v>
      </c>
      <c r="V28" s="9">
        <v>0</v>
      </c>
      <c r="W28" s="9">
        <f t="shared" si="3"/>
        <v>12478.096000000001</v>
      </c>
      <c r="X28" s="9">
        <v>2079.6826666666666</v>
      </c>
      <c r="Y28" s="9">
        <v>0</v>
      </c>
      <c r="Z28" s="9">
        <v>14557.778666666669</v>
      </c>
      <c r="AA28" s="9">
        <v>0</v>
      </c>
      <c r="AB28" s="9">
        <f t="shared" si="4"/>
        <v>14557.778666666669</v>
      </c>
      <c r="AC28" s="9">
        <v>5101.2</v>
      </c>
      <c r="AD28" s="9">
        <v>0</v>
      </c>
      <c r="AE28" s="9">
        <v>12354.286</v>
      </c>
      <c r="AF28" s="9">
        <v>239.75639999999999</v>
      </c>
      <c r="AG28" s="9">
        <v>1203.8832</v>
      </c>
      <c r="AH28" s="9">
        <v>79.068600000000004</v>
      </c>
      <c r="AI28" s="9">
        <v>280.56599999999997</v>
      </c>
      <c r="AJ28" s="9">
        <v>10.202399999999999</v>
      </c>
      <c r="AK28" s="9">
        <v>5.1011999999999995</v>
      </c>
      <c r="AL28" s="9">
        <v>30.607199999999999</v>
      </c>
      <c r="AM28" s="9">
        <v>7.6517999999999997</v>
      </c>
      <c r="AN28" s="9">
        <v>38.259</v>
      </c>
      <c r="AO28" s="9">
        <v>76.518000000000001</v>
      </c>
      <c r="AP28" s="9">
        <v>510.11999999999989</v>
      </c>
      <c r="AQ28" s="25">
        <v>1.9E-3</v>
      </c>
      <c r="AR28" s="9">
        <f t="shared" si="5"/>
        <v>0.96922799999999976</v>
      </c>
      <c r="AS28" s="25">
        <v>9.5999999999999992E-3</v>
      </c>
      <c r="AT28" s="9">
        <f t="shared" si="6"/>
        <v>4.8971519999999984</v>
      </c>
      <c r="AU28" s="9">
        <v>2040.4800000000005</v>
      </c>
      <c r="AV28" s="25">
        <v>2.0999999999999999E-3</v>
      </c>
      <c r="AW28" s="9">
        <f t="shared" si="7"/>
        <v>4.2850080000000004</v>
      </c>
      <c r="AX28" s="25">
        <v>1.04E-2</v>
      </c>
      <c r="AY28" s="9">
        <f t="shared" si="8"/>
        <v>21.220992000000003</v>
      </c>
      <c r="AZ28" s="9">
        <v>6905.9786666666687</v>
      </c>
      <c r="BA28" s="25">
        <v>2.3999999999999998E-3</v>
      </c>
      <c r="BB28" s="9">
        <f t="shared" si="9"/>
        <v>16.574348800000003</v>
      </c>
      <c r="BC28" s="25">
        <v>1.2200000000000001E-2</v>
      </c>
      <c r="BD28" s="9">
        <f t="shared" si="10"/>
        <v>84.252939733333363</v>
      </c>
      <c r="BE28" s="9">
        <v>510.11999999999989</v>
      </c>
      <c r="BF28" s="9">
        <v>1.9E-3</v>
      </c>
      <c r="BG28" s="9">
        <f t="shared" si="11"/>
        <v>0.96922799999999976</v>
      </c>
      <c r="BH28" s="9">
        <v>9.5999999999999992E-3</v>
      </c>
      <c r="BI28" s="9">
        <f t="shared" si="12"/>
        <v>4.8971519999999984</v>
      </c>
      <c r="BJ28" s="9">
        <v>2040.4800000000005</v>
      </c>
      <c r="BK28" s="9">
        <v>2.0999999999999999E-3</v>
      </c>
      <c r="BL28" s="9">
        <f t="shared" si="13"/>
        <v>4.2850080000000004</v>
      </c>
      <c r="BM28" s="9">
        <v>1.04E-2</v>
      </c>
      <c r="BN28" s="9">
        <f t="shared" si="14"/>
        <v>21.220992000000003</v>
      </c>
      <c r="BO28" s="9">
        <v>7151.8933333333307</v>
      </c>
      <c r="BP28" s="9">
        <v>2.3999999999999998E-3</v>
      </c>
      <c r="BQ28" s="9">
        <f t="shared" si="15"/>
        <v>17.164543999999992</v>
      </c>
      <c r="BR28" s="9">
        <v>1.2200000000000001E-2</v>
      </c>
      <c r="BS28" s="9">
        <f t="shared" si="16"/>
        <v>87.253098666666645</v>
      </c>
      <c r="BT28" s="9">
        <f t="shared" si="17"/>
        <v>21.828584800000002</v>
      </c>
      <c r="BU28" s="9">
        <f t="shared" si="18"/>
        <v>110.37108373333336</v>
      </c>
      <c r="BV28" s="9">
        <f t="shared" si="19"/>
        <v>353.40658479999996</v>
      </c>
      <c r="BW28">
        <f t="shared" si="20"/>
        <v>353.40658479999996</v>
      </c>
      <c r="BX28">
        <v>0</v>
      </c>
      <c r="BY28">
        <f t="shared" si="21"/>
        <v>1750.4068837333332</v>
      </c>
      <c r="BZ28">
        <v>4808.2045299999991</v>
      </c>
      <c r="CA28">
        <f t="shared" si="22"/>
        <v>7316.4848852000032</v>
      </c>
      <c r="CB28">
        <f t="shared" si="23"/>
        <v>14228.502883733334</v>
      </c>
      <c r="CC28">
        <v>0</v>
      </c>
      <c r="CD28">
        <v>0</v>
      </c>
      <c r="CE28">
        <f t="shared" si="24"/>
        <v>0</v>
      </c>
      <c r="CF28">
        <f t="shared" si="25"/>
        <v>12478.096000000001</v>
      </c>
      <c r="CG28">
        <f t="shared" si="26"/>
        <v>7316.4848852000032</v>
      </c>
      <c r="CH28">
        <f t="shared" si="27"/>
        <v>0</v>
      </c>
      <c r="CJ28" t="s">
        <v>278</v>
      </c>
      <c r="CL28" t="str">
        <f t="shared" si="28"/>
        <v/>
      </c>
    </row>
    <row r="29" spans="1:90" x14ac:dyDescent="0.25">
      <c r="A29" t="s">
        <v>96</v>
      </c>
      <c r="B29" t="s">
        <v>187</v>
      </c>
      <c r="C29" s="1">
        <v>46327</v>
      </c>
      <c r="D29" t="s">
        <v>174</v>
      </c>
      <c r="E29" t="s">
        <v>175</v>
      </c>
      <c r="F29" s="4">
        <v>1</v>
      </c>
      <c r="G29" s="4">
        <v>0.6</v>
      </c>
      <c r="H29" s="9">
        <v>12478.096000000001</v>
      </c>
      <c r="I29" s="9">
        <v>2079.6826666666666</v>
      </c>
      <c r="J29" s="9">
        <f t="shared" si="0"/>
        <v>14557.778666666669</v>
      </c>
      <c r="K29" s="9">
        <v>0</v>
      </c>
      <c r="L29" s="9">
        <f t="shared" si="1"/>
        <v>0</v>
      </c>
      <c r="M29">
        <v>0</v>
      </c>
      <c r="N29" s="4">
        <f t="shared" si="2"/>
        <v>0</v>
      </c>
      <c r="O29" s="9">
        <v>7399.5</v>
      </c>
      <c r="P29" s="9">
        <v>4679.2860000000001</v>
      </c>
      <c r="Q29" s="9">
        <v>41.27</v>
      </c>
      <c r="R29" s="9">
        <v>110.84</v>
      </c>
      <c r="S29" s="9">
        <v>82.54</v>
      </c>
      <c r="T29" s="9">
        <v>164.66</v>
      </c>
      <c r="U29" s="9">
        <v>0</v>
      </c>
      <c r="V29" s="9">
        <v>0</v>
      </c>
      <c r="W29" s="9">
        <f t="shared" si="3"/>
        <v>12478.096000000001</v>
      </c>
      <c r="X29" s="9">
        <v>2079.6826666666666</v>
      </c>
      <c r="Y29" s="9">
        <v>0</v>
      </c>
      <c r="Z29" s="9">
        <v>14557.778666666669</v>
      </c>
      <c r="AA29" s="9">
        <v>0</v>
      </c>
      <c r="AB29" s="9">
        <f t="shared" si="4"/>
        <v>14557.778666666669</v>
      </c>
      <c r="AC29" s="9">
        <v>5101.2</v>
      </c>
      <c r="AD29" s="9">
        <v>0</v>
      </c>
      <c r="AE29" s="9">
        <v>12354.286</v>
      </c>
      <c r="AF29" s="9">
        <v>239.75639999999999</v>
      </c>
      <c r="AG29" s="9">
        <v>1203.8832</v>
      </c>
      <c r="AH29" s="9">
        <v>79.068600000000004</v>
      </c>
      <c r="AI29" s="9">
        <v>280.56599999999997</v>
      </c>
      <c r="AJ29" s="9">
        <v>10.202399999999999</v>
      </c>
      <c r="AK29" s="9">
        <v>5.1011999999999995</v>
      </c>
      <c r="AL29" s="9">
        <v>30.607199999999999</v>
      </c>
      <c r="AM29" s="9">
        <v>7.6517999999999997</v>
      </c>
      <c r="AN29" s="9">
        <v>38.259</v>
      </c>
      <c r="AO29" s="9">
        <v>76.518000000000001</v>
      </c>
      <c r="AP29" s="9">
        <v>510.11999999999989</v>
      </c>
      <c r="AQ29" s="25">
        <v>1.9E-3</v>
      </c>
      <c r="AR29" s="9">
        <f t="shared" si="5"/>
        <v>0.96922799999999976</v>
      </c>
      <c r="AS29" s="25">
        <v>9.5999999999999992E-3</v>
      </c>
      <c r="AT29" s="9">
        <f t="shared" si="6"/>
        <v>4.8971519999999984</v>
      </c>
      <c r="AU29" s="9">
        <v>2040.4800000000005</v>
      </c>
      <c r="AV29" s="25">
        <v>2.0999999999999999E-3</v>
      </c>
      <c r="AW29" s="9">
        <f t="shared" si="7"/>
        <v>4.2850080000000004</v>
      </c>
      <c r="AX29" s="25">
        <v>1.04E-2</v>
      </c>
      <c r="AY29" s="9">
        <f t="shared" si="8"/>
        <v>21.220992000000003</v>
      </c>
      <c r="AZ29" s="9">
        <v>6905.9786666666687</v>
      </c>
      <c r="BA29" s="25">
        <v>2.3999999999999998E-3</v>
      </c>
      <c r="BB29" s="9">
        <f t="shared" si="9"/>
        <v>16.574348800000003</v>
      </c>
      <c r="BC29" s="25">
        <v>1.2200000000000001E-2</v>
      </c>
      <c r="BD29" s="9">
        <f t="shared" si="10"/>
        <v>84.252939733333363</v>
      </c>
      <c r="BE29" s="9">
        <v>510.11999999999989</v>
      </c>
      <c r="BF29" s="9">
        <v>1.9E-3</v>
      </c>
      <c r="BG29" s="9">
        <f t="shared" si="11"/>
        <v>0.96922799999999976</v>
      </c>
      <c r="BH29" s="9">
        <v>9.5999999999999992E-3</v>
      </c>
      <c r="BI29" s="9">
        <f t="shared" si="12"/>
        <v>4.8971519999999984</v>
      </c>
      <c r="BJ29" s="9">
        <v>2040.4800000000005</v>
      </c>
      <c r="BK29" s="9">
        <v>2.0999999999999999E-3</v>
      </c>
      <c r="BL29" s="9">
        <f t="shared" si="13"/>
        <v>4.2850080000000004</v>
      </c>
      <c r="BM29" s="9">
        <v>1.04E-2</v>
      </c>
      <c r="BN29" s="9">
        <f t="shared" si="14"/>
        <v>21.220992000000003</v>
      </c>
      <c r="BO29" s="9">
        <v>7151.8933333333307</v>
      </c>
      <c r="BP29" s="9">
        <v>2.3999999999999998E-3</v>
      </c>
      <c r="BQ29" s="9">
        <f t="shared" si="15"/>
        <v>17.164543999999992</v>
      </c>
      <c r="BR29" s="9">
        <v>1.2200000000000001E-2</v>
      </c>
      <c r="BS29" s="9">
        <f t="shared" si="16"/>
        <v>87.253098666666645</v>
      </c>
      <c r="BT29" s="9">
        <f t="shared" si="17"/>
        <v>21.828584800000002</v>
      </c>
      <c r="BU29" s="9">
        <f t="shared" si="18"/>
        <v>110.37108373333336</v>
      </c>
      <c r="BV29" s="9">
        <f t="shared" si="19"/>
        <v>353.40658479999996</v>
      </c>
      <c r="BW29">
        <f t="shared" si="20"/>
        <v>353.40658479999996</v>
      </c>
      <c r="BX29">
        <v>0</v>
      </c>
      <c r="BY29">
        <f t="shared" si="21"/>
        <v>1750.4068837333332</v>
      </c>
      <c r="BZ29">
        <v>4808.2045299999991</v>
      </c>
      <c r="CA29">
        <f t="shared" si="22"/>
        <v>7316.4848852000032</v>
      </c>
      <c r="CB29">
        <f t="shared" si="23"/>
        <v>14228.502883733334</v>
      </c>
      <c r="CC29">
        <v>0</v>
      </c>
      <c r="CD29">
        <v>0</v>
      </c>
      <c r="CE29">
        <f t="shared" si="24"/>
        <v>0</v>
      </c>
      <c r="CF29">
        <f t="shared" si="25"/>
        <v>12478.096000000001</v>
      </c>
      <c r="CG29">
        <f t="shared" si="26"/>
        <v>7316.4848852000032</v>
      </c>
      <c r="CH29">
        <f t="shared" si="27"/>
        <v>0</v>
      </c>
      <c r="CJ29" t="s">
        <v>278</v>
      </c>
      <c r="CL29" t="str">
        <f t="shared" si="28"/>
        <v/>
      </c>
    </row>
    <row r="30" spans="1:90" x14ac:dyDescent="0.25">
      <c r="A30" t="s">
        <v>96</v>
      </c>
      <c r="B30" t="s">
        <v>188</v>
      </c>
      <c r="C30" s="1">
        <v>46357</v>
      </c>
      <c r="D30" t="s">
        <v>182</v>
      </c>
      <c r="E30" t="s">
        <v>175</v>
      </c>
      <c r="F30" s="4">
        <v>1</v>
      </c>
      <c r="G30" s="4">
        <v>0.6</v>
      </c>
      <c r="H30" s="9">
        <v>12478.096000000001</v>
      </c>
      <c r="I30" s="9">
        <v>2079.6826666666666</v>
      </c>
      <c r="J30" s="9">
        <f t="shared" si="0"/>
        <v>14557.778666666669</v>
      </c>
      <c r="K30" s="9">
        <v>0</v>
      </c>
      <c r="L30" s="9">
        <f t="shared" si="1"/>
        <v>0</v>
      </c>
      <c r="M30">
        <v>0</v>
      </c>
      <c r="N30" s="4">
        <f t="shared" si="2"/>
        <v>0</v>
      </c>
      <c r="O30" s="9">
        <v>7399.5</v>
      </c>
      <c r="P30" s="9">
        <v>4679.2860000000001</v>
      </c>
      <c r="Q30" s="9">
        <v>41.27</v>
      </c>
      <c r="R30" s="9">
        <v>110.84</v>
      </c>
      <c r="S30" s="9">
        <v>82.54</v>
      </c>
      <c r="T30" s="9">
        <v>164.66</v>
      </c>
      <c r="U30" s="9">
        <v>0</v>
      </c>
      <c r="V30" s="9">
        <v>0</v>
      </c>
      <c r="W30" s="9">
        <f t="shared" si="3"/>
        <v>12478.096000000001</v>
      </c>
      <c r="X30" s="9">
        <v>0</v>
      </c>
      <c r="Y30" s="9">
        <v>0</v>
      </c>
      <c r="Z30" s="9">
        <v>0</v>
      </c>
      <c r="AA30" s="9">
        <v>0</v>
      </c>
      <c r="AB30" s="9">
        <f t="shared" si="4"/>
        <v>0</v>
      </c>
      <c r="AC30" s="9">
        <v>0</v>
      </c>
      <c r="AD30" s="9">
        <v>0</v>
      </c>
      <c r="AE30" s="9">
        <v>12354.286</v>
      </c>
      <c r="AF30" s="9">
        <v>0</v>
      </c>
      <c r="AG30" s="9">
        <v>0</v>
      </c>
      <c r="AH30" s="9">
        <v>0</v>
      </c>
      <c r="AI30" s="9">
        <v>0</v>
      </c>
      <c r="AJ30" s="9">
        <v>0</v>
      </c>
      <c r="AK30" s="9">
        <v>0</v>
      </c>
      <c r="AL30" s="9">
        <v>0</v>
      </c>
      <c r="AM30" s="9">
        <v>0</v>
      </c>
      <c r="AN30" s="9">
        <v>0</v>
      </c>
      <c r="AO30" s="9">
        <v>0</v>
      </c>
      <c r="AP30" s="9">
        <v>0</v>
      </c>
      <c r="AQ30" s="25">
        <v>0</v>
      </c>
      <c r="AR30" s="9">
        <f t="shared" si="5"/>
        <v>0</v>
      </c>
      <c r="AS30" s="25">
        <v>0</v>
      </c>
      <c r="AT30" s="9">
        <f t="shared" si="6"/>
        <v>0</v>
      </c>
      <c r="AU30" s="9">
        <v>0</v>
      </c>
      <c r="AV30" s="25">
        <v>0</v>
      </c>
      <c r="AW30" s="9">
        <f t="shared" si="7"/>
        <v>0</v>
      </c>
      <c r="AX30" s="25">
        <v>0</v>
      </c>
      <c r="AY30" s="9">
        <f t="shared" si="8"/>
        <v>0</v>
      </c>
      <c r="AZ30" s="9">
        <v>0</v>
      </c>
      <c r="BA30" s="25">
        <v>0</v>
      </c>
      <c r="BB30" s="9">
        <f t="shared" si="9"/>
        <v>0</v>
      </c>
      <c r="BC30" s="25">
        <v>0</v>
      </c>
      <c r="BD30" s="9">
        <f t="shared" si="10"/>
        <v>0</v>
      </c>
      <c r="BE30" s="9">
        <v>0</v>
      </c>
      <c r="BF30" s="9">
        <v>0</v>
      </c>
      <c r="BG30" s="9">
        <f t="shared" si="11"/>
        <v>0</v>
      </c>
      <c r="BH30" s="9">
        <v>0</v>
      </c>
      <c r="BI30" s="9">
        <f t="shared" si="12"/>
        <v>0</v>
      </c>
      <c r="BJ30" s="9">
        <v>0</v>
      </c>
      <c r="BK30" s="9">
        <v>0</v>
      </c>
      <c r="BL30" s="9">
        <f t="shared" si="13"/>
        <v>0</v>
      </c>
      <c r="BM30" s="9">
        <v>0</v>
      </c>
      <c r="BN30" s="9">
        <f t="shared" si="14"/>
        <v>0</v>
      </c>
      <c r="BO30" s="9">
        <v>0</v>
      </c>
      <c r="BP30" s="9">
        <v>0</v>
      </c>
      <c r="BQ30" s="9">
        <f t="shared" si="15"/>
        <v>0</v>
      </c>
      <c r="BR30" s="9">
        <v>0</v>
      </c>
      <c r="BS30" s="9">
        <f t="shared" si="16"/>
        <v>0</v>
      </c>
      <c r="BT30" s="9">
        <f t="shared" si="17"/>
        <v>0</v>
      </c>
      <c r="BU30" s="9">
        <f t="shared" si="18"/>
        <v>0</v>
      </c>
      <c r="BV30" s="9">
        <f t="shared" si="19"/>
        <v>0</v>
      </c>
      <c r="BW30">
        <f t="shared" si="20"/>
        <v>0</v>
      </c>
      <c r="BX30">
        <v>0</v>
      </c>
      <c r="BY30">
        <f t="shared" si="21"/>
        <v>0</v>
      </c>
      <c r="BZ30">
        <v>4808.2045299999982</v>
      </c>
      <c r="CA30">
        <f t="shared" si="22"/>
        <v>7669.8914700000032</v>
      </c>
      <c r="CB30">
        <f t="shared" si="23"/>
        <v>12478.096000000001</v>
      </c>
      <c r="CC30">
        <v>0</v>
      </c>
      <c r="CD30">
        <v>0</v>
      </c>
      <c r="CE30">
        <f t="shared" si="24"/>
        <v>0</v>
      </c>
      <c r="CF30">
        <f t="shared" si="25"/>
        <v>12478.096000000001</v>
      </c>
      <c r="CG30">
        <f t="shared" si="26"/>
        <v>7669.8914700000032</v>
      </c>
      <c r="CH30">
        <f t="shared" si="27"/>
        <v>0</v>
      </c>
      <c r="CJ30" t="s">
        <v>278</v>
      </c>
      <c r="CL30" t="str">
        <f t="shared" si="28"/>
        <v/>
      </c>
    </row>
    <row r="31" spans="1:90" x14ac:dyDescent="0.25">
      <c r="A31" t="s">
        <v>96</v>
      </c>
      <c r="B31" t="s">
        <v>189</v>
      </c>
      <c r="C31" s="1">
        <v>46357</v>
      </c>
      <c r="D31" t="s">
        <v>174</v>
      </c>
      <c r="E31" t="s">
        <v>175</v>
      </c>
      <c r="F31" s="4">
        <v>1</v>
      </c>
      <c r="G31" s="4">
        <v>0.6</v>
      </c>
      <c r="H31" s="9">
        <v>12478.096000000001</v>
      </c>
      <c r="I31" s="9">
        <v>2079.6826666666666</v>
      </c>
      <c r="J31" s="9">
        <f t="shared" si="0"/>
        <v>14557.778666666669</v>
      </c>
      <c r="K31" s="9">
        <v>0</v>
      </c>
      <c r="L31" s="9">
        <f t="shared" si="1"/>
        <v>0</v>
      </c>
      <c r="M31">
        <v>0</v>
      </c>
      <c r="N31" s="4">
        <f t="shared" si="2"/>
        <v>0</v>
      </c>
      <c r="O31" s="9">
        <v>7399.5</v>
      </c>
      <c r="P31" s="9">
        <v>4679.2860000000001</v>
      </c>
      <c r="Q31" s="9">
        <v>41.27</v>
      </c>
      <c r="R31" s="9">
        <v>110.84</v>
      </c>
      <c r="S31" s="9">
        <v>82.54</v>
      </c>
      <c r="T31" s="9">
        <v>164.66</v>
      </c>
      <c r="U31" s="9">
        <v>0</v>
      </c>
      <c r="V31" s="9">
        <v>0</v>
      </c>
      <c r="W31" s="9">
        <f t="shared" si="3"/>
        <v>12478.096000000001</v>
      </c>
      <c r="X31" s="9">
        <v>2079.6826666666666</v>
      </c>
      <c r="Y31" s="9">
        <v>0</v>
      </c>
      <c r="Z31" s="9">
        <v>14557.778666666669</v>
      </c>
      <c r="AA31" s="9">
        <v>0</v>
      </c>
      <c r="AB31" s="9">
        <f t="shared" si="4"/>
        <v>14557.778666666669</v>
      </c>
      <c r="AC31" s="9">
        <v>5101.2</v>
      </c>
      <c r="AD31" s="9">
        <v>0</v>
      </c>
      <c r="AE31" s="9">
        <v>12354.286</v>
      </c>
      <c r="AF31" s="9">
        <v>239.75639999999999</v>
      </c>
      <c r="AG31" s="9">
        <v>1203.8832</v>
      </c>
      <c r="AH31" s="9">
        <v>79.068600000000004</v>
      </c>
      <c r="AI31" s="9">
        <v>280.56599999999997</v>
      </c>
      <c r="AJ31" s="9">
        <v>10.202399999999999</v>
      </c>
      <c r="AK31" s="9">
        <v>5.1011999999999995</v>
      </c>
      <c r="AL31" s="9">
        <v>30.607199999999999</v>
      </c>
      <c r="AM31" s="9">
        <v>7.6517999999999997</v>
      </c>
      <c r="AN31" s="9">
        <v>38.259</v>
      </c>
      <c r="AO31" s="9">
        <v>76.518000000000001</v>
      </c>
      <c r="AP31" s="9">
        <v>510.11999999999989</v>
      </c>
      <c r="AQ31" s="25">
        <v>1.9E-3</v>
      </c>
      <c r="AR31" s="9">
        <f t="shared" si="5"/>
        <v>0.96922799999999976</v>
      </c>
      <c r="AS31" s="25">
        <v>9.5999999999999992E-3</v>
      </c>
      <c r="AT31" s="9">
        <f t="shared" si="6"/>
        <v>4.8971519999999984</v>
      </c>
      <c r="AU31" s="9">
        <v>2040.4800000000005</v>
      </c>
      <c r="AV31" s="25">
        <v>2.0999999999999999E-3</v>
      </c>
      <c r="AW31" s="9">
        <f t="shared" si="7"/>
        <v>4.2850080000000004</v>
      </c>
      <c r="AX31" s="25">
        <v>1.04E-2</v>
      </c>
      <c r="AY31" s="9">
        <f t="shared" si="8"/>
        <v>21.220992000000003</v>
      </c>
      <c r="AZ31" s="9">
        <v>6905.9786666666687</v>
      </c>
      <c r="BA31" s="25">
        <v>2.3999999999999998E-3</v>
      </c>
      <c r="BB31" s="9">
        <f t="shared" si="9"/>
        <v>16.574348800000003</v>
      </c>
      <c r="BC31" s="25">
        <v>1.2200000000000001E-2</v>
      </c>
      <c r="BD31" s="9">
        <f t="shared" si="10"/>
        <v>84.252939733333363</v>
      </c>
      <c r="BE31" s="9">
        <v>510.11999999999989</v>
      </c>
      <c r="BF31" s="9">
        <v>1.9E-3</v>
      </c>
      <c r="BG31" s="9">
        <f t="shared" si="11"/>
        <v>0.96922799999999976</v>
      </c>
      <c r="BH31" s="9">
        <v>9.5999999999999992E-3</v>
      </c>
      <c r="BI31" s="9">
        <f t="shared" si="12"/>
        <v>4.8971519999999984</v>
      </c>
      <c r="BJ31" s="9">
        <v>2040.4800000000005</v>
      </c>
      <c r="BK31" s="9">
        <v>2.0999999999999999E-3</v>
      </c>
      <c r="BL31" s="9">
        <f t="shared" si="13"/>
        <v>4.2850080000000004</v>
      </c>
      <c r="BM31" s="9">
        <v>1.04E-2</v>
      </c>
      <c r="BN31" s="9">
        <f t="shared" si="14"/>
        <v>21.220992000000003</v>
      </c>
      <c r="BO31" s="9">
        <v>7151.8933333333307</v>
      </c>
      <c r="BP31" s="9">
        <v>2.3999999999999998E-3</v>
      </c>
      <c r="BQ31" s="9">
        <f t="shared" si="15"/>
        <v>17.164543999999992</v>
      </c>
      <c r="BR31" s="9">
        <v>1.2200000000000001E-2</v>
      </c>
      <c r="BS31" s="9">
        <f t="shared" si="16"/>
        <v>87.253098666666645</v>
      </c>
      <c r="BT31" s="9">
        <f t="shared" si="17"/>
        <v>21.828584800000002</v>
      </c>
      <c r="BU31" s="9">
        <f t="shared" si="18"/>
        <v>110.37108373333336</v>
      </c>
      <c r="BV31" s="9">
        <f t="shared" si="19"/>
        <v>353.40658479999996</v>
      </c>
      <c r="BW31">
        <f t="shared" si="20"/>
        <v>353.40658479999996</v>
      </c>
      <c r="BX31">
        <v>0</v>
      </c>
      <c r="BY31">
        <f t="shared" si="21"/>
        <v>1750.4068837333332</v>
      </c>
      <c r="BZ31">
        <v>4808.2045299999991</v>
      </c>
      <c r="CA31">
        <f t="shared" si="22"/>
        <v>7316.4848852000032</v>
      </c>
      <c r="CB31">
        <f t="shared" si="23"/>
        <v>14228.502883733334</v>
      </c>
      <c r="CC31">
        <v>0</v>
      </c>
      <c r="CD31">
        <v>0</v>
      </c>
      <c r="CE31">
        <f t="shared" si="24"/>
        <v>0</v>
      </c>
      <c r="CF31">
        <f t="shared" si="25"/>
        <v>12478.096000000001</v>
      </c>
      <c r="CG31">
        <f t="shared" si="26"/>
        <v>7316.4848852000032</v>
      </c>
      <c r="CH31">
        <f t="shared" si="27"/>
        <v>0</v>
      </c>
      <c r="CJ31" t="s">
        <v>278</v>
      </c>
      <c r="CL31" t="str">
        <f t="shared" si="28"/>
        <v/>
      </c>
    </row>
    <row r="32" spans="1:90" x14ac:dyDescent="0.25">
      <c r="A32" t="s">
        <v>98</v>
      </c>
      <c r="B32" t="s">
        <v>173</v>
      </c>
      <c r="C32" s="1">
        <v>46023</v>
      </c>
      <c r="D32" t="s">
        <v>174</v>
      </c>
      <c r="E32" t="s">
        <v>175</v>
      </c>
      <c r="F32" s="4">
        <v>1</v>
      </c>
      <c r="G32" s="4">
        <v>0.55000000000000004</v>
      </c>
      <c r="H32" s="9">
        <v>1385.731</v>
      </c>
      <c r="I32" s="9">
        <v>230.95516666666666</v>
      </c>
      <c r="J32" s="9">
        <f t="shared" si="0"/>
        <v>1616.6861666666666</v>
      </c>
      <c r="K32" s="9">
        <v>0</v>
      </c>
      <c r="L32" s="9">
        <f t="shared" si="1"/>
        <v>0</v>
      </c>
      <c r="M32">
        <v>0</v>
      </c>
      <c r="N32" s="4">
        <f t="shared" si="2"/>
        <v>0</v>
      </c>
      <c r="O32" s="9">
        <v>894.02</v>
      </c>
      <c r="P32" s="9">
        <v>491.71100000000001</v>
      </c>
      <c r="Q32" s="9">
        <v>0</v>
      </c>
      <c r="R32" s="9">
        <v>0</v>
      </c>
      <c r="S32" s="9">
        <v>0</v>
      </c>
      <c r="T32" s="9">
        <v>0</v>
      </c>
      <c r="U32" s="9">
        <v>0</v>
      </c>
      <c r="V32" s="9">
        <v>0</v>
      </c>
      <c r="W32" s="9">
        <f t="shared" si="3"/>
        <v>1385.731</v>
      </c>
      <c r="X32" s="9">
        <v>230.95516666666666</v>
      </c>
      <c r="Y32" s="9">
        <v>0</v>
      </c>
      <c r="Z32" s="9">
        <v>1616.6861666666666</v>
      </c>
      <c r="AA32" s="9">
        <v>0</v>
      </c>
      <c r="AB32" s="9">
        <f t="shared" si="4"/>
        <v>1616.6861666666666</v>
      </c>
      <c r="AC32" s="9">
        <v>1616.6861666666666</v>
      </c>
      <c r="AD32" s="9">
        <v>0</v>
      </c>
      <c r="AE32" s="9">
        <v>1385.731</v>
      </c>
      <c r="AF32" s="9">
        <v>75.984249833333337</v>
      </c>
      <c r="AG32" s="9">
        <v>370.06572183000003</v>
      </c>
      <c r="AH32" s="9">
        <v>25.058635583333331</v>
      </c>
      <c r="AI32" s="9">
        <v>86.244130087500011</v>
      </c>
      <c r="AJ32" s="9">
        <v>3.1361501850000004</v>
      </c>
      <c r="AK32" s="9">
        <v>1.6166861666666668</v>
      </c>
      <c r="AL32" s="9">
        <v>9.4084505550000017</v>
      </c>
      <c r="AM32" s="9">
        <v>2.4250292500000001</v>
      </c>
      <c r="AN32" s="9">
        <v>11.76056319375</v>
      </c>
      <c r="AO32" s="9">
        <v>23.521126387500001</v>
      </c>
      <c r="AP32" s="9">
        <v>0</v>
      </c>
      <c r="AQ32" s="25">
        <v>0</v>
      </c>
      <c r="AR32" s="9">
        <f t="shared" si="5"/>
        <v>0</v>
      </c>
      <c r="AS32" s="25">
        <v>0</v>
      </c>
      <c r="AT32" s="9">
        <f t="shared" si="6"/>
        <v>0</v>
      </c>
      <c r="AU32" s="9">
        <v>0</v>
      </c>
      <c r="AV32" s="25">
        <v>0</v>
      </c>
      <c r="AW32" s="9">
        <f t="shared" si="7"/>
        <v>0</v>
      </c>
      <c r="AX32" s="25">
        <v>0</v>
      </c>
      <c r="AY32" s="9">
        <f t="shared" si="8"/>
        <v>0</v>
      </c>
      <c r="AZ32" s="9">
        <v>0</v>
      </c>
      <c r="BA32" s="25">
        <v>0</v>
      </c>
      <c r="BB32" s="9">
        <f t="shared" si="9"/>
        <v>0</v>
      </c>
      <c r="BC32" s="25">
        <v>0</v>
      </c>
      <c r="BD32" s="9">
        <f t="shared" si="10"/>
        <v>0</v>
      </c>
      <c r="BE32" s="9">
        <v>0</v>
      </c>
      <c r="BF32" s="9">
        <v>0</v>
      </c>
      <c r="BG32" s="9">
        <f t="shared" si="11"/>
        <v>0</v>
      </c>
      <c r="BH32" s="9">
        <v>0</v>
      </c>
      <c r="BI32" s="9">
        <f t="shared" si="12"/>
        <v>0</v>
      </c>
      <c r="BJ32" s="9">
        <v>0</v>
      </c>
      <c r="BK32" s="9">
        <v>0</v>
      </c>
      <c r="BL32" s="9">
        <f t="shared" si="13"/>
        <v>0</v>
      </c>
      <c r="BM32" s="9">
        <v>0</v>
      </c>
      <c r="BN32" s="9">
        <f t="shared" si="14"/>
        <v>0</v>
      </c>
      <c r="BO32" s="9">
        <v>0</v>
      </c>
      <c r="BP32" s="9">
        <v>0</v>
      </c>
      <c r="BQ32" s="9">
        <f t="shared" si="15"/>
        <v>0</v>
      </c>
      <c r="BR32" s="9">
        <v>0</v>
      </c>
      <c r="BS32" s="9">
        <f t="shared" si="16"/>
        <v>0</v>
      </c>
      <c r="BT32" s="9">
        <f t="shared" si="17"/>
        <v>0</v>
      </c>
      <c r="BU32" s="9">
        <f t="shared" si="18"/>
        <v>0</v>
      </c>
      <c r="BV32" s="9">
        <f t="shared" si="19"/>
        <v>105.08460083333333</v>
      </c>
      <c r="BW32">
        <f t="shared" si="20"/>
        <v>105.08460083333333</v>
      </c>
      <c r="BX32">
        <v>0</v>
      </c>
      <c r="BY32">
        <f t="shared" si="21"/>
        <v>504.13614223875004</v>
      </c>
      <c r="BZ32">
        <v>90.321125328000008</v>
      </c>
      <c r="CA32">
        <f t="shared" si="22"/>
        <v>1190.3252738386666</v>
      </c>
      <c r="CB32">
        <f t="shared" si="23"/>
        <v>1889.8671422387501</v>
      </c>
      <c r="CC32">
        <v>0</v>
      </c>
      <c r="CD32">
        <v>0</v>
      </c>
      <c r="CE32">
        <f t="shared" si="24"/>
        <v>0</v>
      </c>
      <c r="CF32">
        <f t="shared" si="25"/>
        <v>1385.731</v>
      </c>
      <c r="CG32">
        <f t="shared" si="26"/>
        <v>1190.3252738386666</v>
      </c>
      <c r="CH32">
        <f t="shared" si="27"/>
        <v>0</v>
      </c>
      <c r="CJ32" t="s">
        <v>278</v>
      </c>
      <c r="CL32" t="str">
        <f t="shared" si="28"/>
        <v/>
      </c>
    </row>
    <row r="33" spans="1:90" x14ac:dyDescent="0.25">
      <c r="A33" t="s">
        <v>98</v>
      </c>
      <c r="B33" t="s">
        <v>176</v>
      </c>
      <c r="C33" s="1">
        <v>46054</v>
      </c>
      <c r="D33" t="s">
        <v>174</v>
      </c>
      <c r="E33" t="s">
        <v>175</v>
      </c>
      <c r="F33" s="4">
        <v>1</v>
      </c>
      <c r="G33" s="4">
        <v>0.55000000000000004</v>
      </c>
      <c r="H33" s="9">
        <v>1385.731</v>
      </c>
      <c r="I33" s="9">
        <v>230.95516666666666</v>
      </c>
      <c r="J33" s="9">
        <f t="shared" si="0"/>
        <v>1616.6861666666666</v>
      </c>
      <c r="K33" s="9">
        <v>0</v>
      </c>
      <c r="L33" s="9">
        <f t="shared" si="1"/>
        <v>0</v>
      </c>
      <c r="M33">
        <v>0</v>
      </c>
      <c r="N33" s="4">
        <f t="shared" si="2"/>
        <v>0</v>
      </c>
      <c r="O33" s="9">
        <v>894.02</v>
      </c>
      <c r="P33" s="9">
        <v>491.71100000000001</v>
      </c>
      <c r="Q33" s="9">
        <v>0</v>
      </c>
      <c r="R33" s="9">
        <v>0</v>
      </c>
      <c r="S33" s="9">
        <v>0</v>
      </c>
      <c r="T33" s="9">
        <v>0</v>
      </c>
      <c r="U33" s="9">
        <v>0</v>
      </c>
      <c r="V33" s="9">
        <v>0</v>
      </c>
      <c r="W33" s="9">
        <f t="shared" si="3"/>
        <v>1385.731</v>
      </c>
      <c r="X33" s="9">
        <v>230.95516666666666</v>
      </c>
      <c r="Y33" s="9">
        <v>0</v>
      </c>
      <c r="Z33" s="9">
        <v>1616.6861666666666</v>
      </c>
      <c r="AA33" s="9">
        <v>0</v>
      </c>
      <c r="AB33" s="9">
        <f t="shared" si="4"/>
        <v>1616.6861666666666</v>
      </c>
      <c r="AC33" s="9">
        <v>1616.6861666666666</v>
      </c>
      <c r="AD33" s="9">
        <v>0</v>
      </c>
      <c r="AE33" s="9">
        <v>1385.731</v>
      </c>
      <c r="AF33" s="9">
        <v>75.984249833333337</v>
      </c>
      <c r="AG33" s="9">
        <v>370.06572183000003</v>
      </c>
      <c r="AH33" s="9">
        <v>25.058635583333331</v>
      </c>
      <c r="AI33" s="9">
        <v>86.244130087500011</v>
      </c>
      <c r="AJ33" s="9">
        <v>3.1361501850000004</v>
      </c>
      <c r="AK33" s="9">
        <v>1.6166861666666668</v>
      </c>
      <c r="AL33" s="9">
        <v>9.4084505550000017</v>
      </c>
      <c r="AM33" s="9">
        <v>2.4250292500000001</v>
      </c>
      <c r="AN33" s="9">
        <v>11.76056319375</v>
      </c>
      <c r="AO33" s="9">
        <v>23.521126387500001</v>
      </c>
      <c r="AP33" s="9">
        <v>0</v>
      </c>
      <c r="AQ33" s="25">
        <v>0</v>
      </c>
      <c r="AR33" s="9">
        <f t="shared" si="5"/>
        <v>0</v>
      </c>
      <c r="AS33" s="25">
        <v>0</v>
      </c>
      <c r="AT33" s="9">
        <f t="shared" si="6"/>
        <v>0</v>
      </c>
      <c r="AU33" s="9">
        <v>0</v>
      </c>
      <c r="AV33" s="25">
        <v>0</v>
      </c>
      <c r="AW33" s="9">
        <f t="shared" si="7"/>
        <v>0</v>
      </c>
      <c r="AX33" s="25">
        <v>0</v>
      </c>
      <c r="AY33" s="9">
        <f t="shared" si="8"/>
        <v>0</v>
      </c>
      <c r="AZ33" s="9">
        <v>0</v>
      </c>
      <c r="BA33" s="25">
        <v>0</v>
      </c>
      <c r="BB33" s="9">
        <f t="shared" si="9"/>
        <v>0</v>
      </c>
      <c r="BC33" s="25">
        <v>0</v>
      </c>
      <c r="BD33" s="9">
        <f t="shared" si="10"/>
        <v>0</v>
      </c>
      <c r="BE33" s="9">
        <v>0</v>
      </c>
      <c r="BF33" s="9">
        <v>0</v>
      </c>
      <c r="BG33" s="9">
        <f t="shared" si="11"/>
        <v>0</v>
      </c>
      <c r="BH33" s="9">
        <v>0</v>
      </c>
      <c r="BI33" s="9">
        <f t="shared" si="12"/>
        <v>0</v>
      </c>
      <c r="BJ33" s="9">
        <v>0</v>
      </c>
      <c r="BK33" s="9">
        <v>0</v>
      </c>
      <c r="BL33" s="9">
        <f t="shared" si="13"/>
        <v>0</v>
      </c>
      <c r="BM33" s="9">
        <v>0</v>
      </c>
      <c r="BN33" s="9">
        <f t="shared" si="14"/>
        <v>0</v>
      </c>
      <c r="BO33" s="9">
        <v>0</v>
      </c>
      <c r="BP33" s="9">
        <v>0</v>
      </c>
      <c r="BQ33" s="9">
        <f t="shared" si="15"/>
        <v>0</v>
      </c>
      <c r="BR33" s="9">
        <v>0</v>
      </c>
      <c r="BS33" s="9">
        <f t="shared" si="16"/>
        <v>0</v>
      </c>
      <c r="BT33" s="9">
        <f t="shared" si="17"/>
        <v>0</v>
      </c>
      <c r="BU33" s="9">
        <f t="shared" si="18"/>
        <v>0</v>
      </c>
      <c r="BV33" s="9">
        <f t="shared" si="19"/>
        <v>105.08460083333333</v>
      </c>
      <c r="BW33">
        <f t="shared" si="20"/>
        <v>105.08460083333333</v>
      </c>
      <c r="BX33">
        <v>0</v>
      </c>
      <c r="BY33">
        <f t="shared" si="21"/>
        <v>504.13614223875004</v>
      </c>
      <c r="BZ33">
        <v>90.321125328000008</v>
      </c>
      <c r="CA33">
        <f t="shared" si="22"/>
        <v>1190.3252738386666</v>
      </c>
      <c r="CB33">
        <f t="shared" si="23"/>
        <v>1889.8671422387501</v>
      </c>
      <c r="CC33">
        <v>0</v>
      </c>
      <c r="CD33">
        <v>0</v>
      </c>
      <c r="CE33">
        <f t="shared" si="24"/>
        <v>0</v>
      </c>
      <c r="CF33">
        <f t="shared" si="25"/>
        <v>1385.731</v>
      </c>
      <c r="CG33">
        <f t="shared" si="26"/>
        <v>1190.3252738386666</v>
      </c>
      <c r="CH33">
        <f t="shared" si="27"/>
        <v>0</v>
      </c>
      <c r="CJ33" t="s">
        <v>278</v>
      </c>
      <c r="CL33" t="str">
        <f t="shared" si="28"/>
        <v/>
      </c>
    </row>
    <row r="34" spans="1:90" x14ac:dyDescent="0.25">
      <c r="A34" t="s">
        <v>98</v>
      </c>
      <c r="B34" t="s">
        <v>177</v>
      </c>
      <c r="C34" s="1">
        <v>46082</v>
      </c>
      <c r="D34" t="s">
        <v>174</v>
      </c>
      <c r="E34" t="s">
        <v>175</v>
      </c>
      <c r="F34" s="4">
        <v>1</v>
      </c>
      <c r="G34" s="4">
        <v>0.55000000000000004</v>
      </c>
      <c r="H34" s="9">
        <v>1385.731</v>
      </c>
      <c r="I34" s="9">
        <v>230.95516666666666</v>
      </c>
      <c r="J34" s="9">
        <f t="shared" si="0"/>
        <v>1616.6861666666666</v>
      </c>
      <c r="K34" s="9">
        <v>0</v>
      </c>
      <c r="L34" s="9">
        <f t="shared" si="1"/>
        <v>0</v>
      </c>
      <c r="M34">
        <v>0</v>
      </c>
      <c r="N34" s="4">
        <f t="shared" si="2"/>
        <v>0</v>
      </c>
      <c r="O34" s="9">
        <v>894.02</v>
      </c>
      <c r="P34" s="9">
        <v>491.71100000000001</v>
      </c>
      <c r="Q34" s="9">
        <v>0</v>
      </c>
      <c r="R34" s="9">
        <v>0</v>
      </c>
      <c r="S34" s="9">
        <v>0</v>
      </c>
      <c r="T34" s="9">
        <v>0</v>
      </c>
      <c r="U34" s="9">
        <v>0</v>
      </c>
      <c r="V34" s="9">
        <v>0</v>
      </c>
      <c r="W34" s="9">
        <f t="shared" si="3"/>
        <v>1385.731</v>
      </c>
      <c r="X34" s="9">
        <v>230.95516666666666</v>
      </c>
      <c r="Y34" s="9">
        <v>0</v>
      </c>
      <c r="Z34" s="9">
        <v>1616.6861666666666</v>
      </c>
      <c r="AA34" s="9">
        <v>0</v>
      </c>
      <c r="AB34" s="9">
        <f t="shared" si="4"/>
        <v>1616.6861666666666</v>
      </c>
      <c r="AC34" s="9">
        <v>1616.6861666666666</v>
      </c>
      <c r="AD34" s="9">
        <v>0</v>
      </c>
      <c r="AE34" s="9">
        <v>1385.731</v>
      </c>
      <c r="AF34" s="9">
        <v>75.984249833333337</v>
      </c>
      <c r="AG34" s="9">
        <v>370.06572183000003</v>
      </c>
      <c r="AH34" s="9">
        <v>25.058635583333331</v>
      </c>
      <c r="AI34" s="9">
        <v>86.244130087500011</v>
      </c>
      <c r="AJ34" s="9">
        <v>3.1361501850000004</v>
      </c>
      <c r="AK34" s="9">
        <v>1.6166861666666668</v>
      </c>
      <c r="AL34" s="9">
        <v>9.4084505550000017</v>
      </c>
      <c r="AM34" s="9">
        <v>2.4250292500000001</v>
      </c>
      <c r="AN34" s="9">
        <v>11.76056319375</v>
      </c>
      <c r="AO34" s="9">
        <v>23.521126387500001</v>
      </c>
      <c r="AP34" s="9">
        <v>0</v>
      </c>
      <c r="AQ34" s="25">
        <v>0</v>
      </c>
      <c r="AR34" s="9">
        <f t="shared" si="5"/>
        <v>0</v>
      </c>
      <c r="AS34" s="25">
        <v>0</v>
      </c>
      <c r="AT34" s="9">
        <f t="shared" si="6"/>
        <v>0</v>
      </c>
      <c r="AU34" s="9">
        <v>0</v>
      </c>
      <c r="AV34" s="25">
        <v>0</v>
      </c>
      <c r="AW34" s="9">
        <f t="shared" si="7"/>
        <v>0</v>
      </c>
      <c r="AX34" s="25">
        <v>0</v>
      </c>
      <c r="AY34" s="9">
        <f t="shared" si="8"/>
        <v>0</v>
      </c>
      <c r="AZ34" s="9">
        <v>0</v>
      </c>
      <c r="BA34" s="25">
        <v>0</v>
      </c>
      <c r="BB34" s="9">
        <f t="shared" si="9"/>
        <v>0</v>
      </c>
      <c r="BC34" s="25">
        <v>0</v>
      </c>
      <c r="BD34" s="9">
        <f t="shared" si="10"/>
        <v>0</v>
      </c>
      <c r="BE34" s="9">
        <v>0</v>
      </c>
      <c r="BF34" s="9">
        <v>0</v>
      </c>
      <c r="BG34" s="9">
        <f t="shared" si="11"/>
        <v>0</v>
      </c>
      <c r="BH34" s="9">
        <v>0</v>
      </c>
      <c r="BI34" s="9">
        <f t="shared" si="12"/>
        <v>0</v>
      </c>
      <c r="BJ34" s="9">
        <v>0</v>
      </c>
      <c r="BK34" s="9">
        <v>0</v>
      </c>
      <c r="BL34" s="9">
        <f t="shared" si="13"/>
        <v>0</v>
      </c>
      <c r="BM34" s="9">
        <v>0</v>
      </c>
      <c r="BN34" s="9">
        <f t="shared" si="14"/>
        <v>0</v>
      </c>
      <c r="BO34" s="9">
        <v>0</v>
      </c>
      <c r="BP34" s="9">
        <v>0</v>
      </c>
      <c r="BQ34" s="9">
        <f t="shared" si="15"/>
        <v>0</v>
      </c>
      <c r="BR34" s="9">
        <v>0</v>
      </c>
      <c r="BS34" s="9">
        <f t="shared" si="16"/>
        <v>0</v>
      </c>
      <c r="BT34" s="9">
        <f t="shared" si="17"/>
        <v>0</v>
      </c>
      <c r="BU34" s="9">
        <f t="shared" si="18"/>
        <v>0</v>
      </c>
      <c r="BV34" s="9">
        <f t="shared" si="19"/>
        <v>105.08460083333333</v>
      </c>
      <c r="BW34">
        <f t="shared" si="20"/>
        <v>105.08460083333333</v>
      </c>
      <c r="BX34">
        <v>0</v>
      </c>
      <c r="BY34">
        <f t="shared" si="21"/>
        <v>504.13614223875004</v>
      </c>
      <c r="BZ34">
        <v>90.321125328000008</v>
      </c>
      <c r="CA34">
        <f t="shared" si="22"/>
        <v>1190.3252738386666</v>
      </c>
      <c r="CB34">
        <f t="shared" si="23"/>
        <v>1889.8671422387501</v>
      </c>
      <c r="CC34">
        <v>0</v>
      </c>
      <c r="CD34">
        <v>0</v>
      </c>
      <c r="CE34">
        <f t="shared" si="24"/>
        <v>0</v>
      </c>
      <c r="CF34">
        <f t="shared" si="25"/>
        <v>1385.731</v>
      </c>
      <c r="CG34">
        <f t="shared" si="26"/>
        <v>1190.3252738386666</v>
      </c>
      <c r="CH34">
        <f t="shared" si="27"/>
        <v>0</v>
      </c>
      <c r="CJ34" t="s">
        <v>278</v>
      </c>
      <c r="CL34" t="str">
        <f t="shared" si="28"/>
        <v/>
      </c>
    </row>
    <row r="35" spans="1:90" x14ac:dyDescent="0.25">
      <c r="A35" t="s">
        <v>98</v>
      </c>
      <c r="B35" t="s">
        <v>178</v>
      </c>
      <c r="C35" s="1">
        <v>46113</v>
      </c>
      <c r="D35" t="s">
        <v>174</v>
      </c>
      <c r="E35" t="s">
        <v>175</v>
      </c>
      <c r="F35" s="4">
        <v>1</v>
      </c>
      <c r="G35" s="4">
        <v>0.55000000000000004</v>
      </c>
      <c r="H35" s="9">
        <v>1385.731</v>
      </c>
      <c r="I35" s="9">
        <v>230.95516666666666</v>
      </c>
      <c r="J35" s="9">
        <f t="shared" si="0"/>
        <v>1616.6861666666666</v>
      </c>
      <c r="K35" s="9">
        <v>0</v>
      </c>
      <c r="L35" s="9">
        <f t="shared" si="1"/>
        <v>0</v>
      </c>
      <c r="M35">
        <v>0</v>
      </c>
      <c r="N35" s="4">
        <f t="shared" si="2"/>
        <v>0</v>
      </c>
      <c r="O35" s="9">
        <v>894.02</v>
      </c>
      <c r="P35" s="9">
        <v>491.71100000000001</v>
      </c>
      <c r="Q35" s="9">
        <v>0</v>
      </c>
      <c r="R35" s="9">
        <v>0</v>
      </c>
      <c r="S35" s="9">
        <v>0</v>
      </c>
      <c r="T35" s="9">
        <v>0</v>
      </c>
      <c r="U35" s="9">
        <v>0</v>
      </c>
      <c r="V35" s="9">
        <v>0</v>
      </c>
      <c r="W35" s="9">
        <f t="shared" si="3"/>
        <v>1385.731</v>
      </c>
      <c r="X35" s="9">
        <v>230.95516666666666</v>
      </c>
      <c r="Y35" s="9">
        <v>0</v>
      </c>
      <c r="Z35" s="9">
        <v>1616.6861666666666</v>
      </c>
      <c r="AA35" s="9">
        <v>0</v>
      </c>
      <c r="AB35" s="9">
        <f t="shared" si="4"/>
        <v>1616.6861666666666</v>
      </c>
      <c r="AC35" s="9">
        <v>1616.6861666666666</v>
      </c>
      <c r="AD35" s="9">
        <v>0</v>
      </c>
      <c r="AE35" s="9">
        <v>1385.731</v>
      </c>
      <c r="AF35" s="9">
        <v>75.984249833333337</v>
      </c>
      <c r="AG35" s="9">
        <v>370.06572183000003</v>
      </c>
      <c r="AH35" s="9">
        <v>25.058635583333331</v>
      </c>
      <c r="AI35" s="9">
        <v>86.244130087500011</v>
      </c>
      <c r="AJ35" s="9">
        <v>3.1361501850000004</v>
      </c>
      <c r="AK35" s="9">
        <v>1.6166861666666668</v>
      </c>
      <c r="AL35" s="9">
        <v>9.4084505550000017</v>
      </c>
      <c r="AM35" s="9">
        <v>2.4250292500000001</v>
      </c>
      <c r="AN35" s="9">
        <v>11.76056319375</v>
      </c>
      <c r="AO35" s="9">
        <v>23.521126387500001</v>
      </c>
      <c r="AP35" s="9">
        <v>0</v>
      </c>
      <c r="AQ35" s="25">
        <v>0</v>
      </c>
      <c r="AR35" s="9">
        <f t="shared" si="5"/>
        <v>0</v>
      </c>
      <c r="AS35" s="25">
        <v>0</v>
      </c>
      <c r="AT35" s="9">
        <f t="shared" si="6"/>
        <v>0</v>
      </c>
      <c r="AU35" s="9">
        <v>0</v>
      </c>
      <c r="AV35" s="25">
        <v>0</v>
      </c>
      <c r="AW35" s="9">
        <f t="shared" si="7"/>
        <v>0</v>
      </c>
      <c r="AX35" s="25">
        <v>0</v>
      </c>
      <c r="AY35" s="9">
        <f t="shared" si="8"/>
        <v>0</v>
      </c>
      <c r="AZ35" s="9">
        <v>0</v>
      </c>
      <c r="BA35" s="25">
        <v>0</v>
      </c>
      <c r="BB35" s="9">
        <f t="shared" si="9"/>
        <v>0</v>
      </c>
      <c r="BC35" s="25">
        <v>0</v>
      </c>
      <c r="BD35" s="9">
        <f t="shared" si="10"/>
        <v>0</v>
      </c>
      <c r="BE35" s="9">
        <v>0</v>
      </c>
      <c r="BF35" s="9">
        <v>0</v>
      </c>
      <c r="BG35" s="9">
        <f t="shared" si="11"/>
        <v>0</v>
      </c>
      <c r="BH35" s="9">
        <v>0</v>
      </c>
      <c r="BI35" s="9">
        <f t="shared" si="12"/>
        <v>0</v>
      </c>
      <c r="BJ35" s="9">
        <v>0</v>
      </c>
      <c r="BK35" s="9">
        <v>0</v>
      </c>
      <c r="BL35" s="9">
        <f t="shared" si="13"/>
        <v>0</v>
      </c>
      <c r="BM35" s="9">
        <v>0</v>
      </c>
      <c r="BN35" s="9">
        <f t="shared" si="14"/>
        <v>0</v>
      </c>
      <c r="BO35" s="9">
        <v>0</v>
      </c>
      <c r="BP35" s="9">
        <v>0</v>
      </c>
      <c r="BQ35" s="9">
        <f t="shared" si="15"/>
        <v>0</v>
      </c>
      <c r="BR35" s="9">
        <v>0</v>
      </c>
      <c r="BS35" s="9">
        <f t="shared" si="16"/>
        <v>0</v>
      </c>
      <c r="BT35" s="9">
        <f t="shared" si="17"/>
        <v>0</v>
      </c>
      <c r="BU35" s="9">
        <f t="shared" si="18"/>
        <v>0</v>
      </c>
      <c r="BV35" s="9">
        <f t="shared" si="19"/>
        <v>105.08460083333333</v>
      </c>
      <c r="BW35">
        <f t="shared" si="20"/>
        <v>105.08460083333333</v>
      </c>
      <c r="BX35">
        <v>0</v>
      </c>
      <c r="BY35">
        <f t="shared" si="21"/>
        <v>504.13614223875004</v>
      </c>
      <c r="BZ35">
        <v>90.321125328000008</v>
      </c>
      <c r="CA35">
        <f t="shared" si="22"/>
        <v>1190.3252738386666</v>
      </c>
      <c r="CB35">
        <f t="shared" si="23"/>
        <v>1889.8671422387501</v>
      </c>
      <c r="CC35">
        <v>0</v>
      </c>
      <c r="CD35">
        <v>0</v>
      </c>
      <c r="CE35">
        <f t="shared" si="24"/>
        <v>0</v>
      </c>
      <c r="CF35">
        <f t="shared" si="25"/>
        <v>1385.731</v>
      </c>
      <c r="CG35">
        <f t="shared" si="26"/>
        <v>1190.3252738386666</v>
      </c>
      <c r="CH35">
        <f t="shared" si="27"/>
        <v>0</v>
      </c>
      <c r="CJ35" t="s">
        <v>278</v>
      </c>
      <c r="CL35" t="str">
        <f t="shared" si="28"/>
        <v/>
      </c>
    </row>
    <row r="36" spans="1:90" x14ac:dyDescent="0.25">
      <c r="A36" t="s">
        <v>98</v>
      </c>
      <c r="B36" t="s">
        <v>179</v>
      </c>
      <c r="C36" s="1">
        <v>46143</v>
      </c>
      <c r="D36" t="s">
        <v>174</v>
      </c>
      <c r="E36" t="s">
        <v>175</v>
      </c>
      <c r="F36" s="4">
        <v>1</v>
      </c>
      <c r="G36" s="4">
        <v>0.55000000000000004</v>
      </c>
      <c r="H36" s="9">
        <v>1385.731</v>
      </c>
      <c r="I36" s="9">
        <v>230.95516666666666</v>
      </c>
      <c r="J36" s="9">
        <f t="shared" si="0"/>
        <v>1616.6861666666666</v>
      </c>
      <c r="K36" s="9">
        <v>0</v>
      </c>
      <c r="L36" s="9">
        <f t="shared" si="1"/>
        <v>0</v>
      </c>
      <c r="M36">
        <v>0</v>
      </c>
      <c r="N36" s="4">
        <f t="shared" si="2"/>
        <v>0</v>
      </c>
      <c r="O36" s="9">
        <v>894.02</v>
      </c>
      <c r="P36" s="9">
        <v>491.71100000000001</v>
      </c>
      <c r="Q36" s="9">
        <v>0</v>
      </c>
      <c r="R36" s="9">
        <v>0</v>
      </c>
      <c r="S36" s="9">
        <v>0</v>
      </c>
      <c r="T36" s="9">
        <v>0</v>
      </c>
      <c r="U36" s="9">
        <v>0</v>
      </c>
      <c r="V36" s="9">
        <v>0</v>
      </c>
      <c r="W36" s="9">
        <f t="shared" si="3"/>
        <v>1385.731</v>
      </c>
      <c r="X36" s="9">
        <v>230.95516666666666</v>
      </c>
      <c r="Y36" s="9">
        <v>0</v>
      </c>
      <c r="Z36" s="9">
        <v>1616.6861666666666</v>
      </c>
      <c r="AA36" s="9">
        <v>0</v>
      </c>
      <c r="AB36" s="9">
        <f t="shared" si="4"/>
        <v>1616.6861666666666</v>
      </c>
      <c r="AC36" s="9">
        <v>1616.6861666666666</v>
      </c>
      <c r="AD36" s="9">
        <v>0</v>
      </c>
      <c r="AE36" s="9">
        <v>1385.731</v>
      </c>
      <c r="AF36" s="9">
        <v>75.984249833333337</v>
      </c>
      <c r="AG36" s="9">
        <v>370.06572183000003</v>
      </c>
      <c r="AH36" s="9">
        <v>25.058635583333331</v>
      </c>
      <c r="AI36" s="9">
        <v>86.244130087500011</v>
      </c>
      <c r="AJ36" s="9">
        <v>3.1361501850000004</v>
      </c>
      <c r="AK36" s="9">
        <v>1.6166861666666668</v>
      </c>
      <c r="AL36" s="9">
        <v>9.4084505550000017</v>
      </c>
      <c r="AM36" s="9">
        <v>2.4250292500000001</v>
      </c>
      <c r="AN36" s="9">
        <v>11.76056319375</v>
      </c>
      <c r="AO36" s="9">
        <v>23.521126387500001</v>
      </c>
      <c r="AP36" s="9">
        <v>0</v>
      </c>
      <c r="AQ36" s="25">
        <v>0</v>
      </c>
      <c r="AR36" s="9">
        <f t="shared" si="5"/>
        <v>0</v>
      </c>
      <c r="AS36" s="25">
        <v>0</v>
      </c>
      <c r="AT36" s="9">
        <f t="shared" si="6"/>
        <v>0</v>
      </c>
      <c r="AU36" s="9">
        <v>0</v>
      </c>
      <c r="AV36" s="25">
        <v>0</v>
      </c>
      <c r="AW36" s="9">
        <f t="shared" si="7"/>
        <v>0</v>
      </c>
      <c r="AX36" s="25">
        <v>0</v>
      </c>
      <c r="AY36" s="9">
        <f t="shared" si="8"/>
        <v>0</v>
      </c>
      <c r="AZ36" s="9">
        <v>0</v>
      </c>
      <c r="BA36" s="25">
        <v>0</v>
      </c>
      <c r="BB36" s="9">
        <f t="shared" si="9"/>
        <v>0</v>
      </c>
      <c r="BC36" s="25">
        <v>0</v>
      </c>
      <c r="BD36" s="9">
        <f t="shared" si="10"/>
        <v>0</v>
      </c>
      <c r="BE36" s="9">
        <v>0</v>
      </c>
      <c r="BF36" s="9">
        <v>0</v>
      </c>
      <c r="BG36" s="9">
        <f t="shared" si="11"/>
        <v>0</v>
      </c>
      <c r="BH36" s="9">
        <v>0</v>
      </c>
      <c r="BI36" s="9">
        <f t="shared" si="12"/>
        <v>0</v>
      </c>
      <c r="BJ36" s="9">
        <v>0</v>
      </c>
      <c r="BK36" s="9">
        <v>0</v>
      </c>
      <c r="BL36" s="9">
        <f t="shared" si="13"/>
        <v>0</v>
      </c>
      <c r="BM36" s="9">
        <v>0</v>
      </c>
      <c r="BN36" s="9">
        <f t="shared" si="14"/>
        <v>0</v>
      </c>
      <c r="BO36" s="9">
        <v>0</v>
      </c>
      <c r="BP36" s="9">
        <v>0</v>
      </c>
      <c r="BQ36" s="9">
        <f t="shared" si="15"/>
        <v>0</v>
      </c>
      <c r="BR36" s="9">
        <v>0</v>
      </c>
      <c r="BS36" s="9">
        <f t="shared" si="16"/>
        <v>0</v>
      </c>
      <c r="BT36" s="9">
        <f t="shared" si="17"/>
        <v>0</v>
      </c>
      <c r="BU36" s="9">
        <f t="shared" si="18"/>
        <v>0</v>
      </c>
      <c r="BV36" s="9">
        <f t="shared" si="19"/>
        <v>105.08460083333333</v>
      </c>
      <c r="BW36">
        <f t="shared" si="20"/>
        <v>105.08460083333333</v>
      </c>
      <c r="BX36">
        <v>0</v>
      </c>
      <c r="BY36">
        <f t="shared" si="21"/>
        <v>504.13614223875004</v>
      </c>
      <c r="BZ36">
        <v>90.321125328000008</v>
      </c>
      <c r="CA36">
        <f t="shared" si="22"/>
        <v>1190.3252738386666</v>
      </c>
      <c r="CB36">
        <f t="shared" si="23"/>
        <v>1889.8671422387501</v>
      </c>
      <c r="CC36">
        <v>0</v>
      </c>
      <c r="CD36">
        <v>0</v>
      </c>
      <c r="CE36">
        <f t="shared" si="24"/>
        <v>0</v>
      </c>
      <c r="CF36">
        <f t="shared" si="25"/>
        <v>1385.731</v>
      </c>
      <c r="CG36">
        <f t="shared" si="26"/>
        <v>1190.3252738386666</v>
      </c>
      <c r="CH36">
        <f t="shared" si="27"/>
        <v>0</v>
      </c>
      <c r="CJ36" t="s">
        <v>278</v>
      </c>
      <c r="CL36" t="str">
        <f t="shared" si="28"/>
        <v/>
      </c>
    </row>
    <row r="37" spans="1:90" x14ac:dyDescent="0.25">
      <c r="A37" t="s">
        <v>98</v>
      </c>
      <c r="B37" t="s">
        <v>180</v>
      </c>
      <c r="C37" s="1">
        <v>46174</v>
      </c>
      <c r="D37" t="s">
        <v>174</v>
      </c>
      <c r="E37" t="s">
        <v>175</v>
      </c>
      <c r="F37" s="4">
        <v>1</v>
      </c>
      <c r="G37" s="4">
        <v>0.55000000000000004</v>
      </c>
      <c r="H37" s="9">
        <v>1385.731</v>
      </c>
      <c r="I37" s="9">
        <v>230.95516666666666</v>
      </c>
      <c r="J37" s="9">
        <f t="shared" si="0"/>
        <v>1616.6861666666666</v>
      </c>
      <c r="K37" s="9">
        <v>0</v>
      </c>
      <c r="L37" s="9">
        <f t="shared" si="1"/>
        <v>0</v>
      </c>
      <c r="M37">
        <v>0</v>
      </c>
      <c r="N37" s="4">
        <f t="shared" si="2"/>
        <v>0</v>
      </c>
      <c r="O37" s="9">
        <v>894.02</v>
      </c>
      <c r="P37" s="9">
        <v>491.71100000000001</v>
      </c>
      <c r="Q37" s="9">
        <v>0</v>
      </c>
      <c r="R37" s="9">
        <v>0</v>
      </c>
      <c r="S37" s="9">
        <v>0</v>
      </c>
      <c r="T37" s="9">
        <v>0</v>
      </c>
      <c r="U37" s="9">
        <v>0</v>
      </c>
      <c r="V37" s="9">
        <v>0</v>
      </c>
      <c r="W37" s="9">
        <f t="shared" si="3"/>
        <v>1385.731</v>
      </c>
      <c r="X37" s="9">
        <v>230.95516666666666</v>
      </c>
      <c r="Y37" s="9">
        <v>0</v>
      </c>
      <c r="Z37" s="9">
        <v>1616.6861666666666</v>
      </c>
      <c r="AA37" s="9">
        <v>0</v>
      </c>
      <c r="AB37" s="9">
        <f t="shared" si="4"/>
        <v>1616.6861666666666</v>
      </c>
      <c r="AC37" s="9">
        <v>1616.6861666666666</v>
      </c>
      <c r="AD37" s="9">
        <v>0</v>
      </c>
      <c r="AE37" s="9">
        <v>1385.731</v>
      </c>
      <c r="AF37" s="9">
        <v>75.984249833333337</v>
      </c>
      <c r="AG37" s="9">
        <v>370.06572183000003</v>
      </c>
      <c r="AH37" s="9">
        <v>25.058635583333331</v>
      </c>
      <c r="AI37" s="9">
        <v>86.244130087500011</v>
      </c>
      <c r="AJ37" s="9">
        <v>3.1361501850000004</v>
      </c>
      <c r="AK37" s="9">
        <v>1.6166861666666668</v>
      </c>
      <c r="AL37" s="9">
        <v>9.4084505550000017</v>
      </c>
      <c r="AM37" s="9">
        <v>2.4250292500000001</v>
      </c>
      <c r="AN37" s="9">
        <v>11.76056319375</v>
      </c>
      <c r="AO37" s="9">
        <v>23.521126387500001</v>
      </c>
      <c r="AP37" s="9">
        <v>0</v>
      </c>
      <c r="AQ37" s="25">
        <v>0</v>
      </c>
      <c r="AR37" s="9">
        <f t="shared" si="5"/>
        <v>0</v>
      </c>
      <c r="AS37" s="25">
        <v>0</v>
      </c>
      <c r="AT37" s="9">
        <f t="shared" si="6"/>
        <v>0</v>
      </c>
      <c r="AU37" s="9">
        <v>0</v>
      </c>
      <c r="AV37" s="25">
        <v>0</v>
      </c>
      <c r="AW37" s="9">
        <f t="shared" si="7"/>
        <v>0</v>
      </c>
      <c r="AX37" s="25">
        <v>0</v>
      </c>
      <c r="AY37" s="9">
        <f t="shared" si="8"/>
        <v>0</v>
      </c>
      <c r="AZ37" s="9">
        <v>0</v>
      </c>
      <c r="BA37" s="25">
        <v>0</v>
      </c>
      <c r="BB37" s="9">
        <f t="shared" si="9"/>
        <v>0</v>
      </c>
      <c r="BC37" s="25">
        <v>0</v>
      </c>
      <c r="BD37" s="9">
        <f t="shared" si="10"/>
        <v>0</v>
      </c>
      <c r="BE37" s="9">
        <v>0</v>
      </c>
      <c r="BF37" s="9">
        <v>0</v>
      </c>
      <c r="BG37" s="9">
        <f t="shared" si="11"/>
        <v>0</v>
      </c>
      <c r="BH37" s="9">
        <v>0</v>
      </c>
      <c r="BI37" s="9">
        <f t="shared" si="12"/>
        <v>0</v>
      </c>
      <c r="BJ37" s="9">
        <v>0</v>
      </c>
      <c r="BK37" s="9">
        <v>0</v>
      </c>
      <c r="BL37" s="9">
        <f t="shared" si="13"/>
        <v>0</v>
      </c>
      <c r="BM37" s="9">
        <v>0</v>
      </c>
      <c r="BN37" s="9">
        <f t="shared" si="14"/>
        <v>0</v>
      </c>
      <c r="BO37" s="9">
        <v>0</v>
      </c>
      <c r="BP37" s="9">
        <v>0</v>
      </c>
      <c r="BQ37" s="9">
        <f t="shared" si="15"/>
        <v>0</v>
      </c>
      <c r="BR37" s="9">
        <v>0</v>
      </c>
      <c r="BS37" s="9">
        <f t="shared" si="16"/>
        <v>0</v>
      </c>
      <c r="BT37" s="9">
        <f t="shared" si="17"/>
        <v>0</v>
      </c>
      <c r="BU37" s="9">
        <f t="shared" si="18"/>
        <v>0</v>
      </c>
      <c r="BV37" s="9">
        <f t="shared" si="19"/>
        <v>105.08460083333333</v>
      </c>
      <c r="BW37">
        <f t="shared" si="20"/>
        <v>105.08460083333333</v>
      </c>
      <c r="BX37">
        <v>0</v>
      </c>
      <c r="BY37">
        <f t="shared" si="21"/>
        <v>504.13614223875004</v>
      </c>
      <c r="BZ37">
        <v>90.321125328000008</v>
      </c>
      <c r="CA37">
        <f t="shared" si="22"/>
        <v>1190.3252738386666</v>
      </c>
      <c r="CB37">
        <f t="shared" si="23"/>
        <v>1889.8671422387501</v>
      </c>
      <c r="CC37">
        <v>0</v>
      </c>
      <c r="CD37">
        <v>0</v>
      </c>
      <c r="CE37">
        <f t="shared" si="24"/>
        <v>0</v>
      </c>
      <c r="CF37">
        <f t="shared" si="25"/>
        <v>1385.731</v>
      </c>
      <c r="CG37">
        <f t="shared" si="26"/>
        <v>1190.3252738386666</v>
      </c>
      <c r="CH37">
        <f t="shared" si="27"/>
        <v>0</v>
      </c>
      <c r="CJ37" t="s">
        <v>278</v>
      </c>
      <c r="CL37" t="str">
        <f t="shared" si="28"/>
        <v/>
      </c>
    </row>
    <row r="38" spans="1:90" x14ac:dyDescent="0.25">
      <c r="A38" t="s">
        <v>98</v>
      </c>
      <c r="B38" t="s">
        <v>181</v>
      </c>
      <c r="C38" s="1">
        <v>46204</v>
      </c>
      <c r="D38" t="s">
        <v>182</v>
      </c>
      <c r="E38" t="s">
        <v>175</v>
      </c>
      <c r="F38" s="4">
        <v>1</v>
      </c>
      <c r="G38" s="4">
        <v>0.55000000000000004</v>
      </c>
      <c r="H38" s="9">
        <v>1385.731</v>
      </c>
      <c r="I38" s="9">
        <v>230.95516666666666</v>
      </c>
      <c r="J38" s="9">
        <f t="shared" si="0"/>
        <v>1616.6861666666666</v>
      </c>
      <c r="K38" s="9">
        <v>0</v>
      </c>
      <c r="L38" s="9">
        <f t="shared" si="1"/>
        <v>0</v>
      </c>
      <c r="M38">
        <v>0</v>
      </c>
      <c r="N38" s="4">
        <f t="shared" si="2"/>
        <v>0</v>
      </c>
      <c r="O38" s="9">
        <v>894.02</v>
      </c>
      <c r="P38" s="9">
        <v>491.71100000000001</v>
      </c>
      <c r="Q38" s="9">
        <v>0</v>
      </c>
      <c r="R38" s="9">
        <v>0</v>
      </c>
      <c r="S38" s="9">
        <v>0</v>
      </c>
      <c r="T38" s="9">
        <v>0</v>
      </c>
      <c r="U38" s="9">
        <v>0</v>
      </c>
      <c r="V38" s="9">
        <v>0</v>
      </c>
      <c r="W38" s="9">
        <f t="shared" si="3"/>
        <v>1385.731</v>
      </c>
      <c r="X38" s="9">
        <v>0</v>
      </c>
      <c r="Y38" s="9">
        <v>0</v>
      </c>
      <c r="Z38" s="9">
        <v>0</v>
      </c>
      <c r="AA38" s="9">
        <v>0</v>
      </c>
      <c r="AB38" s="9">
        <f t="shared" si="4"/>
        <v>0</v>
      </c>
      <c r="AC38" s="9">
        <v>0</v>
      </c>
      <c r="AD38" s="9">
        <v>0</v>
      </c>
      <c r="AE38" s="9">
        <v>1385.731</v>
      </c>
      <c r="AF38" s="9">
        <v>0</v>
      </c>
      <c r="AG38" s="9">
        <v>0</v>
      </c>
      <c r="AH38" s="9">
        <v>0</v>
      </c>
      <c r="AI38" s="9">
        <v>0</v>
      </c>
      <c r="AJ38" s="9">
        <v>0</v>
      </c>
      <c r="AK38" s="9">
        <v>0</v>
      </c>
      <c r="AL38" s="9">
        <v>0</v>
      </c>
      <c r="AM38" s="9">
        <v>0</v>
      </c>
      <c r="AN38" s="9">
        <v>0</v>
      </c>
      <c r="AO38" s="9">
        <v>0</v>
      </c>
      <c r="AP38" s="9">
        <v>0</v>
      </c>
      <c r="AQ38" s="25">
        <v>0</v>
      </c>
      <c r="AR38" s="9">
        <f t="shared" si="5"/>
        <v>0</v>
      </c>
      <c r="AS38" s="25">
        <v>0</v>
      </c>
      <c r="AT38" s="9">
        <f t="shared" si="6"/>
        <v>0</v>
      </c>
      <c r="AU38" s="9">
        <v>0</v>
      </c>
      <c r="AV38" s="25">
        <v>0</v>
      </c>
      <c r="AW38" s="9">
        <f t="shared" si="7"/>
        <v>0</v>
      </c>
      <c r="AX38" s="25">
        <v>0</v>
      </c>
      <c r="AY38" s="9">
        <f t="shared" si="8"/>
        <v>0</v>
      </c>
      <c r="AZ38" s="9">
        <v>0</v>
      </c>
      <c r="BA38" s="25">
        <v>0</v>
      </c>
      <c r="BB38" s="9">
        <f t="shared" si="9"/>
        <v>0</v>
      </c>
      <c r="BC38" s="25">
        <v>0</v>
      </c>
      <c r="BD38" s="9">
        <f t="shared" si="10"/>
        <v>0</v>
      </c>
      <c r="BE38" s="9">
        <v>0</v>
      </c>
      <c r="BF38" s="9">
        <v>0</v>
      </c>
      <c r="BG38" s="9">
        <f t="shared" si="11"/>
        <v>0</v>
      </c>
      <c r="BH38" s="9">
        <v>0</v>
      </c>
      <c r="BI38" s="9">
        <f t="shared" si="12"/>
        <v>0</v>
      </c>
      <c r="BJ38" s="9">
        <v>0</v>
      </c>
      <c r="BK38" s="9">
        <v>0</v>
      </c>
      <c r="BL38" s="9">
        <f t="shared" si="13"/>
        <v>0</v>
      </c>
      <c r="BM38" s="9">
        <v>0</v>
      </c>
      <c r="BN38" s="9">
        <f t="shared" si="14"/>
        <v>0</v>
      </c>
      <c r="BO38" s="9">
        <v>0</v>
      </c>
      <c r="BP38" s="9">
        <v>0</v>
      </c>
      <c r="BQ38" s="9">
        <f t="shared" si="15"/>
        <v>0</v>
      </c>
      <c r="BR38" s="9">
        <v>0</v>
      </c>
      <c r="BS38" s="9">
        <f t="shared" si="16"/>
        <v>0</v>
      </c>
      <c r="BT38" s="9">
        <f t="shared" si="17"/>
        <v>0</v>
      </c>
      <c r="BU38" s="9">
        <f t="shared" si="18"/>
        <v>0</v>
      </c>
      <c r="BV38" s="9">
        <f t="shared" si="19"/>
        <v>0</v>
      </c>
      <c r="BW38">
        <f t="shared" si="20"/>
        <v>0</v>
      </c>
      <c r="BX38">
        <v>0</v>
      </c>
      <c r="BY38">
        <f t="shared" si="21"/>
        <v>0</v>
      </c>
      <c r="BZ38">
        <v>90.321125328000008</v>
      </c>
      <c r="CA38">
        <f t="shared" si="22"/>
        <v>1295.4098746719999</v>
      </c>
      <c r="CB38">
        <f t="shared" si="23"/>
        <v>1385.731</v>
      </c>
      <c r="CC38">
        <v>0</v>
      </c>
      <c r="CD38">
        <v>0</v>
      </c>
      <c r="CE38">
        <f t="shared" si="24"/>
        <v>0</v>
      </c>
      <c r="CF38">
        <f t="shared" si="25"/>
        <v>1385.731</v>
      </c>
      <c r="CG38">
        <f t="shared" si="26"/>
        <v>1295.4098746719999</v>
      </c>
      <c r="CH38">
        <f t="shared" si="27"/>
        <v>0</v>
      </c>
      <c r="CJ38" t="s">
        <v>278</v>
      </c>
      <c r="CL38" t="str">
        <f t="shared" si="28"/>
        <v/>
      </c>
    </row>
    <row r="39" spans="1:90" x14ac:dyDescent="0.25">
      <c r="A39" t="s">
        <v>98</v>
      </c>
      <c r="B39" t="s">
        <v>183</v>
      </c>
      <c r="C39" s="1">
        <v>46204</v>
      </c>
      <c r="D39" t="s">
        <v>174</v>
      </c>
      <c r="E39" t="s">
        <v>175</v>
      </c>
      <c r="F39" s="4">
        <v>1</v>
      </c>
      <c r="G39" s="4">
        <v>0.55000000000000004</v>
      </c>
      <c r="H39" s="9">
        <v>1385.731</v>
      </c>
      <c r="I39" s="9">
        <v>230.95516666666666</v>
      </c>
      <c r="J39" s="9">
        <f t="shared" si="0"/>
        <v>1616.6861666666666</v>
      </c>
      <c r="K39" s="9">
        <v>0</v>
      </c>
      <c r="L39" s="9">
        <f t="shared" si="1"/>
        <v>0</v>
      </c>
      <c r="M39">
        <v>0</v>
      </c>
      <c r="N39" s="4">
        <f t="shared" si="2"/>
        <v>0</v>
      </c>
      <c r="O39" s="9">
        <v>894.02</v>
      </c>
      <c r="P39" s="9">
        <v>491.71100000000001</v>
      </c>
      <c r="Q39" s="9">
        <v>0</v>
      </c>
      <c r="R39" s="9">
        <v>0</v>
      </c>
      <c r="S39" s="9">
        <v>0</v>
      </c>
      <c r="T39" s="9">
        <v>0</v>
      </c>
      <c r="U39" s="9">
        <v>0</v>
      </c>
      <c r="V39" s="9">
        <v>0</v>
      </c>
      <c r="W39" s="9">
        <f t="shared" si="3"/>
        <v>1385.731</v>
      </c>
      <c r="X39" s="9">
        <v>230.95516666666666</v>
      </c>
      <c r="Y39" s="9">
        <v>0</v>
      </c>
      <c r="Z39" s="9">
        <v>1616.6861666666666</v>
      </c>
      <c r="AA39" s="9">
        <v>0</v>
      </c>
      <c r="AB39" s="9">
        <f t="shared" si="4"/>
        <v>1616.6861666666666</v>
      </c>
      <c r="AC39" s="9">
        <v>1616.6861666666666</v>
      </c>
      <c r="AD39" s="9">
        <v>0</v>
      </c>
      <c r="AE39" s="9">
        <v>1385.731</v>
      </c>
      <c r="AF39" s="9">
        <v>75.984249833333337</v>
      </c>
      <c r="AG39" s="9">
        <v>370.06572183000003</v>
      </c>
      <c r="AH39" s="9">
        <v>25.058635583333331</v>
      </c>
      <c r="AI39" s="9">
        <v>86.244130087500011</v>
      </c>
      <c r="AJ39" s="9">
        <v>3.1361501850000004</v>
      </c>
      <c r="AK39" s="9">
        <v>1.6166861666666668</v>
      </c>
      <c r="AL39" s="9">
        <v>9.4084505550000017</v>
      </c>
      <c r="AM39" s="9">
        <v>2.4250292500000001</v>
      </c>
      <c r="AN39" s="9">
        <v>11.76056319375</v>
      </c>
      <c r="AO39" s="9">
        <v>23.521126387500001</v>
      </c>
      <c r="AP39" s="9">
        <v>0</v>
      </c>
      <c r="AQ39" s="25">
        <v>0</v>
      </c>
      <c r="AR39" s="9">
        <f t="shared" si="5"/>
        <v>0</v>
      </c>
      <c r="AS39" s="25">
        <v>0</v>
      </c>
      <c r="AT39" s="9">
        <f t="shared" si="6"/>
        <v>0</v>
      </c>
      <c r="AU39" s="9">
        <v>0</v>
      </c>
      <c r="AV39" s="25">
        <v>0</v>
      </c>
      <c r="AW39" s="9">
        <f t="shared" si="7"/>
        <v>0</v>
      </c>
      <c r="AX39" s="25">
        <v>0</v>
      </c>
      <c r="AY39" s="9">
        <f t="shared" si="8"/>
        <v>0</v>
      </c>
      <c r="AZ39" s="9">
        <v>0</v>
      </c>
      <c r="BA39" s="25">
        <v>0</v>
      </c>
      <c r="BB39" s="9">
        <f t="shared" si="9"/>
        <v>0</v>
      </c>
      <c r="BC39" s="25">
        <v>0</v>
      </c>
      <c r="BD39" s="9">
        <f t="shared" si="10"/>
        <v>0</v>
      </c>
      <c r="BE39" s="9">
        <v>0</v>
      </c>
      <c r="BF39" s="9">
        <v>0</v>
      </c>
      <c r="BG39" s="9">
        <f t="shared" si="11"/>
        <v>0</v>
      </c>
      <c r="BH39" s="9">
        <v>0</v>
      </c>
      <c r="BI39" s="9">
        <f t="shared" si="12"/>
        <v>0</v>
      </c>
      <c r="BJ39" s="9">
        <v>0</v>
      </c>
      <c r="BK39" s="9">
        <v>0</v>
      </c>
      <c r="BL39" s="9">
        <f t="shared" si="13"/>
        <v>0</v>
      </c>
      <c r="BM39" s="9">
        <v>0</v>
      </c>
      <c r="BN39" s="9">
        <f t="shared" si="14"/>
        <v>0</v>
      </c>
      <c r="BO39" s="9">
        <v>0</v>
      </c>
      <c r="BP39" s="9">
        <v>0</v>
      </c>
      <c r="BQ39" s="9">
        <f t="shared" si="15"/>
        <v>0</v>
      </c>
      <c r="BR39" s="9">
        <v>0</v>
      </c>
      <c r="BS39" s="9">
        <f t="shared" si="16"/>
        <v>0</v>
      </c>
      <c r="BT39" s="9">
        <f t="shared" si="17"/>
        <v>0</v>
      </c>
      <c r="BU39" s="9">
        <f t="shared" si="18"/>
        <v>0</v>
      </c>
      <c r="BV39" s="9">
        <f t="shared" si="19"/>
        <v>105.08460083333333</v>
      </c>
      <c r="BW39">
        <f t="shared" si="20"/>
        <v>105.08460083333333</v>
      </c>
      <c r="BX39">
        <v>0</v>
      </c>
      <c r="BY39">
        <f t="shared" si="21"/>
        <v>504.13614223875004</v>
      </c>
      <c r="BZ39">
        <v>90.321125328000008</v>
      </c>
      <c r="CA39">
        <f t="shared" si="22"/>
        <v>1190.3252738386666</v>
      </c>
      <c r="CB39">
        <f t="shared" si="23"/>
        <v>1889.8671422387501</v>
      </c>
      <c r="CC39">
        <v>0</v>
      </c>
      <c r="CD39">
        <v>0</v>
      </c>
      <c r="CE39">
        <f t="shared" si="24"/>
        <v>0</v>
      </c>
      <c r="CF39">
        <f t="shared" si="25"/>
        <v>1385.731</v>
      </c>
      <c r="CG39">
        <f t="shared" si="26"/>
        <v>1190.3252738386666</v>
      </c>
      <c r="CH39">
        <f t="shared" si="27"/>
        <v>0</v>
      </c>
      <c r="CJ39" t="s">
        <v>278</v>
      </c>
      <c r="CL39" t="str">
        <f t="shared" si="28"/>
        <v/>
      </c>
    </row>
    <row r="40" spans="1:90" x14ac:dyDescent="0.25">
      <c r="A40" t="s">
        <v>98</v>
      </c>
      <c r="B40" t="s">
        <v>184</v>
      </c>
      <c r="C40" s="1">
        <v>46235</v>
      </c>
      <c r="D40" t="s">
        <v>174</v>
      </c>
      <c r="E40" t="s">
        <v>175</v>
      </c>
      <c r="F40" s="4">
        <v>1</v>
      </c>
      <c r="G40" s="4">
        <v>0.55000000000000004</v>
      </c>
      <c r="H40" s="9">
        <v>1385.731</v>
      </c>
      <c r="I40" s="9">
        <v>230.95516666666666</v>
      </c>
      <c r="J40" s="9">
        <f t="shared" si="0"/>
        <v>1616.6861666666666</v>
      </c>
      <c r="K40" s="9">
        <v>0</v>
      </c>
      <c r="L40" s="9">
        <f t="shared" si="1"/>
        <v>0</v>
      </c>
      <c r="M40">
        <v>0</v>
      </c>
      <c r="N40" s="4">
        <f t="shared" si="2"/>
        <v>0</v>
      </c>
      <c r="O40" s="9">
        <v>894.02</v>
      </c>
      <c r="P40" s="9">
        <v>491.71100000000001</v>
      </c>
      <c r="Q40" s="9">
        <v>0</v>
      </c>
      <c r="R40" s="9">
        <v>0</v>
      </c>
      <c r="S40" s="9">
        <v>0</v>
      </c>
      <c r="T40" s="9">
        <v>0</v>
      </c>
      <c r="U40" s="9">
        <v>0</v>
      </c>
      <c r="V40" s="9">
        <v>0</v>
      </c>
      <c r="W40" s="9">
        <f t="shared" si="3"/>
        <v>1385.731</v>
      </c>
      <c r="X40" s="9">
        <v>230.95516666666666</v>
      </c>
      <c r="Y40" s="9">
        <v>0</v>
      </c>
      <c r="Z40" s="9">
        <v>1616.6861666666666</v>
      </c>
      <c r="AA40" s="9">
        <v>0</v>
      </c>
      <c r="AB40" s="9">
        <f t="shared" si="4"/>
        <v>1616.6861666666666</v>
      </c>
      <c r="AC40" s="9">
        <v>1616.6861666666666</v>
      </c>
      <c r="AD40" s="9">
        <v>0</v>
      </c>
      <c r="AE40" s="9">
        <v>1385.731</v>
      </c>
      <c r="AF40" s="9">
        <v>75.984249833333337</v>
      </c>
      <c r="AG40" s="9">
        <v>370.06572183000003</v>
      </c>
      <c r="AH40" s="9">
        <v>25.058635583333331</v>
      </c>
      <c r="AI40" s="9">
        <v>86.244130087500011</v>
      </c>
      <c r="AJ40" s="9">
        <v>3.1361501850000004</v>
      </c>
      <c r="AK40" s="9">
        <v>1.6166861666666668</v>
      </c>
      <c r="AL40" s="9">
        <v>9.4084505550000017</v>
      </c>
      <c r="AM40" s="9">
        <v>2.4250292500000001</v>
      </c>
      <c r="AN40" s="9">
        <v>11.76056319375</v>
      </c>
      <c r="AO40" s="9">
        <v>23.521126387500001</v>
      </c>
      <c r="AP40" s="9">
        <v>0</v>
      </c>
      <c r="AQ40" s="25">
        <v>0</v>
      </c>
      <c r="AR40" s="9">
        <f t="shared" si="5"/>
        <v>0</v>
      </c>
      <c r="AS40" s="25">
        <v>0</v>
      </c>
      <c r="AT40" s="9">
        <f t="shared" si="6"/>
        <v>0</v>
      </c>
      <c r="AU40" s="9">
        <v>0</v>
      </c>
      <c r="AV40" s="25">
        <v>0</v>
      </c>
      <c r="AW40" s="9">
        <f t="shared" si="7"/>
        <v>0</v>
      </c>
      <c r="AX40" s="25">
        <v>0</v>
      </c>
      <c r="AY40" s="9">
        <f t="shared" si="8"/>
        <v>0</v>
      </c>
      <c r="AZ40" s="9">
        <v>0</v>
      </c>
      <c r="BA40" s="25">
        <v>0</v>
      </c>
      <c r="BB40" s="9">
        <f t="shared" si="9"/>
        <v>0</v>
      </c>
      <c r="BC40" s="25">
        <v>0</v>
      </c>
      <c r="BD40" s="9">
        <f t="shared" si="10"/>
        <v>0</v>
      </c>
      <c r="BE40" s="9">
        <v>0</v>
      </c>
      <c r="BF40" s="9">
        <v>0</v>
      </c>
      <c r="BG40" s="9">
        <f t="shared" si="11"/>
        <v>0</v>
      </c>
      <c r="BH40" s="9">
        <v>0</v>
      </c>
      <c r="BI40" s="9">
        <f t="shared" si="12"/>
        <v>0</v>
      </c>
      <c r="BJ40" s="9">
        <v>0</v>
      </c>
      <c r="BK40" s="9">
        <v>0</v>
      </c>
      <c r="BL40" s="9">
        <f t="shared" si="13"/>
        <v>0</v>
      </c>
      <c r="BM40" s="9">
        <v>0</v>
      </c>
      <c r="BN40" s="9">
        <f t="shared" si="14"/>
        <v>0</v>
      </c>
      <c r="BO40" s="9">
        <v>0</v>
      </c>
      <c r="BP40" s="9">
        <v>0</v>
      </c>
      <c r="BQ40" s="9">
        <f t="shared" si="15"/>
        <v>0</v>
      </c>
      <c r="BR40" s="9">
        <v>0</v>
      </c>
      <c r="BS40" s="9">
        <f t="shared" si="16"/>
        <v>0</v>
      </c>
      <c r="BT40" s="9">
        <f t="shared" si="17"/>
        <v>0</v>
      </c>
      <c r="BU40" s="9">
        <f t="shared" si="18"/>
        <v>0</v>
      </c>
      <c r="BV40" s="9">
        <f t="shared" si="19"/>
        <v>105.08460083333333</v>
      </c>
      <c r="BW40">
        <f t="shared" si="20"/>
        <v>105.08460083333333</v>
      </c>
      <c r="BX40">
        <v>0</v>
      </c>
      <c r="BY40">
        <f t="shared" si="21"/>
        <v>504.13614223875004</v>
      </c>
      <c r="BZ40">
        <v>90.321125328000008</v>
      </c>
      <c r="CA40">
        <f t="shared" si="22"/>
        <v>1190.3252738386666</v>
      </c>
      <c r="CB40">
        <f t="shared" si="23"/>
        <v>1889.8671422387501</v>
      </c>
      <c r="CC40">
        <v>0</v>
      </c>
      <c r="CD40">
        <v>0</v>
      </c>
      <c r="CE40">
        <f t="shared" si="24"/>
        <v>0</v>
      </c>
      <c r="CF40">
        <f t="shared" si="25"/>
        <v>1385.731</v>
      </c>
      <c r="CG40">
        <f t="shared" si="26"/>
        <v>1190.3252738386666</v>
      </c>
      <c r="CH40">
        <f t="shared" si="27"/>
        <v>0</v>
      </c>
      <c r="CJ40" t="s">
        <v>278</v>
      </c>
      <c r="CL40" t="str">
        <f t="shared" si="28"/>
        <v/>
      </c>
    </row>
    <row r="41" spans="1:90" x14ac:dyDescent="0.25">
      <c r="A41" t="s">
        <v>98</v>
      </c>
      <c r="B41" t="s">
        <v>185</v>
      </c>
      <c r="C41" s="1">
        <v>46266</v>
      </c>
      <c r="D41" t="s">
        <v>174</v>
      </c>
      <c r="E41" t="s">
        <v>175</v>
      </c>
      <c r="F41" s="4">
        <v>1</v>
      </c>
      <c r="G41" s="4">
        <v>0.55000000000000004</v>
      </c>
      <c r="H41" s="9">
        <v>1385.731</v>
      </c>
      <c r="I41" s="9">
        <v>230.95516666666666</v>
      </c>
      <c r="J41" s="9">
        <f t="shared" si="0"/>
        <v>1616.6861666666666</v>
      </c>
      <c r="K41" s="9">
        <v>0</v>
      </c>
      <c r="L41" s="9">
        <f t="shared" si="1"/>
        <v>0</v>
      </c>
      <c r="M41">
        <v>0</v>
      </c>
      <c r="N41" s="4">
        <f t="shared" si="2"/>
        <v>0</v>
      </c>
      <c r="O41" s="9">
        <v>894.02</v>
      </c>
      <c r="P41" s="9">
        <v>491.71100000000001</v>
      </c>
      <c r="Q41" s="9">
        <v>0</v>
      </c>
      <c r="R41" s="9">
        <v>0</v>
      </c>
      <c r="S41" s="9">
        <v>0</v>
      </c>
      <c r="T41" s="9">
        <v>0</v>
      </c>
      <c r="U41" s="9">
        <v>0</v>
      </c>
      <c r="V41" s="9">
        <v>0</v>
      </c>
      <c r="W41" s="9">
        <f t="shared" si="3"/>
        <v>1385.731</v>
      </c>
      <c r="X41" s="9">
        <v>230.95516666666666</v>
      </c>
      <c r="Y41" s="9">
        <v>0</v>
      </c>
      <c r="Z41" s="9">
        <v>1616.6861666666666</v>
      </c>
      <c r="AA41" s="9">
        <v>0</v>
      </c>
      <c r="AB41" s="9">
        <f t="shared" si="4"/>
        <v>1616.6861666666666</v>
      </c>
      <c r="AC41" s="9">
        <v>1616.6861666666666</v>
      </c>
      <c r="AD41" s="9">
        <v>0</v>
      </c>
      <c r="AE41" s="9">
        <v>1385.731</v>
      </c>
      <c r="AF41" s="9">
        <v>75.984249833333337</v>
      </c>
      <c r="AG41" s="9">
        <v>370.06572183000003</v>
      </c>
      <c r="AH41" s="9">
        <v>25.058635583333331</v>
      </c>
      <c r="AI41" s="9">
        <v>86.244130087500011</v>
      </c>
      <c r="AJ41" s="9">
        <v>3.1361501850000004</v>
      </c>
      <c r="AK41" s="9">
        <v>1.6166861666666668</v>
      </c>
      <c r="AL41" s="9">
        <v>9.4084505550000017</v>
      </c>
      <c r="AM41" s="9">
        <v>2.4250292500000001</v>
      </c>
      <c r="AN41" s="9">
        <v>11.76056319375</v>
      </c>
      <c r="AO41" s="9">
        <v>23.521126387500001</v>
      </c>
      <c r="AP41" s="9">
        <v>0</v>
      </c>
      <c r="AQ41" s="25">
        <v>0</v>
      </c>
      <c r="AR41" s="9">
        <f t="shared" si="5"/>
        <v>0</v>
      </c>
      <c r="AS41" s="25">
        <v>0</v>
      </c>
      <c r="AT41" s="9">
        <f t="shared" si="6"/>
        <v>0</v>
      </c>
      <c r="AU41" s="9">
        <v>0</v>
      </c>
      <c r="AV41" s="25">
        <v>0</v>
      </c>
      <c r="AW41" s="9">
        <f t="shared" si="7"/>
        <v>0</v>
      </c>
      <c r="AX41" s="25">
        <v>0</v>
      </c>
      <c r="AY41" s="9">
        <f t="shared" si="8"/>
        <v>0</v>
      </c>
      <c r="AZ41" s="9">
        <v>0</v>
      </c>
      <c r="BA41" s="25">
        <v>0</v>
      </c>
      <c r="BB41" s="9">
        <f t="shared" si="9"/>
        <v>0</v>
      </c>
      <c r="BC41" s="25">
        <v>0</v>
      </c>
      <c r="BD41" s="9">
        <f t="shared" si="10"/>
        <v>0</v>
      </c>
      <c r="BE41" s="9">
        <v>0</v>
      </c>
      <c r="BF41" s="9">
        <v>0</v>
      </c>
      <c r="BG41" s="9">
        <f t="shared" si="11"/>
        <v>0</v>
      </c>
      <c r="BH41" s="9">
        <v>0</v>
      </c>
      <c r="BI41" s="9">
        <f t="shared" si="12"/>
        <v>0</v>
      </c>
      <c r="BJ41" s="9">
        <v>0</v>
      </c>
      <c r="BK41" s="9">
        <v>0</v>
      </c>
      <c r="BL41" s="9">
        <f t="shared" si="13"/>
        <v>0</v>
      </c>
      <c r="BM41" s="9">
        <v>0</v>
      </c>
      <c r="BN41" s="9">
        <f t="shared" si="14"/>
        <v>0</v>
      </c>
      <c r="BO41" s="9">
        <v>0</v>
      </c>
      <c r="BP41" s="9">
        <v>0</v>
      </c>
      <c r="BQ41" s="9">
        <f t="shared" si="15"/>
        <v>0</v>
      </c>
      <c r="BR41" s="9">
        <v>0</v>
      </c>
      <c r="BS41" s="9">
        <f t="shared" si="16"/>
        <v>0</v>
      </c>
      <c r="BT41" s="9">
        <f t="shared" si="17"/>
        <v>0</v>
      </c>
      <c r="BU41" s="9">
        <f t="shared" si="18"/>
        <v>0</v>
      </c>
      <c r="BV41" s="9">
        <f t="shared" si="19"/>
        <v>105.08460083333333</v>
      </c>
      <c r="BW41">
        <f t="shared" si="20"/>
        <v>105.08460083333333</v>
      </c>
      <c r="BX41">
        <v>0</v>
      </c>
      <c r="BY41">
        <f t="shared" si="21"/>
        <v>504.13614223875004</v>
      </c>
      <c r="BZ41">
        <v>90.321125328000008</v>
      </c>
      <c r="CA41">
        <f t="shared" si="22"/>
        <v>1190.3252738386666</v>
      </c>
      <c r="CB41">
        <f t="shared" si="23"/>
        <v>1889.8671422387501</v>
      </c>
      <c r="CC41">
        <v>0</v>
      </c>
      <c r="CD41">
        <v>0</v>
      </c>
      <c r="CE41">
        <f t="shared" si="24"/>
        <v>0</v>
      </c>
      <c r="CF41">
        <f t="shared" si="25"/>
        <v>1385.731</v>
      </c>
      <c r="CG41">
        <f t="shared" si="26"/>
        <v>1190.3252738386666</v>
      </c>
      <c r="CH41">
        <f t="shared" si="27"/>
        <v>0</v>
      </c>
      <c r="CJ41" t="s">
        <v>278</v>
      </c>
      <c r="CL41" t="str">
        <f t="shared" si="28"/>
        <v/>
      </c>
    </row>
    <row r="42" spans="1:90" x14ac:dyDescent="0.25">
      <c r="A42" t="s">
        <v>98</v>
      </c>
      <c r="B42" t="s">
        <v>186</v>
      </c>
      <c r="C42" s="1">
        <v>46296</v>
      </c>
      <c r="D42" t="s">
        <v>174</v>
      </c>
      <c r="E42" t="s">
        <v>175</v>
      </c>
      <c r="F42" s="4">
        <v>1</v>
      </c>
      <c r="G42" s="4">
        <v>0.55000000000000004</v>
      </c>
      <c r="H42" s="9">
        <v>1385.731</v>
      </c>
      <c r="I42" s="9">
        <v>230.95516666666666</v>
      </c>
      <c r="J42" s="9">
        <f t="shared" si="0"/>
        <v>1616.6861666666666</v>
      </c>
      <c r="K42" s="9">
        <v>0</v>
      </c>
      <c r="L42" s="9">
        <f t="shared" si="1"/>
        <v>0</v>
      </c>
      <c r="M42">
        <v>0</v>
      </c>
      <c r="N42" s="4">
        <f t="shared" si="2"/>
        <v>0</v>
      </c>
      <c r="O42" s="9">
        <v>894.02</v>
      </c>
      <c r="P42" s="9">
        <v>491.71100000000001</v>
      </c>
      <c r="Q42" s="9">
        <v>0</v>
      </c>
      <c r="R42" s="9">
        <v>0</v>
      </c>
      <c r="S42" s="9">
        <v>0</v>
      </c>
      <c r="T42" s="9">
        <v>0</v>
      </c>
      <c r="U42" s="9">
        <v>0</v>
      </c>
      <c r="V42" s="9">
        <v>0</v>
      </c>
      <c r="W42" s="9">
        <f t="shared" si="3"/>
        <v>1385.731</v>
      </c>
      <c r="X42" s="9">
        <v>230.95516666666666</v>
      </c>
      <c r="Y42" s="9">
        <v>0</v>
      </c>
      <c r="Z42" s="9">
        <v>1616.6861666666666</v>
      </c>
      <c r="AA42" s="9">
        <v>0</v>
      </c>
      <c r="AB42" s="9">
        <f t="shared" si="4"/>
        <v>1616.6861666666666</v>
      </c>
      <c r="AC42" s="9">
        <v>1616.6861666666666</v>
      </c>
      <c r="AD42" s="9">
        <v>0</v>
      </c>
      <c r="AE42" s="9">
        <v>1385.731</v>
      </c>
      <c r="AF42" s="9">
        <v>75.984249833333337</v>
      </c>
      <c r="AG42" s="9">
        <v>370.06572183000003</v>
      </c>
      <c r="AH42" s="9">
        <v>25.058635583333331</v>
      </c>
      <c r="AI42" s="9">
        <v>86.244130087500011</v>
      </c>
      <c r="AJ42" s="9">
        <v>3.1361501850000004</v>
      </c>
      <c r="AK42" s="9">
        <v>1.6166861666666668</v>
      </c>
      <c r="AL42" s="9">
        <v>9.4084505550000017</v>
      </c>
      <c r="AM42" s="9">
        <v>2.4250292500000001</v>
      </c>
      <c r="AN42" s="9">
        <v>11.76056319375</v>
      </c>
      <c r="AO42" s="9">
        <v>23.521126387500001</v>
      </c>
      <c r="AP42" s="9">
        <v>0</v>
      </c>
      <c r="AQ42" s="25">
        <v>0</v>
      </c>
      <c r="AR42" s="9">
        <f t="shared" si="5"/>
        <v>0</v>
      </c>
      <c r="AS42" s="25">
        <v>0</v>
      </c>
      <c r="AT42" s="9">
        <f t="shared" si="6"/>
        <v>0</v>
      </c>
      <c r="AU42" s="9">
        <v>0</v>
      </c>
      <c r="AV42" s="25">
        <v>0</v>
      </c>
      <c r="AW42" s="9">
        <f t="shared" si="7"/>
        <v>0</v>
      </c>
      <c r="AX42" s="25">
        <v>0</v>
      </c>
      <c r="AY42" s="9">
        <f t="shared" si="8"/>
        <v>0</v>
      </c>
      <c r="AZ42" s="9">
        <v>0</v>
      </c>
      <c r="BA42" s="25">
        <v>0</v>
      </c>
      <c r="BB42" s="9">
        <f t="shared" si="9"/>
        <v>0</v>
      </c>
      <c r="BC42" s="25">
        <v>0</v>
      </c>
      <c r="BD42" s="9">
        <f t="shared" si="10"/>
        <v>0</v>
      </c>
      <c r="BE42" s="9">
        <v>0</v>
      </c>
      <c r="BF42" s="9">
        <v>0</v>
      </c>
      <c r="BG42" s="9">
        <f t="shared" si="11"/>
        <v>0</v>
      </c>
      <c r="BH42" s="9">
        <v>0</v>
      </c>
      <c r="BI42" s="9">
        <f t="shared" si="12"/>
        <v>0</v>
      </c>
      <c r="BJ42" s="9">
        <v>0</v>
      </c>
      <c r="BK42" s="9">
        <v>0</v>
      </c>
      <c r="BL42" s="9">
        <f t="shared" si="13"/>
        <v>0</v>
      </c>
      <c r="BM42" s="9">
        <v>0</v>
      </c>
      <c r="BN42" s="9">
        <f t="shared" si="14"/>
        <v>0</v>
      </c>
      <c r="BO42" s="9">
        <v>0</v>
      </c>
      <c r="BP42" s="9">
        <v>0</v>
      </c>
      <c r="BQ42" s="9">
        <f t="shared" si="15"/>
        <v>0</v>
      </c>
      <c r="BR42" s="9">
        <v>0</v>
      </c>
      <c r="BS42" s="9">
        <f t="shared" si="16"/>
        <v>0</v>
      </c>
      <c r="BT42" s="9">
        <f t="shared" si="17"/>
        <v>0</v>
      </c>
      <c r="BU42" s="9">
        <f t="shared" si="18"/>
        <v>0</v>
      </c>
      <c r="BV42" s="9">
        <f t="shared" si="19"/>
        <v>105.08460083333333</v>
      </c>
      <c r="BW42">
        <f t="shared" si="20"/>
        <v>105.08460083333333</v>
      </c>
      <c r="BX42">
        <v>0</v>
      </c>
      <c r="BY42">
        <f t="shared" si="21"/>
        <v>504.13614223875004</v>
      </c>
      <c r="BZ42">
        <v>90.321125328000008</v>
      </c>
      <c r="CA42">
        <f t="shared" si="22"/>
        <v>1190.3252738386666</v>
      </c>
      <c r="CB42">
        <f t="shared" si="23"/>
        <v>1889.8671422387501</v>
      </c>
      <c r="CC42">
        <v>0</v>
      </c>
      <c r="CD42">
        <v>0</v>
      </c>
      <c r="CE42">
        <f t="shared" si="24"/>
        <v>0</v>
      </c>
      <c r="CF42">
        <f t="shared" si="25"/>
        <v>1385.731</v>
      </c>
      <c r="CG42">
        <f t="shared" si="26"/>
        <v>1190.3252738386666</v>
      </c>
      <c r="CH42">
        <f t="shared" si="27"/>
        <v>0</v>
      </c>
      <c r="CJ42" t="s">
        <v>278</v>
      </c>
      <c r="CL42" t="str">
        <f t="shared" si="28"/>
        <v/>
      </c>
    </row>
    <row r="43" spans="1:90" x14ac:dyDescent="0.25">
      <c r="A43" t="s">
        <v>98</v>
      </c>
      <c r="B43" t="s">
        <v>187</v>
      </c>
      <c r="C43" s="1">
        <v>46327</v>
      </c>
      <c r="D43" t="s">
        <v>174</v>
      </c>
      <c r="E43" t="s">
        <v>175</v>
      </c>
      <c r="F43" s="4">
        <v>1</v>
      </c>
      <c r="G43" s="4">
        <v>0.55000000000000004</v>
      </c>
      <c r="H43" s="9">
        <v>1385.731</v>
      </c>
      <c r="I43" s="9">
        <v>230.95516666666666</v>
      </c>
      <c r="J43" s="9">
        <f t="shared" si="0"/>
        <v>1616.6861666666666</v>
      </c>
      <c r="K43" s="9">
        <v>0</v>
      </c>
      <c r="L43" s="9">
        <f t="shared" si="1"/>
        <v>0</v>
      </c>
      <c r="M43">
        <v>0</v>
      </c>
      <c r="N43" s="4">
        <f t="shared" si="2"/>
        <v>0</v>
      </c>
      <c r="O43" s="9">
        <v>894.02</v>
      </c>
      <c r="P43" s="9">
        <v>491.71100000000001</v>
      </c>
      <c r="Q43" s="9">
        <v>0</v>
      </c>
      <c r="R43" s="9">
        <v>0</v>
      </c>
      <c r="S43" s="9">
        <v>0</v>
      </c>
      <c r="T43" s="9">
        <v>0</v>
      </c>
      <c r="U43" s="9">
        <v>0</v>
      </c>
      <c r="V43" s="9">
        <v>0</v>
      </c>
      <c r="W43" s="9">
        <f t="shared" si="3"/>
        <v>1385.731</v>
      </c>
      <c r="X43" s="9">
        <v>230.95516666666666</v>
      </c>
      <c r="Y43" s="9">
        <v>0</v>
      </c>
      <c r="Z43" s="9">
        <v>1616.6861666666666</v>
      </c>
      <c r="AA43" s="9">
        <v>0</v>
      </c>
      <c r="AB43" s="9">
        <f t="shared" si="4"/>
        <v>1616.6861666666666</v>
      </c>
      <c r="AC43" s="9">
        <v>1616.6861666666666</v>
      </c>
      <c r="AD43" s="9">
        <v>0</v>
      </c>
      <c r="AE43" s="9">
        <v>1385.731</v>
      </c>
      <c r="AF43" s="9">
        <v>75.984249833333337</v>
      </c>
      <c r="AG43" s="9">
        <v>370.06572183000003</v>
      </c>
      <c r="AH43" s="9">
        <v>25.058635583333331</v>
      </c>
      <c r="AI43" s="9">
        <v>86.244130087500011</v>
      </c>
      <c r="AJ43" s="9">
        <v>3.1361501850000004</v>
      </c>
      <c r="AK43" s="9">
        <v>1.6166861666666668</v>
      </c>
      <c r="AL43" s="9">
        <v>9.4084505550000017</v>
      </c>
      <c r="AM43" s="9">
        <v>2.4250292500000001</v>
      </c>
      <c r="AN43" s="9">
        <v>11.76056319375</v>
      </c>
      <c r="AO43" s="9">
        <v>23.521126387500001</v>
      </c>
      <c r="AP43" s="9">
        <v>0</v>
      </c>
      <c r="AQ43" s="25">
        <v>0</v>
      </c>
      <c r="AR43" s="9">
        <f t="shared" si="5"/>
        <v>0</v>
      </c>
      <c r="AS43" s="25">
        <v>0</v>
      </c>
      <c r="AT43" s="9">
        <f t="shared" si="6"/>
        <v>0</v>
      </c>
      <c r="AU43" s="9">
        <v>0</v>
      </c>
      <c r="AV43" s="25">
        <v>0</v>
      </c>
      <c r="AW43" s="9">
        <f t="shared" si="7"/>
        <v>0</v>
      </c>
      <c r="AX43" s="25">
        <v>0</v>
      </c>
      <c r="AY43" s="9">
        <f t="shared" si="8"/>
        <v>0</v>
      </c>
      <c r="AZ43" s="9">
        <v>0</v>
      </c>
      <c r="BA43" s="25">
        <v>0</v>
      </c>
      <c r="BB43" s="9">
        <f t="shared" si="9"/>
        <v>0</v>
      </c>
      <c r="BC43" s="25">
        <v>0</v>
      </c>
      <c r="BD43" s="9">
        <f t="shared" si="10"/>
        <v>0</v>
      </c>
      <c r="BE43" s="9">
        <v>0</v>
      </c>
      <c r="BF43" s="9">
        <v>0</v>
      </c>
      <c r="BG43" s="9">
        <f t="shared" si="11"/>
        <v>0</v>
      </c>
      <c r="BH43" s="9">
        <v>0</v>
      </c>
      <c r="BI43" s="9">
        <f t="shared" si="12"/>
        <v>0</v>
      </c>
      <c r="BJ43" s="9">
        <v>0</v>
      </c>
      <c r="BK43" s="9">
        <v>0</v>
      </c>
      <c r="BL43" s="9">
        <f t="shared" si="13"/>
        <v>0</v>
      </c>
      <c r="BM43" s="9">
        <v>0</v>
      </c>
      <c r="BN43" s="9">
        <f t="shared" si="14"/>
        <v>0</v>
      </c>
      <c r="BO43" s="9">
        <v>0</v>
      </c>
      <c r="BP43" s="9">
        <v>0</v>
      </c>
      <c r="BQ43" s="9">
        <f t="shared" si="15"/>
        <v>0</v>
      </c>
      <c r="BR43" s="9">
        <v>0</v>
      </c>
      <c r="BS43" s="9">
        <f t="shared" si="16"/>
        <v>0</v>
      </c>
      <c r="BT43" s="9">
        <f t="shared" si="17"/>
        <v>0</v>
      </c>
      <c r="BU43" s="9">
        <f t="shared" si="18"/>
        <v>0</v>
      </c>
      <c r="BV43" s="9">
        <f t="shared" si="19"/>
        <v>105.08460083333333</v>
      </c>
      <c r="BW43">
        <f t="shared" si="20"/>
        <v>105.08460083333333</v>
      </c>
      <c r="BX43">
        <v>0</v>
      </c>
      <c r="BY43">
        <f t="shared" si="21"/>
        <v>504.13614223875004</v>
      </c>
      <c r="BZ43">
        <v>90.321125328000008</v>
      </c>
      <c r="CA43">
        <f t="shared" si="22"/>
        <v>1190.3252738386666</v>
      </c>
      <c r="CB43">
        <f t="shared" si="23"/>
        <v>1889.8671422387501</v>
      </c>
      <c r="CC43">
        <v>0</v>
      </c>
      <c r="CD43">
        <v>0</v>
      </c>
      <c r="CE43">
        <f t="shared" si="24"/>
        <v>0</v>
      </c>
      <c r="CF43">
        <f t="shared" si="25"/>
        <v>1385.731</v>
      </c>
      <c r="CG43">
        <f t="shared" si="26"/>
        <v>1190.3252738386666</v>
      </c>
      <c r="CH43">
        <f t="shared" si="27"/>
        <v>0</v>
      </c>
      <c r="CJ43" t="s">
        <v>278</v>
      </c>
      <c r="CL43" t="str">
        <f t="shared" si="28"/>
        <v/>
      </c>
    </row>
    <row r="44" spans="1:90" x14ac:dyDescent="0.25">
      <c r="A44" t="s">
        <v>98</v>
      </c>
      <c r="B44" t="s">
        <v>188</v>
      </c>
      <c r="C44" s="1">
        <v>46357</v>
      </c>
      <c r="D44" t="s">
        <v>182</v>
      </c>
      <c r="E44" t="s">
        <v>175</v>
      </c>
      <c r="F44" s="4">
        <v>1</v>
      </c>
      <c r="G44" s="4">
        <v>0.55000000000000004</v>
      </c>
      <c r="H44" s="9">
        <v>1385.731</v>
      </c>
      <c r="I44" s="9">
        <v>230.95516666666666</v>
      </c>
      <c r="J44" s="9">
        <f t="shared" si="0"/>
        <v>1616.6861666666666</v>
      </c>
      <c r="K44" s="9">
        <v>0</v>
      </c>
      <c r="L44" s="9">
        <f t="shared" si="1"/>
        <v>0</v>
      </c>
      <c r="M44">
        <v>0</v>
      </c>
      <c r="N44" s="4">
        <f t="shared" si="2"/>
        <v>0</v>
      </c>
      <c r="O44" s="9">
        <v>894.02</v>
      </c>
      <c r="P44" s="9">
        <v>491.71100000000001</v>
      </c>
      <c r="Q44" s="9">
        <v>0</v>
      </c>
      <c r="R44" s="9">
        <v>0</v>
      </c>
      <c r="S44" s="9">
        <v>0</v>
      </c>
      <c r="T44" s="9">
        <v>0</v>
      </c>
      <c r="U44" s="9">
        <v>0</v>
      </c>
      <c r="V44" s="9">
        <v>0</v>
      </c>
      <c r="W44" s="9">
        <f t="shared" si="3"/>
        <v>1385.731</v>
      </c>
      <c r="X44" s="9">
        <v>0</v>
      </c>
      <c r="Y44" s="9">
        <v>0</v>
      </c>
      <c r="Z44" s="9">
        <v>0</v>
      </c>
      <c r="AA44" s="9">
        <v>0</v>
      </c>
      <c r="AB44" s="9">
        <f t="shared" si="4"/>
        <v>0</v>
      </c>
      <c r="AC44" s="9">
        <v>0</v>
      </c>
      <c r="AD44" s="9">
        <v>0</v>
      </c>
      <c r="AE44" s="9">
        <v>1385.731</v>
      </c>
      <c r="AF44" s="9">
        <v>0</v>
      </c>
      <c r="AG44" s="9">
        <v>0</v>
      </c>
      <c r="AH44" s="9">
        <v>0</v>
      </c>
      <c r="AI44" s="9">
        <v>0</v>
      </c>
      <c r="AJ44" s="9">
        <v>0</v>
      </c>
      <c r="AK44" s="9">
        <v>0</v>
      </c>
      <c r="AL44" s="9">
        <v>0</v>
      </c>
      <c r="AM44" s="9">
        <v>0</v>
      </c>
      <c r="AN44" s="9">
        <v>0</v>
      </c>
      <c r="AO44" s="9">
        <v>0</v>
      </c>
      <c r="AP44" s="9">
        <v>0</v>
      </c>
      <c r="AQ44" s="25">
        <v>0</v>
      </c>
      <c r="AR44" s="9">
        <f t="shared" si="5"/>
        <v>0</v>
      </c>
      <c r="AS44" s="25">
        <v>0</v>
      </c>
      <c r="AT44" s="9">
        <f t="shared" si="6"/>
        <v>0</v>
      </c>
      <c r="AU44" s="9">
        <v>0</v>
      </c>
      <c r="AV44" s="25">
        <v>0</v>
      </c>
      <c r="AW44" s="9">
        <f t="shared" si="7"/>
        <v>0</v>
      </c>
      <c r="AX44" s="25">
        <v>0</v>
      </c>
      <c r="AY44" s="9">
        <f t="shared" si="8"/>
        <v>0</v>
      </c>
      <c r="AZ44" s="9">
        <v>0</v>
      </c>
      <c r="BA44" s="25">
        <v>0</v>
      </c>
      <c r="BB44" s="9">
        <f t="shared" si="9"/>
        <v>0</v>
      </c>
      <c r="BC44" s="25">
        <v>0</v>
      </c>
      <c r="BD44" s="9">
        <f t="shared" si="10"/>
        <v>0</v>
      </c>
      <c r="BE44" s="9">
        <v>0</v>
      </c>
      <c r="BF44" s="9">
        <v>0</v>
      </c>
      <c r="BG44" s="9">
        <f t="shared" si="11"/>
        <v>0</v>
      </c>
      <c r="BH44" s="9">
        <v>0</v>
      </c>
      <c r="BI44" s="9">
        <f t="shared" si="12"/>
        <v>0</v>
      </c>
      <c r="BJ44" s="9">
        <v>0</v>
      </c>
      <c r="BK44" s="9">
        <v>0</v>
      </c>
      <c r="BL44" s="9">
        <f t="shared" si="13"/>
        <v>0</v>
      </c>
      <c r="BM44" s="9">
        <v>0</v>
      </c>
      <c r="BN44" s="9">
        <f t="shared" si="14"/>
        <v>0</v>
      </c>
      <c r="BO44" s="9">
        <v>0</v>
      </c>
      <c r="BP44" s="9">
        <v>0</v>
      </c>
      <c r="BQ44" s="9">
        <f t="shared" si="15"/>
        <v>0</v>
      </c>
      <c r="BR44" s="9">
        <v>0</v>
      </c>
      <c r="BS44" s="9">
        <f t="shared" si="16"/>
        <v>0</v>
      </c>
      <c r="BT44" s="9">
        <f t="shared" si="17"/>
        <v>0</v>
      </c>
      <c r="BU44" s="9">
        <f t="shared" si="18"/>
        <v>0</v>
      </c>
      <c r="BV44" s="9">
        <f t="shared" si="19"/>
        <v>0</v>
      </c>
      <c r="BW44">
        <f t="shared" si="20"/>
        <v>0</v>
      </c>
      <c r="BX44">
        <v>0</v>
      </c>
      <c r="BY44">
        <f t="shared" si="21"/>
        <v>0</v>
      </c>
      <c r="BZ44">
        <v>90.321125328000008</v>
      </c>
      <c r="CA44">
        <f t="shared" si="22"/>
        <v>1295.4098746719999</v>
      </c>
      <c r="CB44">
        <f t="shared" si="23"/>
        <v>1385.731</v>
      </c>
      <c r="CC44">
        <v>0</v>
      </c>
      <c r="CD44">
        <v>0</v>
      </c>
      <c r="CE44">
        <f t="shared" si="24"/>
        <v>0</v>
      </c>
      <c r="CF44">
        <f t="shared" si="25"/>
        <v>1385.731</v>
      </c>
      <c r="CG44">
        <f t="shared" si="26"/>
        <v>1295.4098746719999</v>
      </c>
      <c r="CH44">
        <f t="shared" si="27"/>
        <v>0</v>
      </c>
      <c r="CJ44" t="s">
        <v>278</v>
      </c>
      <c r="CL44" t="str">
        <f t="shared" si="28"/>
        <v/>
      </c>
    </row>
    <row r="45" spans="1:90" x14ac:dyDescent="0.25">
      <c r="A45" t="s">
        <v>98</v>
      </c>
      <c r="B45" t="s">
        <v>189</v>
      </c>
      <c r="C45" s="1">
        <v>46357</v>
      </c>
      <c r="D45" t="s">
        <v>174</v>
      </c>
      <c r="E45" t="s">
        <v>175</v>
      </c>
      <c r="F45" s="4">
        <v>1</v>
      </c>
      <c r="G45" s="4">
        <v>0.55000000000000004</v>
      </c>
      <c r="H45" s="9">
        <v>1385.731</v>
      </c>
      <c r="I45" s="9">
        <v>230.95516666666666</v>
      </c>
      <c r="J45" s="9">
        <f t="shared" si="0"/>
        <v>1616.6861666666666</v>
      </c>
      <c r="K45" s="9">
        <v>0</v>
      </c>
      <c r="L45" s="9">
        <f t="shared" si="1"/>
        <v>0</v>
      </c>
      <c r="M45">
        <v>0</v>
      </c>
      <c r="N45" s="4">
        <f t="shared" si="2"/>
        <v>0</v>
      </c>
      <c r="O45" s="9">
        <v>894.02</v>
      </c>
      <c r="P45" s="9">
        <v>491.71100000000001</v>
      </c>
      <c r="Q45" s="9">
        <v>0</v>
      </c>
      <c r="R45" s="9">
        <v>0</v>
      </c>
      <c r="S45" s="9">
        <v>0</v>
      </c>
      <c r="T45" s="9">
        <v>0</v>
      </c>
      <c r="U45" s="9">
        <v>0</v>
      </c>
      <c r="V45" s="9">
        <v>0</v>
      </c>
      <c r="W45" s="9">
        <f t="shared" si="3"/>
        <v>1385.731</v>
      </c>
      <c r="X45" s="9">
        <v>230.95516666666666</v>
      </c>
      <c r="Y45" s="9">
        <v>0</v>
      </c>
      <c r="Z45" s="9">
        <v>1616.6861666666666</v>
      </c>
      <c r="AA45" s="9">
        <v>0</v>
      </c>
      <c r="AB45" s="9">
        <f t="shared" si="4"/>
        <v>1616.6861666666666</v>
      </c>
      <c r="AC45" s="9">
        <v>1616.6861666666666</v>
      </c>
      <c r="AD45" s="9">
        <v>0</v>
      </c>
      <c r="AE45" s="9">
        <v>1385.731</v>
      </c>
      <c r="AF45" s="9">
        <v>75.984249833333337</v>
      </c>
      <c r="AG45" s="9">
        <v>370.06572183000003</v>
      </c>
      <c r="AH45" s="9">
        <v>25.058635583333331</v>
      </c>
      <c r="AI45" s="9">
        <v>86.244130087500011</v>
      </c>
      <c r="AJ45" s="9">
        <v>3.1361501850000004</v>
      </c>
      <c r="AK45" s="9">
        <v>1.6166861666666668</v>
      </c>
      <c r="AL45" s="9">
        <v>9.4084505550000017</v>
      </c>
      <c r="AM45" s="9">
        <v>2.4250292500000001</v>
      </c>
      <c r="AN45" s="9">
        <v>11.76056319375</v>
      </c>
      <c r="AO45" s="9">
        <v>23.521126387500001</v>
      </c>
      <c r="AP45" s="9">
        <v>0</v>
      </c>
      <c r="AQ45" s="25">
        <v>0</v>
      </c>
      <c r="AR45" s="9">
        <f t="shared" si="5"/>
        <v>0</v>
      </c>
      <c r="AS45" s="25">
        <v>0</v>
      </c>
      <c r="AT45" s="9">
        <f t="shared" si="6"/>
        <v>0</v>
      </c>
      <c r="AU45" s="9">
        <v>0</v>
      </c>
      <c r="AV45" s="25">
        <v>0</v>
      </c>
      <c r="AW45" s="9">
        <f t="shared" si="7"/>
        <v>0</v>
      </c>
      <c r="AX45" s="25">
        <v>0</v>
      </c>
      <c r="AY45" s="9">
        <f t="shared" si="8"/>
        <v>0</v>
      </c>
      <c r="AZ45" s="9">
        <v>0</v>
      </c>
      <c r="BA45" s="25">
        <v>0</v>
      </c>
      <c r="BB45" s="9">
        <f t="shared" si="9"/>
        <v>0</v>
      </c>
      <c r="BC45" s="25">
        <v>0</v>
      </c>
      <c r="BD45" s="9">
        <f t="shared" si="10"/>
        <v>0</v>
      </c>
      <c r="BE45" s="9">
        <v>0</v>
      </c>
      <c r="BF45" s="9">
        <v>0</v>
      </c>
      <c r="BG45" s="9">
        <f t="shared" si="11"/>
        <v>0</v>
      </c>
      <c r="BH45" s="9">
        <v>0</v>
      </c>
      <c r="BI45" s="9">
        <f t="shared" si="12"/>
        <v>0</v>
      </c>
      <c r="BJ45" s="9">
        <v>0</v>
      </c>
      <c r="BK45" s="9">
        <v>0</v>
      </c>
      <c r="BL45" s="9">
        <f t="shared" si="13"/>
        <v>0</v>
      </c>
      <c r="BM45" s="9">
        <v>0</v>
      </c>
      <c r="BN45" s="9">
        <f t="shared" si="14"/>
        <v>0</v>
      </c>
      <c r="BO45" s="9">
        <v>0</v>
      </c>
      <c r="BP45" s="9">
        <v>0</v>
      </c>
      <c r="BQ45" s="9">
        <f t="shared" si="15"/>
        <v>0</v>
      </c>
      <c r="BR45" s="9">
        <v>0</v>
      </c>
      <c r="BS45" s="9">
        <f t="shared" si="16"/>
        <v>0</v>
      </c>
      <c r="BT45" s="9">
        <f t="shared" si="17"/>
        <v>0</v>
      </c>
      <c r="BU45" s="9">
        <f t="shared" si="18"/>
        <v>0</v>
      </c>
      <c r="BV45" s="9">
        <f t="shared" si="19"/>
        <v>105.08460083333333</v>
      </c>
      <c r="BW45">
        <f t="shared" si="20"/>
        <v>105.08460083333333</v>
      </c>
      <c r="BX45">
        <v>0</v>
      </c>
      <c r="BY45">
        <f t="shared" si="21"/>
        <v>504.13614223875004</v>
      </c>
      <c r="BZ45">
        <v>90.321125328000008</v>
      </c>
      <c r="CA45">
        <f t="shared" si="22"/>
        <v>1190.3252738386666</v>
      </c>
      <c r="CB45">
        <f t="shared" si="23"/>
        <v>1889.8671422387501</v>
      </c>
      <c r="CC45">
        <v>0</v>
      </c>
      <c r="CD45">
        <v>0</v>
      </c>
      <c r="CE45">
        <f t="shared" si="24"/>
        <v>0</v>
      </c>
      <c r="CF45">
        <f t="shared" si="25"/>
        <v>1385.731</v>
      </c>
      <c r="CG45">
        <f t="shared" si="26"/>
        <v>1190.3252738386666</v>
      </c>
      <c r="CH45">
        <f t="shared" si="27"/>
        <v>0</v>
      </c>
      <c r="CJ45" t="s">
        <v>278</v>
      </c>
      <c r="CL45" t="str">
        <f t="shared" si="28"/>
        <v/>
      </c>
    </row>
    <row r="46" spans="1:90" x14ac:dyDescent="0.25">
      <c r="A46" t="s">
        <v>100</v>
      </c>
      <c r="B46" t="s">
        <v>173</v>
      </c>
      <c r="C46" s="1">
        <v>46023</v>
      </c>
      <c r="D46" t="s">
        <v>174</v>
      </c>
      <c r="E46" t="s">
        <v>175</v>
      </c>
      <c r="F46" s="4">
        <v>1</v>
      </c>
      <c r="G46" s="4">
        <v>0.6</v>
      </c>
      <c r="H46" s="9">
        <v>3853.152</v>
      </c>
      <c r="I46" s="9">
        <v>642.19200000000001</v>
      </c>
      <c r="J46" s="9">
        <f t="shared" si="0"/>
        <v>4495.3440000000001</v>
      </c>
      <c r="K46" s="9">
        <v>0</v>
      </c>
      <c r="L46" s="9">
        <f t="shared" si="1"/>
        <v>0</v>
      </c>
      <c r="M46">
        <v>0</v>
      </c>
      <c r="N46" s="4">
        <f t="shared" si="2"/>
        <v>0</v>
      </c>
      <c r="O46" s="9">
        <v>2408.2199999999998</v>
      </c>
      <c r="P46" s="9">
        <v>1444.9319999999998</v>
      </c>
      <c r="Q46" s="9">
        <v>0</v>
      </c>
      <c r="R46" s="9">
        <v>0</v>
      </c>
      <c r="S46" s="9">
        <v>0</v>
      </c>
      <c r="T46" s="9">
        <v>0</v>
      </c>
      <c r="U46" s="9">
        <v>0</v>
      </c>
      <c r="V46" s="9">
        <v>0</v>
      </c>
      <c r="W46" s="9">
        <f t="shared" si="3"/>
        <v>3853.1519999999996</v>
      </c>
      <c r="X46" s="9">
        <v>642.19200000000001</v>
      </c>
      <c r="Y46" s="9">
        <v>0</v>
      </c>
      <c r="Z46" s="9">
        <v>4495.3439999999991</v>
      </c>
      <c r="AA46" s="9">
        <v>0</v>
      </c>
      <c r="AB46" s="9">
        <f t="shared" si="4"/>
        <v>4495.3439999999991</v>
      </c>
      <c r="AC46" s="9">
        <v>4495.3439999999991</v>
      </c>
      <c r="AD46" s="9">
        <v>0</v>
      </c>
      <c r="AE46" s="9">
        <v>3853.1519999999996</v>
      </c>
      <c r="AF46" s="9">
        <v>211.28116799999995</v>
      </c>
      <c r="AG46" s="9">
        <v>1086.9891715199999</v>
      </c>
      <c r="AH46" s="9">
        <v>69.677831999999981</v>
      </c>
      <c r="AI46" s="9">
        <v>253.32374759999999</v>
      </c>
      <c r="AJ46" s="9">
        <v>9.2117726399999995</v>
      </c>
      <c r="AK46" s="9">
        <v>4.4953439999999993</v>
      </c>
      <c r="AL46" s="9">
        <v>27.635317919999999</v>
      </c>
      <c r="AM46" s="9">
        <v>6.743015999999999</v>
      </c>
      <c r="AN46" s="9">
        <v>34.544147399999993</v>
      </c>
      <c r="AO46" s="9">
        <v>69.088294799999986</v>
      </c>
      <c r="AP46" s="9">
        <v>0</v>
      </c>
      <c r="AQ46" s="25">
        <v>0</v>
      </c>
      <c r="AR46" s="9">
        <f t="shared" si="5"/>
        <v>0</v>
      </c>
      <c r="AS46" s="25">
        <v>0</v>
      </c>
      <c r="AT46" s="9">
        <f t="shared" si="6"/>
        <v>0</v>
      </c>
      <c r="AU46" s="9">
        <v>0</v>
      </c>
      <c r="AV46" s="25">
        <v>0</v>
      </c>
      <c r="AW46" s="9">
        <f t="shared" si="7"/>
        <v>0</v>
      </c>
      <c r="AX46" s="25">
        <v>0</v>
      </c>
      <c r="AY46" s="9">
        <f t="shared" si="8"/>
        <v>0</v>
      </c>
      <c r="AZ46" s="9">
        <v>0</v>
      </c>
      <c r="BA46" s="25">
        <v>0</v>
      </c>
      <c r="BB46" s="9">
        <f t="shared" si="9"/>
        <v>0</v>
      </c>
      <c r="BC46" s="25">
        <v>0</v>
      </c>
      <c r="BD46" s="9">
        <f t="shared" si="10"/>
        <v>0</v>
      </c>
      <c r="BE46" s="9">
        <v>0</v>
      </c>
      <c r="BF46" s="9">
        <v>0</v>
      </c>
      <c r="BG46" s="9">
        <f t="shared" si="11"/>
        <v>0</v>
      </c>
      <c r="BH46" s="9">
        <v>0</v>
      </c>
      <c r="BI46" s="9">
        <f t="shared" si="12"/>
        <v>0</v>
      </c>
      <c r="BJ46" s="9">
        <v>0</v>
      </c>
      <c r="BK46" s="9">
        <v>0</v>
      </c>
      <c r="BL46" s="9">
        <f t="shared" si="13"/>
        <v>0</v>
      </c>
      <c r="BM46" s="9">
        <v>0</v>
      </c>
      <c r="BN46" s="9">
        <f t="shared" si="14"/>
        <v>0</v>
      </c>
      <c r="BO46" s="9">
        <v>0</v>
      </c>
      <c r="BP46" s="9">
        <v>0</v>
      </c>
      <c r="BQ46" s="9">
        <f t="shared" si="15"/>
        <v>0</v>
      </c>
      <c r="BR46" s="9">
        <v>0</v>
      </c>
      <c r="BS46" s="9">
        <f t="shared" si="16"/>
        <v>0</v>
      </c>
      <c r="BT46" s="9">
        <f t="shared" si="17"/>
        <v>0</v>
      </c>
      <c r="BU46" s="9">
        <f t="shared" si="18"/>
        <v>0</v>
      </c>
      <c r="BV46" s="9">
        <f t="shared" si="19"/>
        <v>292.19735999999995</v>
      </c>
      <c r="BW46">
        <f t="shared" si="20"/>
        <v>292.19735999999995</v>
      </c>
      <c r="BX46">
        <v>0</v>
      </c>
      <c r="BY46">
        <f t="shared" si="21"/>
        <v>1480.7924518799998</v>
      </c>
      <c r="BZ46">
        <v>930.52063339199992</v>
      </c>
      <c r="CA46">
        <f t="shared" si="22"/>
        <v>2630.4340066079994</v>
      </c>
      <c r="CB46">
        <f t="shared" si="23"/>
        <v>5333.9444518799992</v>
      </c>
      <c r="CC46">
        <v>0</v>
      </c>
      <c r="CD46">
        <v>0</v>
      </c>
      <c r="CE46">
        <f t="shared" si="24"/>
        <v>0</v>
      </c>
      <c r="CF46">
        <f t="shared" si="25"/>
        <v>3853.1519999999996</v>
      </c>
      <c r="CG46">
        <f t="shared" si="26"/>
        <v>2630.4340066079994</v>
      </c>
      <c r="CH46">
        <f t="shared" si="27"/>
        <v>0</v>
      </c>
      <c r="CJ46" t="s">
        <v>278</v>
      </c>
      <c r="CL46" t="str">
        <f t="shared" si="28"/>
        <v/>
      </c>
    </row>
    <row r="47" spans="1:90" x14ac:dyDescent="0.25">
      <c r="A47" t="s">
        <v>100</v>
      </c>
      <c r="B47" t="s">
        <v>176</v>
      </c>
      <c r="C47" s="1">
        <v>46054</v>
      </c>
      <c r="D47" t="s">
        <v>174</v>
      </c>
      <c r="E47" t="s">
        <v>175</v>
      </c>
      <c r="F47" s="4">
        <v>1</v>
      </c>
      <c r="G47" s="4">
        <v>0.6</v>
      </c>
      <c r="H47" s="9">
        <v>3853.152</v>
      </c>
      <c r="I47" s="9">
        <v>642.19200000000001</v>
      </c>
      <c r="J47" s="9">
        <f t="shared" si="0"/>
        <v>4495.3440000000001</v>
      </c>
      <c r="K47" s="9">
        <v>0</v>
      </c>
      <c r="L47" s="9">
        <f t="shared" si="1"/>
        <v>0</v>
      </c>
      <c r="M47">
        <v>0</v>
      </c>
      <c r="N47" s="4">
        <f t="shared" si="2"/>
        <v>0</v>
      </c>
      <c r="O47" s="9">
        <v>2408.2199999999998</v>
      </c>
      <c r="P47" s="9">
        <v>1444.9319999999998</v>
      </c>
      <c r="Q47" s="9">
        <v>0</v>
      </c>
      <c r="R47" s="9">
        <v>0</v>
      </c>
      <c r="S47" s="9">
        <v>0</v>
      </c>
      <c r="T47" s="9">
        <v>0</v>
      </c>
      <c r="U47" s="9">
        <v>0</v>
      </c>
      <c r="V47" s="9">
        <v>0</v>
      </c>
      <c r="W47" s="9">
        <f t="shared" si="3"/>
        <v>3853.1519999999996</v>
      </c>
      <c r="X47" s="9">
        <v>642.19200000000001</v>
      </c>
      <c r="Y47" s="9">
        <v>0</v>
      </c>
      <c r="Z47" s="9">
        <v>4495.3439999999991</v>
      </c>
      <c r="AA47" s="9">
        <v>0</v>
      </c>
      <c r="AB47" s="9">
        <f t="shared" si="4"/>
        <v>4495.3439999999991</v>
      </c>
      <c r="AC47" s="9">
        <v>4495.3439999999991</v>
      </c>
      <c r="AD47" s="9">
        <v>0</v>
      </c>
      <c r="AE47" s="9">
        <v>3853.1519999999996</v>
      </c>
      <c r="AF47" s="9">
        <v>211.28116799999995</v>
      </c>
      <c r="AG47" s="9">
        <v>1086.9891715199999</v>
      </c>
      <c r="AH47" s="9">
        <v>69.677831999999981</v>
      </c>
      <c r="AI47" s="9">
        <v>253.32374759999999</v>
      </c>
      <c r="AJ47" s="9">
        <v>9.2117726399999995</v>
      </c>
      <c r="AK47" s="9">
        <v>4.4953439999999993</v>
      </c>
      <c r="AL47" s="9">
        <v>27.635317919999999</v>
      </c>
      <c r="AM47" s="9">
        <v>6.743015999999999</v>
      </c>
      <c r="AN47" s="9">
        <v>34.544147399999993</v>
      </c>
      <c r="AO47" s="9">
        <v>69.088294799999986</v>
      </c>
      <c r="AP47" s="9">
        <v>0</v>
      </c>
      <c r="AQ47" s="25">
        <v>0</v>
      </c>
      <c r="AR47" s="9">
        <f t="shared" si="5"/>
        <v>0</v>
      </c>
      <c r="AS47" s="25">
        <v>0</v>
      </c>
      <c r="AT47" s="9">
        <f t="shared" si="6"/>
        <v>0</v>
      </c>
      <c r="AU47" s="9">
        <v>0</v>
      </c>
      <c r="AV47" s="25">
        <v>0</v>
      </c>
      <c r="AW47" s="9">
        <f t="shared" si="7"/>
        <v>0</v>
      </c>
      <c r="AX47" s="25">
        <v>0</v>
      </c>
      <c r="AY47" s="9">
        <f t="shared" si="8"/>
        <v>0</v>
      </c>
      <c r="AZ47" s="9">
        <v>0</v>
      </c>
      <c r="BA47" s="25">
        <v>0</v>
      </c>
      <c r="BB47" s="9">
        <f t="shared" si="9"/>
        <v>0</v>
      </c>
      <c r="BC47" s="25">
        <v>0</v>
      </c>
      <c r="BD47" s="9">
        <f t="shared" si="10"/>
        <v>0</v>
      </c>
      <c r="BE47" s="9">
        <v>0</v>
      </c>
      <c r="BF47" s="9">
        <v>0</v>
      </c>
      <c r="BG47" s="9">
        <f t="shared" si="11"/>
        <v>0</v>
      </c>
      <c r="BH47" s="9">
        <v>0</v>
      </c>
      <c r="BI47" s="9">
        <f t="shared" si="12"/>
        <v>0</v>
      </c>
      <c r="BJ47" s="9">
        <v>0</v>
      </c>
      <c r="BK47" s="9">
        <v>0</v>
      </c>
      <c r="BL47" s="9">
        <f t="shared" si="13"/>
        <v>0</v>
      </c>
      <c r="BM47" s="9">
        <v>0</v>
      </c>
      <c r="BN47" s="9">
        <f t="shared" si="14"/>
        <v>0</v>
      </c>
      <c r="BO47" s="9">
        <v>0</v>
      </c>
      <c r="BP47" s="9">
        <v>0</v>
      </c>
      <c r="BQ47" s="9">
        <f t="shared" si="15"/>
        <v>0</v>
      </c>
      <c r="BR47" s="9">
        <v>0</v>
      </c>
      <c r="BS47" s="9">
        <f t="shared" si="16"/>
        <v>0</v>
      </c>
      <c r="BT47" s="9">
        <f t="shared" si="17"/>
        <v>0</v>
      </c>
      <c r="BU47" s="9">
        <f t="shared" si="18"/>
        <v>0</v>
      </c>
      <c r="BV47" s="9">
        <f t="shared" si="19"/>
        <v>292.19735999999995</v>
      </c>
      <c r="BW47">
        <f t="shared" si="20"/>
        <v>292.19735999999995</v>
      </c>
      <c r="BX47">
        <v>0</v>
      </c>
      <c r="BY47">
        <f t="shared" si="21"/>
        <v>1480.7924518799998</v>
      </c>
      <c r="BZ47">
        <v>930.52063339199992</v>
      </c>
      <c r="CA47">
        <f t="shared" si="22"/>
        <v>2630.4340066079994</v>
      </c>
      <c r="CB47">
        <f t="shared" si="23"/>
        <v>5333.9444518799992</v>
      </c>
      <c r="CC47">
        <v>0</v>
      </c>
      <c r="CD47">
        <v>0</v>
      </c>
      <c r="CE47">
        <f t="shared" si="24"/>
        <v>0</v>
      </c>
      <c r="CF47">
        <f t="shared" si="25"/>
        <v>3853.1519999999996</v>
      </c>
      <c r="CG47">
        <f t="shared" si="26"/>
        <v>2630.4340066079994</v>
      </c>
      <c r="CH47">
        <f t="shared" si="27"/>
        <v>0</v>
      </c>
      <c r="CJ47" t="s">
        <v>278</v>
      </c>
      <c r="CL47" t="str">
        <f t="shared" si="28"/>
        <v/>
      </c>
    </row>
    <row r="48" spans="1:90" x14ac:dyDescent="0.25">
      <c r="A48" t="s">
        <v>100</v>
      </c>
      <c r="B48" t="s">
        <v>177</v>
      </c>
      <c r="C48" s="1">
        <v>46082</v>
      </c>
      <c r="D48" t="s">
        <v>174</v>
      </c>
      <c r="E48" t="s">
        <v>175</v>
      </c>
      <c r="F48" s="4">
        <v>1</v>
      </c>
      <c r="G48" s="4">
        <v>0.6</v>
      </c>
      <c r="H48" s="9">
        <v>3853.152</v>
      </c>
      <c r="I48" s="9">
        <v>642.19200000000001</v>
      </c>
      <c r="J48" s="9">
        <f t="shared" si="0"/>
        <v>4495.3440000000001</v>
      </c>
      <c r="K48" s="9">
        <v>0</v>
      </c>
      <c r="L48" s="9">
        <f t="shared" si="1"/>
        <v>0</v>
      </c>
      <c r="M48">
        <v>0</v>
      </c>
      <c r="N48" s="4">
        <f t="shared" si="2"/>
        <v>0</v>
      </c>
      <c r="O48" s="9">
        <v>2408.2199999999998</v>
      </c>
      <c r="P48" s="9">
        <v>1444.9319999999998</v>
      </c>
      <c r="Q48" s="9">
        <v>0</v>
      </c>
      <c r="R48" s="9">
        <v>0</v>
      </c>
      <c r="S48" s="9">
        <v>0</v>
      </c>
      <c r="T48" s="9">
        <v>0</v>
      </c>
      <c r="U48" s="9">
        <v>0</v>
      </c>
      <c r="V48" s="9">
        <v>0</v>
      </c>
      <c r="W48" s="9">
        <f t="shared" si="3"/>
        <v>3853.1519999999996</v>
      </c>
      <c r="X48" s="9">
        <v>642.19200000000001</v>
      </c>
      <c r="Y48" s="9">
        <v>0</v>
      </c>
      <c r="Z48" s="9">
        <v>4495.3439999999991</v>
      </c>
      <c r="AA48" s="9">
        <v>0</v>
      </c>
      <c r="AB48" s="9">
        <f t="shared" si="4"/>
        <v>4495.3439999999991</v>
      </c>
      <c r="AC48" s="9">
        <v>4495.3439999999991</v>
      </c>
      <c r="AD48" s="9">
        <v>0</v>
      </c>
      <c r="AE48" s="9">
        <v>3853.1519999999996</v>
      </c>
      <c r="AF48" s="9">
        <v>211.28116799999995</v>
      </c>
      <c r="AG48" s="9">
        <v>1086.9891715199999</v>
      </c>
      <c r="AH48" s="9">
        <v>69.677831999999981</v>
      </c>
      <c r="AI48" s="9">
        <v>253.32374759999999</v>
      </c>
      <c r="AJ48" s="9">
        <v>9.2117726399999995</v>
      </c>
      <c r="AK48" s="9">
        <v>4.4953439999999993</v>
      </c>
      <c r="AL48" s="9">
        <v>27.635317919999999</v>
      </c>
      <c r="AM48" s="9">
        <v>6.743015999999999</v>
      </c>
      <c r="AN48" s="9">
        <v>34.544147399999993</v>
      </c>
      <c r="AO48" s="9">
        <v>69.088294799999986</v>
      </c>
      <c r="AP48" s="9">
        <v>0</v>
      </c>
      <c r="AQ48" s="25">
        <v>0</v>
      </c>
      <c r="AR48" s="9">
        <f t="shared" si="5"/>
        <v>0</v>
      </c>
      <c r="AS48" s="25">
        <v>0</v>
      </c>
      <c r="AT48" s="9">
        <f t="shared" si="6"/>
        <v>0</v>
      </c>
      <c r="AU48" s="9">
        <v>0</v>
      </c>
      <c r="AV48" s="25">
        <v>0</v>
      </c>
      <c r="AW48" s="9">
        <f t="shared" si="7"/>
        <v>0</v>
      </c>
      <c r="AX48" s="25">
        <v>0</v>
      </c>
      <c r="AY48" s="9">
        <f t="shared" si="8"/>
        <v>0</v>
      </c>
      <c r="AZ48" s="9">
        <v>0</v>
      </c>
      <c r="BA48" s="25">
        <v>0</v>
      </c>
      <c r="BB48" s="9">
        <f t="shared" si="9"/>
        <v>0</v>
      </c>
      <c r="BC48" s="25">
        <v>0</v>
      </c>
      <c r="BD48" s="9">
        <f t="shared" si="10"/>
        <v>0</v>
      </c>
      <c r="BE48" s="9">
        <v>0</v>
      </c>
      <c r="BF48" s="9">
        <v>0</v>
      </c>
      <c r="BG48" s="9">
        <f t="shared" si="11"/>
        <v>0</v>
      </c>
      <c r="BH48" s="9">
        <v>0</v>
      </c>
      <c r="BI48" s="9">
        <f t="shared" si="12"/>
        <v>0</v>
      </c>
      <c r="BJ48" s="9">
        <v>0</v>
      </c>
      <c r="BK48" s="9">
        <v>0</v>
      </c>
      <c r="BL48" s="9">
        <f t="shared" si="13"/>
        <v>0</v>
      </c>
      <c r="BM48" s="9">
        <v>0</v>
      </c>
      <c r="BN48" s="9">
        <f t="shared" si="14"/>
        <v>0</v>
      </c>
      <c r="BO48" s="9">
        <v>0</v>
      </c>
      <c r="BP48" s="9">
        <v>0</v>
      </c>
      <c r="BQ48" s="9">
        <f t="shared" si="15"/>
        <v>0</v>
      </c>
      <c r="BR48" s="9">
        <v>0</v>
      </c>
      <c r="BS48" s="9">
        <f t="shared" si="16"/>
        <v>0</v>
      </c>
      <c r="BT48" s="9">
        <f t="shared" si="17"/>
        <v>0</v>
      </c>
      <c r="BU48" s="9">
        <f t="shared" si="18"/>
        <v>0</v>
      </c>
      <c r="BV48" s="9">
        <f t="shared" si="19"/>
        <v>292.19735999999995</v>
      </c>
      <c r="BW48">
        <f t="shared" si="20"/>
        <v>292.19735999999995</v>
      </c>
      <c r="BX48">
        <v>0</v>
      </c>
      <c r="BY48">
        <f t="shared" si="21"/>
        <v>1480.7924518799998</v>
      </c>
      <c r="BZ48">
        <v>930.52063339199992</v>
      </c>
      <c r="CA48">
        <f t="shared" si="22"/>
        <v>2630.4340066079994</v>
      </c>
      <c r="CB48">
        <f t="shared" si="23"/>
        <v>5333.9444518799992</v>
      </c>
      <c r="CC48">
        <v>0</v>
      </c>
      <c r="CD48">
        <v>0</v>
      </c>
      <c r="CE48">
        <f t="shared" si="24"/>
        <v>0</v>
      </c>
      <c r="CF48">
        <f t="shared" si="25"/>
        <v>3853.1519999999996</v>
      </c>
      <c r="CG48">
        <f t="shared" si="26"/>
        <v>2630.4340066079994</v>
      </c>
      <c r="CH48">
        <f t="shared" si="27"/>
        <v>0</v>
      </c>
      <c r="CJ48" t="s">
        <v>278</v>
      </c>
      <c r="CL48" t="str">
        <f t="shared" si="28"/>
        <v/>
      </c>
    </row>
    <row r="49" spans="1:90" x14ac:dyDescent="0.25">
      <c r="A49" t="s">
        <v>100</v>
      </c>
      <c r="B49" t="s">
        <v>178</v>
      </c>
      <c r="C49" s="1">
        <v>46113</v>
      </c>
      <c r="D49" t="s">
        <v>174</v>
      </c>
      <c r="E49" t="s">
        <v>175</v>
      </c>
      <c r="F49" s="4">
        <v>1</v>
      </c>
      <c r="G49" s="4">
        <v>0.6</v>
      </c>
      <c r="H49" s="9">
        <v>3853.152</v>
      </c>
      <c r="I49" s="9">
        <v>642.19200000000001</v>
      </c>
      <c r="J49" s="9">
        <f t="shared" si="0"/>
        <v>4495.3440000000001</v>
      </c>
      <c r="K49" s="9">
        <v>0</v>
      </c>
      <c r="L49" s="9">
        <f t="shared" si="1"/>
        <v>0</v>
      </c>
      <c r="M49">
        <v>0</v>
      </c>
      <c r="N49" s="4">
        <f t="shared" si="2"/>
        <v>0</v>
      </c>
      <c r="O49" s="9">
        <v>2408.2199999999998</v>
      </c>
      <c r="P49" s="9">
        <v>1444.9319999999998</v>
      </c>
      <c r="Q49" s="9">
        <v>0</v>
      </c>
      <c r="R49" s="9">
        <v>0</v>
      </c>
      <c r="S49" s="9">
        <v>0</v>
      </c>
      <c r="T49" s="9">
        <v>0</v>
      </c>
      <c r="U49" s="9">
        <v>0</v>
      </c>
      <c r="V49" s="9">
        <v>0</v>
      </c>
      <c r="W49" s="9">
        <f t="shared" si="3"/>
        <v>3853.1519999999996</v>
      </c>
      <c r="X49" s="9">
        <v>642.19200000000001</v>
      </c>
      <c r="Y49" s="9">
        <v>0</v>
      </c>
      <c r="Z49" s="9">
        <v>4495.3439999999991</v>
      </c>
      <c r="AA49" s="9">
        <v>0</v>
      </c>
      <c r="AB49" s="9">
        <f t="shared" si="4"/>
        <v>4495.3439999999991</v>
      </c>
      <c r="AC49" s="9">
        <v>4495.3439999999991</v>
      </c>
      <c r="AD49" s="9">
        <v>0</v>
      </c>
      <c r="AE49" s="9">
        <v>3853.1519999999996</v>
      </c>
      <c r="AF49" s="9">
        <v>211.28116799999995</v>
      </c>
      <c r="AG49" s="9">
        <v>1086.9891715199999</v>
      </c>
      <c r="AH49" s="9">
        <v>69.677831999999981</v>
      </c>
      <c r="AI49" s="9">
        <v>253.32374759999999</v>
      </c>
      <c r="AJ49" s="9">
        <v>9.2117726399999995</v>
      </c>
      <c r="AK49" s="9">
        <v>4.4953439999999993</v>
      </c>
      <c r="AL49" s="9">
        <v>27.635317919999999</v>
      </c>
      <c r="AM49" s="9">
        <v>6.743015999999999</v>
      </c>
      <c r="AN49" s="9">
        <v>34.544147399999993</v>
      </c>
      <c r="AO49" s="9">
        <v>69.088294799999986</v>
      </c>
      <c r="AP49" s="9">
        <v>0</v>
      </c>
      <c r="AQ49" s="25">
        <v>0</v>
      </c>
      <c r="AR49" s="9">
        <f t="shared" si="5"/>
        <v>0</v>
      </c>
      <c r="AS49" s="25">
        <v>0</v>
      </c>
      <c r="AT49" s="9">
        <f t="shared" si="6"/>
        <v>0</v>
      </c>
      <c r="AU49" s="9">
        <v>0</v>
      </c>
      <c r="AV49" s="25">
        <v>0</v>
      </c>
      <c r="AW49" s="9">
        <f t="shared" si="7"/>
        <v>0</v>
      </c>
      <c r="AX49" s="25">
        <v>0</v>
      </c>
      <c r="AY49" s="9">
        <f t="shared" si="8"/>
        <v>0</v>
      </c>
      <c r="AZ49" s="9">
        <v>0</v>
      </c>
      <c r="BA49" s="25">
        <v>0</v>
      </c>
      <c r="BB49" s="9">
        <f t="shared" si="9"/>
        <v>0</v>
      </c>
      <c r="BC49" s="25">
        <v>0</v>
      </c>
      <c r="BD49" s="9">
        <f t="shared" si="10"/>
        <v>0</v>
      </c>
      <c r="BE49" s="9">
        <v>0</v>
      </c>
      <c r="BF49" s="9">
        <v>0</v>
      </c>
      <c r="BG49" s="9">
        <f t="shared" si="11"/>
        <v>0</v>
      </c>
      <c r="BH49" s="9">
        <v>0</v>
      </c>
      <c r="BI49" s="9">
        <f t="shared" si="12"/>
        <v>0</v>
      </c>
      <c r="BJ49" s="9">
        <v>0</v>
      </c>
      <c r="BK49" s="9">
        <v>0</v>
      </c>
      <c r="BL49" s="9">
        <f t="shared" si="13"/>
        <v>0</v>
      </c>
      <c r="BM49" s="9">
        <v>0</v>
      </c>
      <c r="BN49" s="9">
        <f t="shared" si="14"/>
        <v>0</v>
      </c>
      <c r="BO49" s="9">
        <v>0</v>
      </c>
      <c r="BP49" s="9">
        <v>0</v>
      </c>
      <c r="BQ49" s="9">
        <f t="shared" si="15"/>
        <v>0</v>
      </c>
      <c r="BR49" s="9">
        <v>0</v>
      </c>
      <c r="BS49" s="9">
        <f t="shared" si="16"/>
        <v>0</v>
      </c>
      <c r="BT49" s="9">
        <f t="shared" si="17"/>
        <v>0</v>
      </c>
      <c r="BU49" s="9">
        <f t="shared" si="18"/>
        <v>0</v>
      </c>
      <c r="BV49" s="9">
        <f t="shared" si="19"/>
        <v>292.19735999999995</v>
      </c>
      <c r="BW49">
        <f t="shared" si="20"/>
        <v>292.19735999999995</v>
      </c>
      <c r="BX49">
        <v>0</v>
      </c>
      <c r="BY49">
        <f t="shared" si="21"/>
        <v>1480.7924518799998</v>
      </c>
      <c r="BZ49">
        <v>930.52063339199992</v>
      </c>
      <c r="CA49">
        <f t="shared" si="22"/>
        <v>2630.4340066079994</v>
      </c>
      <c r="CB49">
        <f t="shared" si="23"/>
        <v>5333.9444518799992</v>
      </c>
      <c r="CC49">
        <v>0</v>
      </c>
      <c r="CD49">
        <v>0</v>
      </c>
      <c r="CE49">
        <f t="shared" si="24"/>
        <v>0</v>
      </c>
      <c r="CF49">
        <f t="shared" si="25"/>
        <v>3853.1519999999996</v>
      </c>
      <c r="CG49">
        <f t="shared" si="26"/>
        <v>2630.4340066079994</v>
      </c>
      <c r="CH49">
        <f t="shared" si="27"/>
        <v>0</v>
      </c>
      <c r="CJ49" t="s">
        <v>278</v>
      </c>
      <c r="CL49" t="str">
        <f t="shared" si="28"/>
        <v/>
      </c>
    </row>
    <row r="50" spans="1:90" x14ac:dyDescent="0.25">
      <c r="A50" t="s">
        <v>100</v>
      </c>
      <c r="B50" t="s">
        <v>179</v>
      </c>
      <c r="C50" s="1">
        <v>46143</v>
      </c>
      <c r="D50" t="s">
        <v>174</v>
      </c>
      <c r="E50" t="s">
        <v>175</v>
      </c>
      <c r="F50" s="4">
        <v>1</v>
      </c>
      <c r="G50" s="4">
        <v>0.6</v>
      </c>
      <c r="H50" s="9">
        <v>3853.152</v>
      </c>
      <c r="I50" s="9">
        <v>642.19200000000001</v>
      </c>
      <c r="J50" s="9">
        <f t="shared" si="0"/>
        <v>4495.3440000000001</v>
      </c>
      <c r="K50" s="9">
        <v>0</v>
      </c>
      <c r="L50" s="9">
        <f t="shared" si="1"/>
        <v>0</v>
      </c>
      <c r="M50">
        <v>0</v>
      </c>
      <c r="N50" s="4">
        <f t="shared" si="2"/>
        <v>0</v>
      </c>
      <c r="O50" s="9">
        <v>2408.2199999999998</v>
      </c>
      <c r="P50" s="9">
        <v>1444.9319999999998</v>
      </c>
      <c r="Q50" s="9">
        <v>0</v>
      </c>
      <c r="R50" s="9">
        <v>0</v>
      </c>
      <c r="S50" s="9">
        <v>0</v>
      </c>
      <c r="T50" s="9">
        <v>0</v>
      </c>
      <c r="U50" s="9">
        <v>0</v>
      </c>
      <c r="V50" s="9">
        <v>0</v>
      </c>
      <c r="W50" s="9">
        <f t="shared" si="3"/>
        <v>3853.1519999999996</v>
      </c>
      <c r="X50" s="9">
        <v>642.19200000000001</v>
      </c>
      <c r="Y50" s="9">
        <v>0</v>
      </c>
      <c r="Z50" s="9">
        <v>4495.3439999999991</v>
      </c>
      <c r="AA50" s="9">
        <v>0</v>
      </c>
      <c r="AB50" s="9">
        <f t="shared" si="4"/>
        <v>4495.3439999999991</v>
      </c>
      <c r="AC50" s="9">
        <v>4495.3439999999991</v>
      </c>
      <c r="AD50" s="9">
        <v>0</v>
      </c>
      <c r="AE50" s="9">
        <v>3853.1519999999996</v>
      </c>
      <c r="AF50" s="9">
        <v>211.28116799999995</v>
      </c>
      <c r="AG50" s="9">
        <v>1086.9891715199999</v>
      </c>
      <c r="AH50" s="9">
        <v>69.677831999999981</v>
      </c>
      <c r="AI50" s="9">
        <v>253.32374759999999</v>
      </c>
      <c r="AJ50" s="9">
        <v>9.2117726399999995</v>
      </c>
      <c r="AK50" s="9">
        <v>4.4953439999999993</v>
      </c>
      <c r="AL50" s="9">
        <v>27.635317919999999</v>
      </c>
      <c r="AM50" s="9">
        <v>6.743015999999999</v>
      </c>
      <c r="AN50" s="9">
        <v>34.544147399999993</v>
      </c>
      <c r="AO50" s="9">
        <v>69.088294799999986</v>
      </c>
      <c r="AP50" s="9">
        <v>0</v>
      </c>
      <c r="AQ50" s="25">
        <v>0</v>
      </c>
      <c r="AR50" s="9">
        <f t="shared" si="5"/>
        <v>0</v>
      </c>
      <c r="AS50" s="25">
        <v>0</v>
      </c>
      <c r="AT50" s="9">
        <f t="shared" si="6"/>
        <v>0</v>
      </c>
      <c r="AU50" s="9">
        <v>0</v>
      </c>
      <c r="AV50" s="25">
        <v>0</v>
      </c>
      <c r="AW50" s="9">
        <f t="shared" si="7"/>
        <v>0</v>
      </c>
      <c r="AX50" s="25">
        <v>0</v>
      </c>
      <c r="AY50" s="9">
        <f t="shared" si="8"/>
        <v>0</v>
      </c>
      <c r="AZ50" s="9">
        <v>0</v>
      </c>
      <c r="BA50" s="25">
        <v>0</v>
      </c>
      <c r="BB50" s="9">
        <f t="shared" si="9"/>
        <v>0</v>
      </c>
      <c r="BC50" s="25">
        <v>0</v>
      </c>
      <c r="BD50" s="9">
        <f t="shared" si="10"/>
        <v>0</v>
      </c>
      <c r="BE50" s="9">
        <v>0</v>
      </c>
      <c r="BF50" s="9">
        <v>0</v>
      </c>
      <c r="BG50" s="9">
        <f t="shared" si="11"/>
        <v>0</v>
      </c>
      <c r="BH50" s="9">
        <v>0</v>
      </c>
      <c r="BI50" s="9">
        <f t="shared" si="12"/>
        <v>0</v>
      </c>
      <c r="BJ50" s="9">
        <v>0</v>
      </c>
      <c r="BK50" s="9">
        <v>0</v>
      </c>
      <c r="BL50" s="9">
        <f t="shared" si="13"/>
        <v>0</v>
      </c>
      <c r="BM50" s="9">
        <v>0</v>
      </c>
      <c r="BN50" s="9">
        <f t="shared" si="14"/>
        <v>0</v>
      </c>
      <c r="BO50" s="9">
        <v>0</v>
      </c>
      <c r="BP50" s="9">
        <v>0</v>
      </c>
      <c r="BQ50" s="9">
        <f t="shared" si="15"/>
        <v>0</v>
      </c>
      <c r="BR50" s="9">
        <v>0</v>
      </c>
      <c r="BS50" s="9">
        <f t="shared" si="16"/>
        <v>0</v>
      </c>
      <c r="BT50" s="9">
        <f t="shared" si="17"/>
        <v>0</v>
      </c>
      <c r="BU50" s="9">
        <f t="shared" si="18"/>
        <v>0</v>
      </c>
      <c r="BV50" s="9">
        <f t="shared" si="19"/>
        <v>292.19735999999995</v>
      </c>
      <c r="BW50">
        <f t="shared" si="20"/>
        <v>292.19735999999995</v>
      </c>
      <c r="BX50">
        <v>0</v>
      </c>
      <c r="BY50">
        <f t="shared" si="21"/>
        <v>1480.7924518799998</v>
      </c>
      <c r="BZ50">
        <v>930.52063339199992</v>
      </c>
      <c r="CA50">
        <f t="shared" si="22"/>
        <v>2630.4340066079994</v>
      </c>
      <c r="CB50">
        <f t="shared" si="23"/>
        <v>5333.9444518799992</v>
      </c>
      <c r="CC50">
        <v>0</v>
      </c>
      <c r="CD50">
        <v>0</v>
      </c>
      <c r="CE50">
        <f t="shared" si="24"/>
        <v>0</v>
      </c>
      <c r="CF50">
        <f t="shared" si="25"/>
        <v>3853.1519999999996</v>
      </c>
      <c r="CG50">
        <f t="shared" si="26"/>
        <v>2630.4340066079994</v>
      </c>
      <c r="CH50">
        <f t="shared" si="27"/>
        <v>0</v>
      </c>
      <c r="CJ50" t="s">
        <v>278</v>
      </c>
      <c r="CL50" t="str">
        <f t="shared" si="28"/>
        <v/>
      </c>
    </row>
    <row r="51" spans="1:90" x14ac:dyDescent="0.25">
      <c r="A51" t="s">
        <v>100</v>
      </c>
      <c r="B51" t="s">
        <v>180</v>
      </c>
      <c r="C51" s="1">
        <v>46174</v>
      </c>
      <c r="D51" t="s">
        <v>174</v>
      </c>
      <c r="E51" t="s">
        <v>175</v>
      </c>
      <c r="F51" s="4">
        <v>1</v>
      </c>
      <c r="G51" s="4">
        <v>0.6</v>
      </c>
      <c r="H51" s="9">
        <v>3853.152</v>
      </c>
      <c r="I51" s="9">
        <v>642.19200000000001</v>
      </c>
      <c r="J51" s="9">
        <f t="shared" si="0"/>
        <v>4495.3440000000001</v>
      </c>
      <c r="K51" s="9">
        <v>0</v>
      </c>
      <c r="L51" s="9">
        <f t="shared" si="1"/>
        <v>0</v>
      </c>
      <c r="M51">
        <v>0</v>
      </c>
      <c r="N51" s="4">
        <f t="shared" si="2"/>
        <v>0</v>
      </c>
      <c r="O51" s="9">
        <v>2408.2199999999998</v>
      </c>
      <c r="P51" s="9">
        <v>1444.9319999999998</v>
      </c>
      <c r="Q51" s="9">
        <v>0</v>
      </c>
      <c r="R51" s="9">
        <v>0</v>
      </c>
      <c r="S51" s="9">
        <v>0</v>
      </c>
      <c r="T51" s="9">
        <v>0</v>
      </c>
      <c r="U51" s="9">
        <v>0</v>
      </c>
      <c r="V51" s="9">
        <v>0</v>
      </c>
      <c r="W51" s="9">
        <f t="shared" si="3"/>
        <v>3853.1519999999996</v>
      </c>
      <c r="X51" s="9">
        <v>642.19200000000001</v>
      </c>
      <c r="Y51" s="9">
        <v>0</v>
      </c>
      <c r="Z51" s="9">
        <v>4495.3439999999991</v>
      </c>
      <c r="AA51" s="9">
        <v>0</v>
      </c>
      <c r="AB51" s="9">
        <f t="shared" si="4"/>
        <v>4495.3439999999991</v>
      </c>
      <c r="AC51" s="9">
        <v>4495.3439999999991</v>
      </c>
      <c r="AD51" s="9">
        <v>0</v>
      </c>
      <c r="AE51" s="9">
        <v>3853.1519999999996</v>
      </c>
      <c r="AF51" s="9">
        <v>211.28116799999995</v>
      </c>
      <c r="AG51" s="9">
        <v>1086.9891715199999</v>
      </c>
      <c r="AH51" s="9">
        <v>69.677831999999981</v>
      </c>
      <c r="AI51" s="9">
        <v>253.32374759999999</v>
      </c>
      <c r="AJ51" s="9">
        <v>9.2117726399999995</v>
      </c>
      <c r="AK51" s="9">
        <v>4.4953439999999993</v>
      </c>
      <c r="AL51" s="9">
        <v>27.635317919999999</v>
      </c>
      <c r="AM51" s="9">
        <v>6.743015999999999</v>
      </c>
      <c r="AN51" s="9">
        <v>34.544147399999993</v>
      </c>
      <c r="AO51" s="9">
        <v>69.088294799999986</v>
      </c>
      <c r="AP51" s="9">
        <v>0</v>
      </c>
      <c r="AQ51" s="25">
        <v>0</v>
      </c>
      <c r="AR51" s="9">
        <f t="shared" si="5"/>
        <v>0</v>
      </c>
      <c r="AS51" s="25">
        <v>0</v>
      </c>
      <c r="AT51" s="9">
        <f t="shared" si="6"/>
        <v>0</v>
      </c>
      <c r="AU51" s="9">
        <v>0</v>
      </c>
      <c r="AV51" s="25">
        <v>0</v>
      </c>
      <c r="AW51" s="9">
        <f t="shared" si="7"/>
        <v>0</v>
      </c>
      <c r="AX51" s="25">
        <v>0</v>
      </c>
      <c r="AY51" s="9">
        <f t="shared" si="8"/>
        <v>0</v>
      </c>
      <c r="AZ51" s="9">
        <v>0</v>
      </c>
      <c r="BA51" s="25">
        <v>0</v>
      </c>
      <c r="BB51" s="9">
        <f t="shared" si="9"/>
        <v>0</v>
      </c>
      <c r="BC51" s="25">
        <v>0</v>
      </c>
      <c r="BD51" s="9">
        <f t="shared" si="10"/>
        <v>0</v>
      </c>
      <c r="BE51" s="9">
        <v>0</v>
      </c>
      <c r="BF51" s="9">
        <v>0</v>
      </c>
      <c r="BG51" s="9">
        <f t="shared" si="11"/>
        <v>0</v>
      </c>
      <c r="BH51" s="9">
        <v>0</v>
      </c>
      <c r="BI51" s="9">
        <f t="shared" si="12"/>
        <v>0</v>
      </c>
      <c r="BJ51" s="9">
        <v>0</v>
      </c>
      <c r="BK51" s="9">
        <v>0</v>
      </c>
      <c r="BL51" s="9">
        <f t="shared" si="13"/>
        <v>0</v>
      </c>
      <c r="BM51" s="9">
        <v>0</v>
      </c>
      <c r="BN51" s="9">
        <f t="shared" si="14"/>
        <v>0</v>
      </c>
      <c r="BO51" s="9">
        <v>0</v>
      </c>
      <c r="BP51" s="9">
        <v>0</v>
      </c>
      <c r="BQ51" s="9">
        <f t="shared" si="15"/>
        <v>0</v>
      </c>
      <c r="BR51" s="9">
        <v>0</v>
      </c>
      <c r="BS51" s="9">
        <f t="shared" si="16"/>
        <v>0</v>
      </c>
      <c r="BT51" s="9">
        <f t="shared" si="17"/>
        <v>0</v>
      </c>
      <c r="BU51" s="9">
        <f t="shared" si="18"/>
        <v>0</v>
      </c>
      <c r="BV51" s="9">
        <f t="shared" si="19"/>
        <v>292.19735999999995</v>
      </c>
      <c r="BW51">
        <f t="shared" si="20"/>
        <v>292.19735999999995</v>
      </c>
      <c r="BX51">
        <v>0</v>
      </c>
      <c r="BY51">
        <f t="shared" si="21"/>
        <v>1480.7924518799998</v>
      </c>
      <c r="BZ51">
        <v>930.52063339199992</v>
      </c>
      <c r="CA51">
        <f t="shared" si="22"/>
        <v>2630.4340066079994</v>
      </c>
      <c r="CB51">
        <f t="shared" si="23"/>
        <v>5333.9444518799992</v>
      </c>
      <c r="CC51">
        <v>0</v>
      </c>
      <c r="CD51">
        <v>0</v>
      </c>
      <c r="CE51">
        <f t="shared" si="24"/>
        <v>0</v>
      </c>
      <c r="CF51">
        <f t="shared" si="25"/>
        <v>3853.1519999999996</v>
      </c>
      <c r="CG51">
        <f t="shared" si="26"/>
        <v>2630.4340066079994</v>
      </c>
      <c r="CH51">
        <f t="shared" si="27"/>
        <v>0</v>
      </c>
      <c r="CJ51" t="s">
        <v>278</v>
      </c>
      <c r="CL51" t="str">
        <f t="shared" si="28"/>
        <v/>
      </c>
    </row>
    <row r="52" spans="1:90" x14ac:dyDescent="0.25">
      <c r="A52" t="s">
        <v>100</v>
      </c>
      <c r="B52" t="s">
        <v>181</v>
      </c>
      <c r="C52" s="1">
        <v>46204</v>
      </c>
      <c r="D52" t="s">
        <v>182</v>
      </c>
      <c r="E52" t="s">
        <v>175</v>
      </c>
      <c r="F52" s="4">
        <v>1</v>
      </c>
      <c r="G52" s="4">
        <v>0.6</v>
      </c>
      <c r="H52" s="9">
        <v>3853.152</v>
      </c>
      <c r="I52" s="9">
        <v>642.19200000000001</v>
      </c>
      <c r="J52" s="9">
        <f t="shared" si="0"/>
        <v>4495.3440000000001</v>
      </c>
      <c r="K52" s="9">
        <v>0</v>
      </c>
      <c r="L52" s="9">
        <f t="shared" si="1"/>
        <v>0</v>
      </c>
      <c r="M52">
        <v>0</v>
      </c>
      <c r="N52" s="4">
        <f t="shared" si="2"/>
        <v>0</v>
      </c>
      <c r="O52" s="9">
        <v>2408.2199999999998</v>
      </c>
      <c r="P52" s="9">
        <v>1444.9319999999998</v>
      </c>
      <c r="Q52" s="9">
        <v>0</v>
      </c>
      <c r="R52" s="9">
        <v>0</v>
      </c>
      <c r="S52" s="9">
        <v>0</v>
      </c>
      <c r="T52" s="9">
        <v>0</v>
      </c>
      <c r="U52" s="9">
        <v>0</v>
      </c>
      <c r="V52" s="9">
        <v>0</v>
      </c>
      <c r="W52" s="9">
        <f t="shared" si="3"/>
        <v>3853.1519999999996</v>
      </c>
      <c r="X52" s="9">
        <v>0</v>
      </c>
      <c r="Y52" s="9">
        <v>0</v>
      </c>
      <c r="Z52" s="9">
        <v>0</v>
      </c>
      <c r="AA52" s="9">
        <v>0</v>
      </c>
      <c r="AB52" s="9">
        <f t="shared" si="4"/>
        <v>0</v>
      </c>
      <c r="AC52" s="9">
        <v>0</v>
      </c>
      <c r="AD52" s="9">
        <v>0</v>
      </c>
      <c r="AE52" s="9">
        <v>3853.1519999999996</v>
      </c>
      <c r="AF52" s="9">
        <v>0</v>
      </c>
      <c r="AG52" s="9">
        <v>0</v>
      </c>
      <c r="AH52" s="9">
        <v>0</v>
      </c>
      <c r="AI52" s="9">
        <v>0</v>
      </c>
      <c r="AJ52" s="9">
        <v>0</v>
      </c>
      <c r="AK52" s="9">
        <v>0</v>
      </c>
      <c r="AL52" s="9">
        <v>0</v>
      </c>
      <c r="AM52" s="9">
        <v>0</v>
      </c>
      <c r="AN52" s="9">
        <v>0</v>
      </c>
      <c r="AO52" s="9">
        <v>0</v>
      </c>
      <c r="AP52" s="9">
        <v>0</v>
      </c>
      <c r="AQ52" s="25">
        <v>0</v>
      </c>
      <c r="AR52" s="9">
        <f t="shared" si="5"/>
        <v>0</v>
      </c>
      <c r="AS52" s="25">
        <v>0</v>
      </c>
      <c r="AT52" s="9">
        <f t="shared" si="6"/>
        <v>0</v>
      </c>
      <c r="AU52" s="9">
        <v>0</v>
      </c>
      <c r="AV52" s="25">
        <v>0</v>
      </c>
      <c r="AW52" s="9">
        <f t="shared" si="7"/>
        <v>0</v>
      </c>
      <c r="AX52" s="25">
        <v>0</v>
      </c>
      <c r="AY52" s="9">
        <f t="shared" si="8"/>
        <v>0</v>
      </c>
      <c r="AZ52" s="9">
        <v>0</v>
      </c>
      <c r="BA52" s="25">
        <v>0</v>
      </c>
      <c r="BB52" s="9">
        <f t="shared" si="9"/>
        <v>0</v>
      </c>
      <c r="BC52" s="25">
        <v>0</v>
      </c>
      <c r="BD52" s="9">
        <f t="shared" si="10"/>
        <v>0</v>
      </c>
      <c r="BE52" s="9">
        <v>0</v>
      </c>
      <c r="BF52" s="9">
        <v>0</v>
      </c>
      <c r="BG52" s="9">
        <f t="shared" si="11"/>
        <v>0</v>
      </c>
      <c r="BH52" s="9">
        <v>0</v>
      </c>
      <c r="BI52" s="9">
        <f t="shared" si="12"/>
        <v>0</v>
      </c>
      <c r="BJ52" s="9">
        <v>0</v>
      </c>
      <c r="BK52" s="9">
        <v>0</v>
      </c>
      <c r="BL52" s="9">
        <f t="shared" si="13"/>
        <v>0</v>
      </c>
      <c r="BM52" s="9">
        <v>0</v>
      </c>
      <c r="BN52" s="9">
        <f t="shared" si="14"/>
        <v>0</v>
      </c>
      <c r="BO52" s="9">
        <v>0</v>
      </c>
      <c r="BP52" s="9">
        <v>0</v>
      </c>
      <c r="BQ52" s="9">
        <f t="shared" si="15"/>
        <v>0</v>
      </c>
      <c r="BR52" s="9">
        <v>0</v>
      </c>
      <c r="BS52" s="9">
        <f t="shared" si="16"/>
        <v>0</v>
      </c>
      <c r="BT52" s="9">
        <f t="shared" si="17"/>
        <v>0</v>
      </c>
      <c r="BU52" s="9">
        <f t="shared" si="18"/>
        <v>0</v>
      </c>
      <c r="BV52" s="9">
        <f t="shared" si="19"/>
        <v>0</v>
      </c>
      <c r="BW52">
        <f t="shared" si="20"/>
        <v>0</v>
      </c>
      <c r="BX52">
        <v>0</v>
      </c>
      <c r="BY52">
        <f t="shared" si="21"/>
        <v>0</v>
      </c>
      <c r="BZ52">
        <v>930.52063339199992</v>
      </c>
      <c r="CA52">
        <f t="shared" si="22"/>
        <v>2922.6313666079996</v>
      </c>
      <c r="CB52">
        <f t="shared" si="23"/>
        <v>3853.1519999999996</v>
      </c>
      <c r="CC52">
        <v>0</v>
      </c>
      <c r="CD52">
        <v>0</v>
      </c>
      <c r="CE52">
        <f t="shared" si="24"/>
        <v>0</v>
      </c>
      <c r="CF52">
        <f t="shared" si="25"/>
        <v>3853.1519999999996</v>
      </c>
      <c r="CG52">
        <f t="shared" si="26"/>
        <v>2922.6313666079996</v>
      </c>
      <c r="CH52">
        <f t="shared" si="27"/>
        <v>0</v>
      </c>
      <c r="CJ52" t="s">
        <v>278</v>
      </c>
      <c r="CL52" t="str">
        <f t="shared" si="28"/>
        <v/>
      </c>
    </row>
    <row r="53" spans="1:90" x14ac:dyDescent="0.25">
      <c r="A53" t="s">
        <v>100</v>
      </c>
      <c r="B53" t="s">
        <v>183</v>
      </c>
      <c r="C53" s="1">
        <v>46204</v>
      </c>
      <c r="D53" t="s">
        <v>174</v>
      </c>
      <c r="E53" t="s">
        <v>175</v>
      </c>
      <c r="F53" s="4">
        <v>1</v>
      </c>
      <c r="G53" s="4">
        <v>0.6</v>
      </c>
      <c r="H53" s="9">
        <v>3853.152</v>
      </c>
      <c r="I53" s="9">
        <v>642.19200000000001</v>
      </c>
      <c r="J53" s="9">
        <f t="shared" si="0"/>
        <v>4495.3440000000001</v>
      </c>
      <c r="K53" s="9">
        <v>0</v>
      </c>
      <c r="L53" s="9">
        <f t="shared" si="1"/>
        <v>0</v>
      </c>
      <c r="M53">
        <v>0</v>
      </c>
      <c r="N53" s="4">
        <f t="shared" si="2"/>
        <v>0</v>
      </c>
      <c r="O53" s="9">
        <v>2408.2199999999998</v>
      </c>
      <c r="P53" s="9">
        <v>1444.9319999999998</v>
      </c>
      <c r="Q53" s="9">
        <v>0</v>
      </c>
      <c r="R53" s="9">
        <v>0</v>
      </c>
      <c r="S53" s="9">
        <v>0</v>
      </c>
      <c r="T53" s="9">
        <v>0</v>
      </c>
      <c r="U53" s="9">
        <v>0</v>
      </c>
      <c r="V53" s="9">
        <v>0</v>
      </c>
      <c r="W53" s="9">
        <f t="shared" si="3"/>
        <v>3853.1519999999996</v>
      </c>
      <c r="X53" s="9">
        <v>642.19200000000001</v>
      </c>
      <c r="Y53" s="9">
        <v>0</v>
      </c>
      <c r="Z53" s="9">
        <v>4495.3439999999991</v>
      </c>
      <c r="AA53" s="9">
        <v>0</v>
      </c>
      <c r="AB53" s="9">
        <f t="shared" si="4"/>
        <v>4495.3439999999991</v>
      </c>
      <c r="AC53" s="9">
        <v>4495.3439999999991</v>
      </c>
      <c r="AD53" s="9">
        <v>0</v>
      </c>
      <c r="AE53" s="9">
        <v>3853.1519999999996</v>
      </c>
      <c r="AF53" s="9">
        <v>211.28116799999995</v>
      </c>
      <c r="AG53" s="9">
        <v>1086.9891715199999</v>
      </c>
      <c r="AH53" s="9">
        <v>69.677831999999981</v>
      </c>
      <c r="AI53" s="9">
        <v>253.32374759999999</v>
      </c>
      <c r="AJ53" s="9">
        <v>9.2117726399999995</v>
      </c>
      <c r="AK53" s="9">
        <v>4.4953439999999993</v>
      </c>
      <c r="AL53" s="9">
        <v>27.635317919999999</v>
      </c>
      <c r="AM53" s="9">
        <v>6.743015999999999</v>
      </c>
      <c r="AN53" s="9">
        <v>34.544147399999993</v>
      </c>
      <c r="AO53" s="9">
        <v>69.088294799999986</v>
      </c>
      <c r="AP53" s="9">
        <v>0</v>
      </c>
      <c r="AQ53" s="25">
        <v>0</v>
      </c>
      <c r="AR53" s="9">
        <f t="shared" si="5"/>
        <v>0</v>
      </c>
      <c r="AS53" s="25">
        <v>0</v>
      </c>
      <c r="AT53" s="9">
        <f t="shared" si="6"/>
        <v>0</v>
      </c>
      <c r="AU53" s="9">
        <v>0</v>
      </c>
      <c r="AV53" s="25">
        <v>0</v>
      </c>
      <c r="AW53" s="9">
        <f t="shared" si="7"/>
        <v>0</v>
      </c>
      <c r="AX53" s="25">
        <v>0</v>
      </c>
      <c r="AY53" s="9">
        <f t="shared" si="8"/>
        <v>0</v>
      </c>
      <c r="AZ53" s="9">
        <v>0</v>
      </c>
      <c r="BA53" s="25">
        <v>0</v>
      </c>
      <c r="BB53" s="9">
        <f t="shared" si="9"/>
        <v>0</v>
      </c>
      <c r="BC53" s="25">
        <v>0</v>
      </c>
      <c r="BD53" s="9">
        <f t="shared" si="10"/>
        <v>0</v>
      </c>
      <c r="BE53" s="9">
        <v>0</v>
      </c>
      <c r="BF53" s="9">
        <v>0</v>
      </c>
      <c r="BG53" s="9">
        <f t="shared" si="11"/>
        <v>0</v>
      </c>
      <c r="BH53" s="9">
        <v>0</v>
      </c>
      <c r="BI53" s="9">
        <f t="shared" si="12"/>
        <v>0</v>
      </c>
      <c r="BJ53" s="9">
        <v>0</v>
      </c>
      <c r="BK53" s="9">
        <v>0</v>
      </c>
      <c r="BL53" s="9">
        <f t="shared" si="13"/>
        <v>0</v>
      </c>
      <c r="BM53" s="9">
        <v>0</v>
      </c>
      <c r="BN53" s="9">
        <f t="shared" si="14"/>
        <v>0</v>
      </c>
      <c r="BO53" s="9">
        <v>0</v>
      </c>
      <c r="BP53" s="9">
        <v>0</v>
      </c>
      <c r="BQ53" s="9">
        <f t="shared" si="15"/>
        <v>0</v>
      </c>
      <c r="BR53" s="9">
        <v>0</v>
      </c>
      <c r="BS53" s="9">
        <f t="shared" si="16"/>
        <v>0</v>
      </c>
      <c r="BT53" s="9">
        <f t="shared" si="17"/>
        <v>0</v>
      </c>
      <c r="BU53" s="9">
        <f t="shared" si="18"/>
        <v>0</v>
      </c>
      <c r="BV53" s="9">
        <f t="shared" si="19"/>
        <v>292.19735999999995</v>
      </c>
      <c r="BW53">
        <f t="shared" si="20"/>
        <v>292.19735999999995</v>
      </c>
      <c r="BX53">
        <v>0</v>
      </c>
      <c r="BY53">
        <f t="shared" si="21"/>
        <v>1480.7924518799998</v>
      </c>
      <c r="BZ53">
        <v>930.52063339199992</v>
      </c>
      <c r="CA53">
        <f t="shared" si="22"/>
        <v>2630.4340066079994</v>
      </c>
      <c r="CB53">
        <f t="shared" si="23"/>
        <v>5333.9444518799992</v>
      </c>
      <c r="CC53">
        <v>0</v>
      </c>
      <c r="CD53">
        <v>0</v>
      </c>
      <c r="CE53">
        <f t="shared" si="24"/>
        <v>0</v>
      </c>
      <c r="CF53">
        <f t="shared" si="25"/>
        <v>3853.1519999999996</v>
      </c>
      <c r="CG53">
        <f t="shared" si="26"/>
        <v>2630.4340066079994</v>
      </c>
      <c r="CH53">
        <f t="shared" si="27"/>
        <v>0</v>
      </c>
      <c r="CJ53" t="s">
        <v>278</v>
      </c>
      <c r="CL53" t="str">
        <f t="shared" si="28"/>
        <v/>
      </c>
    </row>
    <row r="54" spans="1:90" x14ac:dyDescent="0.25">
      <c r="A54" t="s">
        <v>100</v>
      </c>
      <c r="B54" t="s">
        <v>184</v>
      </c>
      <c r="C54" s="1">
        <v>46235</v>
      </c>
      <c r="D54" t="s">
        <v>174</v>
      </c>
      <c r="E54" t="s">
        <v>175</v>
      </c>
      <c r="F54" s="4">
        <v>1</v>
      </c>
      <c r="G54" s="4">
        <v>0.6</v>
      </c>
      <c r="H54" s="9">
        <v>3853.152</v>
      </c>
      <c r="I54" s="9">
        <v>642.19200000000001</v>
      </c>
      <c r="J54" s="9">
        <f t="shared" si="0"/>
        <v>4495.3440000000001</v>
      </c>
      <c r="K54" s="9">
        <v>0</v>
      </c>
      <c r="L54" s="9">
        <f t="shared" si="1"/>
        <v>0</v>
      </c>
      <c r="M54">
        <v>0</v>
      </c>
      <c r="N54" s="4">
        <f t="shared" si="2"/>
        <v>0</v>
      </c>
      <c r="O54" s="9">
        <v>2408.2199999999998</v>
      </c>
      <c r="P54" s="9">
        <v>1444.9319999999998</v>
      </c>
      <c r="Q54" s="9">
        <v>0</v>
      </c>
      <c r="R54" s="9">
        <v>0</v>
      </c>
      <c r="S54" s="9">
        <v>0</v>
      </c>
      <c r="T54" s="9">
        <v>0</v>
      </c>
      <c r="U54" s="9">
        <v>0</v>
      </c>
      <c r="V54" s="9">
        <v>0</v>
      </c>
      <c r="W54" s="9">
        <f t="shared" si="3"/>
        <v>3853.1519999999996</v>
      </c>
      <c r="X54" s="9">
        <v>642.19200000000001</v>
      </c>
      <c r="Y54" s="9">
        <v>0</v>
      </c>
      <c r="Z54" s="9">
        <v>4495.3439999999991</v>
      </c>
      <c r="AA54" s="9">
        <v>0</v>
      </c>
      <c r="AB54" s="9">
        <f t="shared" si="4"/>
        <v>4495.3439999999991</v>
      </c>
      <c r="AC54" s="9">
        <v>4495.3439999999991</v>
      </c>
      <c r="AD54" s="9">
        <v>0</v>
      </c>
      <c r="AE54" s="9">
        <v>3853.1519999999996</v>
      </c>
      <c r="AF54" s="9">
        <v>211.28116799999995</v>
      </c>
      <c r="AG54" s="9">
        <v>1086.9891715199999</v>
      </c>
      <c r="AH54" s="9">
        <v>69.677831999999981</v>
      </c>
      <c r="AI54" s="9">
        <v>253.32374759999999</v>
      </c>
      <c r="AJ54" s="9">
        <v>9.2117726399999995</v>
      </c>
      <c r="AK54" s="9">
        <v>4.4953439999999993</v>
      </c>
      <c r="AL54" s="9">
        <v>27.635317919999999</v>
      </c>
      <c r="AM54" s="9">
        <v>6.743015999999999</v>
      </c>
      <c r="AN54" s="9">
        <v>34.544147399999993</v>
      </c>
      <c r="AO54" s="9">
        <v>69.088294799999986</v>
      </c>
      <c r="AP54" s="9">
        <v>0</v>
      </c>
      <c r="AQ54" s="25">
        <v>0</v>
      </c>
      <c r="AR54" s="9">
        <f t="shared" si="5"/>
        <v>0</v>
      </c>
      <c r="AS54" s="25">
        <v>0</v>
      </c>
      <c r="AT54" s="9">
        <f t="shared" si="6"/>
        <v>0</v>
      </c>
      <c r="AU54" s="9">
        <v>0</v>
      </c>
      <c r="AV54" s="25">
        <v>0</v>
      </c>
      <c r="AW54" s="9">
        <f t="shared" si="7"/>
        <v>0</v>
      </c>
      <c r="AX54" s="25">
        <v>0</v>
      </c>
      <c r="AY54" s="9">
        <f t="shared" si="8"/>
        <v>0</v>
      </c>
      <c r="AZ54" s="9">
        <v>0</v>
      </c>
      <c r="BA54" s="25">
        <v>0</v>
      </c>
      <c r="BB54" s="9">
        <f t="shared" si="9"/>
        <v>0</v>
      </c>
      <c r="BC54" s="25">
        <v>0</v>
      </c>
      <c r="BD54" s="9">
        <f t="shared" si="10"/>
        <v>0</v>
      </c>
      <c r="BE54" s="9">
        <v>0</v>
      </c>
      <c r="BF54" s="9">
        <v>0</v>
      </c>
      <c r="BG54" s="9">
        <f t="shared" si="11"/>
        <v>0</v>
      </c>
      <c r="BH54" s="9">
        <v>0</v>
      </c>
      <c r="BI54" s="9">
        <f t="shared" si="12"/>
        <v>0</v>
      </c>
      <c r="BJ54" s="9">
        <v>0</v>
      </c>
      <c r="BK54" s="9">
        <v>0</v>
      </c>
      <c r="BL54" s="9">
        <f t="shared" si="13"/>
        <v>0</v>
      </c>
      <c r="BM54" s="9">
        <v>0</v>
      </c>
      <c r="BN54" s="9">
        <f t="shared" si="14"/>
        <v>0</v>
      </c>
      <c r="BO54" s="9">
        <v>0</v>
      </c>
      <c r="BP54" s="9">
        <v>0</v>
      </c>
      <c r="BQ54" s="9">
        <f t="shared" si="15"/>
        <v>0</v>
      </c>
      <c r="BR54" s="9">
        <v>0</v>
      </c>
      <c r="BS54" s="9">
        <f t="shared" si="16"/>
        <v>0</v>
      </c>
      <c r="BT54" s="9">
        <f t="shared" si="17"/>
        <v>0</v>
      </c>
      <c r="BU54" s="9">
        <f t="shared" si="18"/>
        <v>0</v>
      </c>
      <c r="BV54" s="9">
        <f t="shared" si="19"/>
        <v>292.19735999999995</v>
      </c>
      <c r="BW54">
        <f t="shared" si="20"/>
        <v>292.19735999999995</v>
      </c>
      <c r="BX54">
        <v>0</v>
      </c>
      <c r="BY54">
        <f t="shared" si="21"/>
        <v>1480.7924518799998</v>
      </c>
      <c r="BZ54">
        <v>930.52063339199992</v>
      </c>
      <c r="CA54">
        <f t="shared" si="22"/>
        <v>2630.4340066079994</v>
      </c>
      <c r="CB54">
        <f t="shared" si="23"/>
        <v>5333.9444518799992</v>
      </c>
      <c r="CC54">
        <v>0</v>
      </c>
      <c r="CD54">
        <v>0</v>
      </c>
      <c r="CE54">
        <f t="shared" si="24"/>
        <v>0</v>
      </c>
      <c r="CF54">
        <f t="shared" si="25"/>
        <v>3853.1519999999996</v>
      </c>
      <c r="CG54">
        <f t="shared" si="26"/>
        <v>2630.4340066079994</v>
      </c>
      <c r="CH54">
        <f t="shared" si="27"/>
        <v>0</v>
      </c>
      <c r="CJ54" t="s">
        <v>278</v>
      </c>
      <c r="CL54" t="str">
        <f t="shared" si="28"/>
        <v/>
      </c>
    </row>
    <row r="55" spans="1:90" x14ac:dyDescent="0.25">
      <c r="A55" t="s">
        <v>100</v>
      </c>
      <c r="B55" t="s">
        <v>185</v>
      </c>
      <c r="C55" s="1">
        <v>46266</v>
      </c>
      <c r="D55" t="s">
        <v>174</v>
      </c>
      <c r="E55" t="s">
        <v>175</v>
      </c>
      <c r="F55" s="4">
        <v>1</v>
      </c>
      <c r="G55" s="4">
        <v>0.6</v>
      </c>
      <c r="H55" s="9">
        <v>3853.152</v>
      </c>
      <c r="I55" s="9">
        <v>642.19200000000001</v>
      </c>
      <c r="J55" s="9">
        <f t="shared" si="0"/>
        <v>4495.3440000000001</v>
      </c>
      <c r="K55" s="9">
        <v>0</v>
      </c>
      <c r="L55" s="9">
        <f t="shared" si="1"/>
        <v>0</v>
      </c>
      <c r="M55">
        <v>0</v>
      </c>
      <c r="N55" s="4">
        <f t="shared" si="2"/>
        <v>0</v>
      </c>
      <c r="O55" s="9">
        <v>2408.2199999999998</v>
      </c>
      <c r="P55" s="9">
        <v>1444.9319999999998</v>
      </c>
      <c r="Q55" s="9">
        <v>0</v>
      </c>
      <c r="R55" s="9">
        <v>0</v>
      </c>
      <c r="S55" s="9">
        <v>0</v>
      </c>
      <c r="T55" s="9">
        <v>0</v>
      </c>
      <c r="U55" s="9">
        <v>0</v>
      </c>
      <c r="V55" s="9">
        <v>0</v>
      </c>
      <c r="W55" s="9">
        <f t="shared" si="3"/>
        <v>3853.1519999999996</v>
      </c>
      <c r="X55" s="9">
        <v>642.19200000000001</v>
      </c>
      <c r="Y55" s="9">
        <v>0</v>
      </c>
      <c r="Z55" s="9">
        <v>4495.3439999999991</v>
      </c>
      <c r="AA55" s="9">
        <v>0</v>
      </c>
      <c r="AB55" s="9">
        <f t="shared" si="4"/>
        <v>4495.3439999999991</v>
      </c>
      <c r="AC55" s="9">
        <v>4495.3439999999991</v>
      </c>
      <c r="AD55" s="9">
        <v>0</v>
      </c>
      <c r="AE55" s="9">
        <v>3853.1519999999996</v>
      </c>
      <c r="AF55" s="9">
        <v>211.28116799999995</v>
      </c>
      <c r="AG55" s="9">
        <v>1086.9891715199999</v>
      </c>
      <c r="AH55" s="9">
        <v>69.677831999999981</v>
      </c>
      <c r="AI55" s="9">
        <v>253.32374759999999</v>
      </c>
      <c r="AJ55" s="9">
        <v>9.2117726399999995</v>
      </c>
      <c r="AK55" s="9">
        <v>4.4953439999999993</v>
      </c>
      <c r="AL55" s="9">
        <v>27.635317919999999</v>
      </c>
      <c r="AM55" s="9">
        <v>6.743015999999999</v>
      </c>
      <c r="AN55" s="9">
        <v>34.544147399999993</v>
      </c>
      <c r="AO55" s="9">
        <v>69.088294799999986</v>
      </c>
      <c r="AP55" s="9">
        <v>0</v>
      </c>
      <c r="AQ55" s="25">
        <v>0</v>
      </c>
      <c r="AR55" s="9">
        <f t="shared" si="5"/>
        <v>0</v>
      </c>
      <c r="AS55" s="25">
        <v>0</v>
      </c>
      <c r="AT55" s="9">
        <f t="shared" si="6"/>
        <v>0</v>
      </c>
      <c r="AU55" s="9">
        <v>0</v>
      </c>
      <c r="AV55" s="25">
        <v>0</v>
      </c>
      <c r="AW55" s="9">
        <f t="shared" si="7"/>
        <v>0</v>
      </c>
      <c r="AX55" s="25">
        <v>0</v>
      </c>
      <c r="AY55" s="9">
        <f t="shared" si="8"/>
        <v>0</v>
      </c>
      <c r="AZ55" s="9">
        <v>0</v>
      </c>
      <c r="BA55" s="25">
        <v>0</v>
      </c>
      <c r="BB55" s="9">
        <f t="shared" si="9"/>
        <v>0</v>
      </c>
      <c r="BC55" s="25">
        <v>0</v>
      </c>
      <c r="BD55" s="9">
        <f t="shared" si="10"/>
        <v>0</v>
      </c>
      <c r="BE55" s="9">
        <v>0</v>
      </c>
      <c r="BF55" s="9">
        <v>0</v>
      </c>
      <c r="BG55" s="9">
        <f t="shared" si="11"/>
        <v>0</v>
      </c>
      <c r="BH55" s="9">
        <v>0</v>
      </c>
      <c r="BI55" s="9">
        <f t="shared" si="12"/>
        <v>0</v>
      </c>
      <c r="BJ55" s="9">
        <v>0</v>
      </c>
      <c r="BK55" s="9">
        <v>0</v>
      </c>
      <c r="BL55" s="9">
        <f t="shared" si="13"/>
        <v>0</v>
      </c>
      <c r="BM55" s="9">
        <v>0</v>
      </c>
      <c r="BN55" s="9">
        <f t="shared" si="14"/>
        <v>0</v>
      </c>
      <c r="BO55" s="9">
        <v>0</v>
      </c>
      <c r="BP55" s="9">
        <v>0</v>
      </c>
      <c r="BQ55" s="9">
        <f t="shared" si="15"/>
        <v>0</v>
      </c>
      <c r="BR55" s="9">
        <v>0</v>
      </c>
      <c r="BS55" s="9">
        <f t="shared" si="16"/>
        <v>0</v>
      </c>
      <c r="BT55" s="9">
        <f t="shared" si="17"/>
        <v>0</v>
      </c>
      <c r="BU55" s="9">
        <f t="shared" si="18"/>
        <v>0</v>
      </c>
      <c r="BV55" s="9">
        <f t="shared" si="19"/>
        <v>292.19735999999995</v>
      </c>
      <c r="BW55">
        <f t="shared" si="20"/>
        <v>292.19735999999995</v>
      </c>
      <c r="BX55">
        <v>0</v>
      </c>
      <c r="BY55">
        <f t="shared" si="21"/>
        <v>1480.7924518799998</v>
      </c>
      <c r="BZ55">
        <v>930.52063339199992</v>
      </c>
      <c r="CA55">
        <f t="shared" si="22"/>
        <v>2630.4340066079994</v>
      </c>
      <c r="CB55">
        <f t="shared" si="23"/>
        <v>5333.9444518799992</v>
      </c>
      <c r="CC55">
        <v>0</v>
      </c>
      <c r="CD55">
        <v>0</v>
      </c>
      <c r="CE55">
        <f t="shared" si="24"/>
        <v>0</v>
      </c>
      <c r="CF55">
        <f t="shared" si="25"/>
        <v>3853.1519999999996</v>
      </c>
      <c r="CG55">
        <f t="shared" si="26"/>
        <v>2630.4340066079994</v>
      </c>
      <c r="CH55">
        <f t="shared" si="27"/>
        <v>0</v>
      </c>
      <c r="CJ55" t="s">
        <v>278</v>
      </c>
      <c r="CL55" t="str">
        <f t="shared" si="28"/>
        <v/>
      </c>
    </row>
    <row r="56" spans="1:90" x14ac:dyDescent="0.25">
      <c r="A56" t="s">
        <v>100</v>
      </c>
      <c r="B56" t="s">
        <v>186</v>
      </c>
      <c r="C56" s="1">
        <v>46296</v>
      </c>
      <c r="D56" t="s">
        <v>174</v>
      </c>
      <c r="E56" t="s">
        <v>175</v>
      </c>
      <c r="F56" s="4">
        <v>1</v>
      </c>
      <c r="G56" s="4">
        <v>0.6</v>
      </c>
      <c r="H56" s="9">
        <v>3853.152</v>
      </c>
      <c r="I56" s="9">
        <v>642.19200000000001</v>
      </c>
      <c r="J56" s="9">
        <f t="shared" si="0"/>
        <v>4495.3440000000001</v>
      </c>
      <c r="K56" s="9">
        <v>0</v>
      </c>
      <c r="L56" s="9">
        <f t="shared" si="1"/>
        <v>0</v>
      </c>
      <c r="M56">
        <v>0</v>
      </c>
      <c r="N56" s="4">
        <f t="shared" si="2"/>
        <v>0</v>
      </c>
      <c r="O56" s="9">
        <v>2408.2199999999998</v>
      </c>
      <c r="P56" s="9">
        <v>1444.9319999999998</v>
      </c>
      <c r="Q56" s="9">
        <v>0</v>
      </c>
      <c r="R56" s="9">
        <v>0</v>
      </c>
      <c r="S56" s="9">
        <v>0</v>
      </c>
      <c r="T56" s="9">
        <v>0</v>
      </c>
      <c r="U56" s="9">
        <v>0</v>
      </c>
      <c r="V56" s="9">
        <v>0</v>
      </c>
      <c r="W56" s="9">
        <f t="shared" si="3"/>
        <v>3853.1519999999996</v>
      </c>
      <c r="X56" s="9">
        <v>642.19200000000001</v>
      </c>
      <c r="Y56" s="9">
        <v>0</v>
      </c>
      <c r="Z56" s="9">
        <v>4495.3439999999991</v>
      </c>
      <c r="AA56" s="9">
        <v>0</v>
      </c>
      <c r="AB56" s="9">
        <f t="shared" si="4"/>
        <v>4495.3439999999991</v>
      </c>
      <c r="AC56" s="9">
        <v>4495.3439999999991</v>
      </c>
      <c r="AD56" s="9">
        <v>0</v>
      </c>
      <c r="AE56" s="9">
        <v>3853.1519999999996</v>
      </c>
      <c r="AF56" s="9">
        <v>211.28116799999995</v>
      </c>
      <c r="AG56" s="9">
        <v>1086.9891715199999</v>
      </c>
      <c r="AH56" s="9">
        <v>69.677831999999981</v>
      </c>
      <c r="AI56" s="9">
        <v>253.32374759999999</v>
      </c>
      <c r="AJ56" s="9">
        <v>9.2117726399999995</v>
      </c>
      <c r="AK56" s="9">
        <v>4.4953439999999993</v>
      </c>
      <c r="AL56" s="9">
        <v>27.635317919999999</v>
      </c>
      <c r="AM56" s="9">
        <v>6.743015999999999</v>
      </c>
      <c r="AN56" s="9">
        <v>34.544147399999993</v>
      </c>
      <c r="AO56" s="9">
        <v>69.088294799999986</v>
      </c>
      <c r="AP56" s="9">
        <v>0</v>
      </c>
      <c r="AQ56" s="25">
        <v>0</v>
      </c>
      <c r="AR56" s="9">
        <f t="shared" si="5"/>
        <v>0</v>
      </c>
      <c r="AS56" s="25">
        <v>0</v>
      </c>
      <c r="AT56" s="9">
        <f t="shared" si="6"/>
        <v>0</v>
      </c>
      <c r="AU56" s="9">
        <v>0</v>
      </c>
      <c r="AV56" s="25">
        <v>0</v>
      </c>
      <c r="AW56" s="9">
        <f t="shared" si="7"/>
        <v>0</v>
      </c>
      <c r="AX56" s="25">
        <v>0</v>
      </c>
      <c r="AY56" s="9">
        <f t="shared" si="8"/>
        <v>0</v>
      </c>
      <c r="AZ56" s="9">
        <v>0</v>
      </c>
      <c r="BA56" s="25">
        <v>0</v>
      </c>
      <c r="BB56" s="9">
        <f t="shared" si="9"/>
        <v>0</v>
      </c>
      <c r="BC56" s="25">
        <v>0</v>
      </c>
      <c r="BD56" s="9">
        <f t="shared" si="10"/>
        <v>0</v>
      </c>
      <c r="BE56" s="9">
        <v>0</v>
      </c>
      <c r="BF56" s="9">
        <v>0</v>
      </c>
      <c r="BG56" s="9">
        <f t="shared" si="11"/>
        <v>0</v>
      </c>
      <c r="BH56" s="9">
        <v>0</v>
      </c>
      <c r="BI56" s="9">
        <f t="shared" si="12"/>
        <v>0</v>
      </c>
      <c r="BJ56" s="9">
        <v>0</v>
      </c>
      <c r="BK56" s="9">
        <v>0</v>
      </c>
      <c r="BL56" s="9">
        <f t="shared" si="13"/>
        <v>0</v>
      </c>
      <c r="BM56" s="9">
        <v>0</v>
      </c>
      <c r="BN56" s="9">
        <f t="shared" si="14"/>
        <v>0</v>
      </c>
      <c r="BO56" s="9">
        <v>0</v>
      </c>
      <c r="BP56" s="9">
        <v>0</v>
      </c>
      <c r="BQ56" s="9">
        <f t="shared" si="15"/>
        <v>0</v>
      </c>
      <c r="BR56" s="9">
        <v>0</v>
      </c>
      <c r="BS56" s="9">
        <f t="shared" si="16"/>
        <v>0</v>
      </c>
      <c r="BT56" s="9">
        <f t="shared" si="17"/>
        <v>0</v>
      </c>
      <c r="BU56" s="9">
        <f t="shared" si="18"/>
        <v>0</v>
      </c>
      <c r="BV56" s="9">
        <f t="shared" si="19"/>
        <v>292.19735999999995</v>
      </c>
      <c r="BW56">
        <f t="shared" si="20"/>
        <v>292.19735999999995</v>
      </c>
      <c r="BX56">
        <v>0</v>
      </c>
      <c r="BY56">
        <f t="shared" si="21"/>
        <v>1480.7924518799998</v>
      </c>
      <c r="BZ56">
        <v>930.52063339199992</v>
      </c>
      <c r="CA56">
        <f t="shared" si="22"/>
        <v>2630.4340066079994</v>
      </c>
      <c r="CB56">
        <f t="shared" si="23"/>
        <v>5333.9444518799992</v>
      </c>
      <c r="CC56">
        <v>0</v>
      </c>
      <c r="CD56">
        <v>0</v>
      </c>
      <c r="CE56">
        <f t="shared" si="24"/>
        <v>0</v>
      </c>
      <c r="CF56">
        <f t="shared" si="25"/>
        <v>3853.1519999999996</v>
      </c>
      <c r="CG56">
        <f t="shared" si="26"/>
        <v>2630.4340066079994</v>
      </c>
      <c r="CH56">
        <f t="shared" si="27"/>
        <v>0</v>
      </c>
      <c r="CJ56" t="s">
        <v>278</v>
      </c>
      <c r="CL56" t="str">
        <f t="shared" si="28"/>
        <v/>
      </c>
    </row>
    <row r="57" spans="1:90" x14ac:dyDescent="0.25">
      <c r="A57" t="s">
        <v>100</v>
      </c>
      <c r="B57" t="s">
        <v>187</v>
      </c>
      <c r="C57" s="1">
        <v>46327</v>
      </c>
      <c r="D57" t="s">
        <v>174</v>
      </c>
      <c r="E57" t="s">
        <v>175</v>
      </c>
      <c r="F57" s="4">
        <v>1</v>
      </c>
      <c r="G57" s="4">
        <v>0.6</v>
      </c>
      <c r="H57" s="9">
        <v>3853.152</v>
      </c>
      <c r="I57" s="9">
        <v>642.19200000000001</v>
      </c>
      <c r="J57" s="9">
        <f t="shared" si="0"/>
        <v>4495.3440000000001</v>
      </c>
      <c r="K57" s="9">
        <v>0</v>
      </c>
      <c r="L57" s="9">
        <f t="shared" si="1"/>
        <v>0</v>
      </c>
      <c r="M57">
        <v>0</v>
      </c>
      <c r="N57" s="4">
        <f t="shared" si="2"/>
        <v>0</v>
      </c>
      <c r="O57" s="9">
        <v>2408.2199999999998</v>
      </c>
      <c r="P57" s="9">
        <v>1444.9319999999998</v>
      </c>
      <c r="Q57" s="9">
        <v>0</v>
      </c>
      <c r="R57" s="9">
        <v>0</v>
      </c>
      <c r="S57" s="9">
        <v>0</v>
      </c>
      <c r="T57" s="9">
        <v>0</v>
      </c>
      <c r="U57" s="9">
        <v>0</v>
      </c>
      <c r="V57" s="9">
        <v>0</v>
      </c>
      <c r="W57" s="9">
        <f t="shared" si="3"/>
        <v>3853.1519999999996</v>
      </c>
      <c r="X57" s="9">
        <v>642.19200000000001</v>
      </c>
      <c r="Y57" s="9">
        <v>0</v>
      </c>
      <c r="Z57" s="9">
        <v>4495.3439999999991</v>
      </c>
      <c r="AA57" s="9">
        <v>0</v>
      </c>
      <c r="AB57" s="9">
        <f t="shared" si="4"/>
        <v>4495.3439999999991</v>
      </c>
      <c r="AC57" s="9">
        <v>4495.3439999999991</v>
      </c>
      <c r="AD57" s="9">
        <v>0</v>
      </c>
      <c r="AE57" s="9">
        <v>3853.1519999999996</v>
      </c>
      <c r="AF57" s="9">
        <v>211.28116799999995</v>
      </c>
      <c r="AG57" s="9">
        <v>1086.9891715199999</v>
      </c>
      <c r="AH57" s="9">
        <v>69.677831999999981</v>
      </c>
      <c r="AI57" s="9">
        <v>253.32374759999999</v>
      </c>
      <c r="AJ57" s="9">
        <v>9.2117726399999995</v>
      </c>
      <c r="AK57" s="9">
        <v>4.4953439999999993</v>
      </c>
      <c r="AL57" s="9">
        <v>27.635317919999999</v>
      </c>
      <c r="AM57" s="9">
        <v>6.743015999999999</v>
      </c>
      <c r="AN57" s="9">
        <v>34.544147399999993</v>
      </c>
      <c r="AO57" s="9">
        <v>69.088294799999986</v>
      </c>
      <c r="AP57" s="9">
        <v>0</v>
      </c>
      <c r="AQ57" s="25">
        <v>0</v>
      </c>
      <c r="AR57" s="9">
        <f t="shared" si="5"/>
        <v>0</v>
      </c>
      <c r="AS57" s="25">
        <v>0</v>
      </c>
      <c r="AT57" s="9">
        <f t="shared" si="6"/>
        <v>0</v>
      </c>
      <c r="AU57" s="9">
        <v>0</v>
      </c>
      <c r="AV57" s="25">
        <v>0</v>
      </c>
      <c r="AW57" s="9">
        <f t="shared" si="7"/>
        <v>0</v>
      </c>
      <c r="AX57" s="25">
        <v>0</v>
      </c>
      <c r="AY57" s="9">
        <f t="shared" si="8"/>
        <v>0</v>
      </c>
      <c r="AZ57" s="9">
        <v>0</v>
      </c>
      <c r="BA57" s="25">
        <v>0</v>
      </c>
      <c r="BB57" s="9">
        <f t="shared" si="9"/>
        <v>0</v>
      </c>
      <c r="BC57" s="25">
        <v>0</v>
      </c>
      <c r="BD57" s="9">
        <f t="shared" si="10"/>
        <v>0</v>
      </c>
      <c r="BE57" s="9">
        <v>0</v>
      </c>
      <c r="BF57" s="9">
        <v>0</v>
      </c>
      <c r="BG57" s="9">
        <f t="shared" si="11"/>
        <v>0</v>
      </c>
      <c r="BH57" s="9">
        <v>0</v>
      </c>
      <c r="BI57" s="9">
        <f t="shared" si="12"/>
        <v>0</v>
      </c>
      <c r="BJ57" s="9">
        <v>0</v>
      </c>
      <c r="BK57" s="9">
        <v>0</v>
      </c>
      <c r="BL57" s="9">
        <f t="shared" si="13"/>
        <v>0</v>
      </c>
      <c r="BM57" s="9">
        <v>0</v>
      </c>
      <c r="BN57" s="9">
        <f t="shared" si="14"/>
        <v>0</v>
      </c>
      <c r="BO57" s="9">
        <v>0</v>
      </c>
      <c r="BP57" s="9">
        <v>0</v>
      </c>
      <c r="BQ57" s="9">
        <f t="shared" si="15"/>
        <v>0</v>
      </c>
      <c r="BR57" s="9">
        <v>0</v>
      </c>
      <c r="BS57" s="9">
        <f t="shared" si="16"/>
        <v>0</v>
      </c>
      <c r="BT57" s="9">
        <f t="shared" si="17"/>
        <v>0</v>
      </c>
      <c r="BU57" s="9">
        <f t="shared" si="18"/>
        <v>0</v>
      </c>
      <c r="BV57" s="9">
        <f t="shared" si="19"/>
        <v>292.19735999999995</v>
      </c>
      <c r="BW57">
        <f t="shared" si="20"/>
        <v>292.19735999999995</v>
      </c>
      <c r="BX57">
        <v>0</v>
      </c>
      <c r="BY57">
        <f t="shared" si="21"/>
        <v>1480.7924518799998</v>
      </c>
      <c r="BZ57">
        <v>930.52063339199992</v>
      </c>
      <c r="CA57">
        <f t="shared" si="22"/>
        <v>2630.4340066079994</v>
      </c>
      <c r="CB57">
        <f t="shared" si="23"/>
        <v>5333.9444518799992</v>
      </c>
      <c r="CC57">
        <v>0</v>
      </c>
      <c r="CD57">
        <v>0</v>
      </c>
      <c r="CE57">
        <f t="shared" si="24"/>
        <v>0</v>
      </c>
      <c r="CF57">
        <f t="shared" si="25"/>
        <v>3853.1519999999996</v>
      </c>
      <c r="CG57">
        <f t="shared" si="26"/>
        <v>2630.4340066079994</v>
      </c>
      <c r="CH57">
        <f t="shared" si="27"/>
        <v>0</v>
      </c>
      <c r="CJ57" t="s">
        <v>278</v>
      </c>
      <c r="CL57" t="str">
        <f t="shared" si="28"/>
        <v/>
      </c>
    </row>
    <row r="58" spans="1:90" x14ac:dyDescent="0.25">
      <c r="A58" t="s">
        <v>100</v>
      </c>
      <c r="B58" t="s">
        <v>188</v>
      </c>
      <c r="C58" s="1">
        <v>46357</v>
      </c>
      <c r="D58" t="s">
        <v>182</v>
      </c>
      <c r="E58" t="s">
        <v>175</v>
      </c>
      <c r="F58" s="4">
        <v>1</v>
      </c>
      <c r="G58" s="4">
        <v>0.6</v>
      </c>
      <c r="H58" s="9">
        <v>3853.152</v>
      </c>
      <c r="I58" s="9">
        <v>642.19200000000001</v>
      </c>
      <c r="J58" s="9">
        <f t="shared" si="0"/>
        <v>4495.3440000000001</v>
      </c>
      <c r="K58" s="9">
        <v>0</v>
      </c>
      <c r="L58" s="9">
        <f t="shared" si="1"/>
        <v>0</v>
      </c>
      <c r="M58">
        <v>0</v>
      </c>
      <c r="N58" s="4">
        <f t="shared" si="2"/>
        <v>0</v>
      </c>
      <c r="O58" s="9">
        <v>2408.2199999999998</v>
      </c>
      <c r="P58" s="9">
        <v>1444.9319999999998</v>
      </c>
      <c r="Q58" s="9">
        <v>0</v>
      </c>
      <c r="R58" s="9">
        <v>0</v>
      </c>
      <c r="S58" s="9">
        <v>0</v>
      </c>
      <c r="T58" s="9">
        <v>0</v>
      </c>
      <c r="U58" s="9">
        <v>0</v>
      </c>
      <c r="V58" s="9">
        <v>0</v>
      </c>
      <c r="W58" s="9">
        <f t="shared" si="3"/>
        <v>3853.1519999999996</v>
      </c>
      <c r="X58" s="9">
        <v>0</v>
      </c>
      <c r="Y58" s="9">
        <v>0</v>
      </c>
      <c r="Z58" s="9">
        <v>0</v>
      </c>
      <c r="AA58" s="9">
        <v>0</v>
      </c>
      <c r="AB58" s="9">
        <f t="shared" si="4"/>
        <v>0</v>
      </c>
      <c r="AC58" s="9">
        <v>0</v>
      </c>
      <c r="AD58" s="9">
        <v>0</v>
      </c>
      <c r="AE58" s="9">
        <v>3853.1519999999996</v>
      </c>
      <c r="AF58" s="9">
        <v>0</v>
      </c>
      <c r="AG58" s="9">
        <v>0</v>
      </c>
      <c r="AH58" s="9">
        <v>0</v>
      </c>
      <c r="AI58" s="9">
        <v>0</v>
      </c>
      <c r="AJ58" s="9">
        <v>0</v>
      </c>
      <c r="AK58" s="9">
        <v>0</v>
      </c>
      <c r="AL58" s="9">
        <v>0</v>
      </c>
      <c r="AM58" s="9">
        <v>0</v>
      </c>
      <c r="AN58" s="9">
        <v>0</v>
      </c>
      <c r="AO58" s="9">
        <v>0</v>
      </c>
      <c r="AP58" s="9">
        <v>0</v>
      </c>
      <c r="AQ58" s="25">
        <v>0</v>
      </c>
      <c r="AR58" s="9">
        <f t="shared" si="5"/>
        <v>0</v>
      </c>
      <c r="AS58" s="25">
        <v>0</v>
      </c>
      <c r="AT58" s="9">
        <f t="shared" si="6"/>
        <v>0</v>
      </c>
      <c r="AU58" s="9">
        <v>0</v>
      </c>
      <c r="AV58" s="25">
        <v>0</v>
      </c>
      <c r="AW58" s="9">
        <f t="shared" si="7"/>
        <v>0</v>
      </c>
      <c r="AX58" s="25">
        <v>0</v>
      </c>
      <c r="AY58" s="9">
        <f t="shared" si="8"/>
        <v>0</v>
      </c>
      <c r="AZ58" s="9">
        <v>0</v>
      </c>
      <c r="BA58" s="25">
        <v>0</v>
      </c>
      <c r="BB58" s="9">
        <f t="shared" si="9"/>
        <v>0</v>
      </c>
      <c r="BC58" s="25">
        <v>0</v>
      </c>
      <c r="BD58" s="9">
        <f t="shared" si="10"/>
        <v>0</v>
      </c>
      <c r="BE58" s="9">
        <v>0</v>
      </c>
      <c r="BF58" s="9">
        <v>0</v>
      </c>
      <c r="BG58" s="9">
        <f t="shared" si="11"/>
        <v>0</v>
      </c>
      <c r="BH58" s="9">
        <v>0</v>
      </c>
      <c r="BI58" s="9">
        <f t="shared" si="12"/>
        <v>0</v>
      </c>
      <c r="BJ58" s="9">
        <v>0</v>
      </c>
      <c r="BK58" s="9">
        <v>0</v>
      </c>
      <c r="BL58" s="9">
        <f t="shared" si="13"/>
        <v>0</v>
      </c>
      <c r="BM58" s="9">
        <v>0</v>
      </c>
      <c r="BN58" s="9">
        <f t="shared" si="14"/>
        <v>0</v>
      </c>
      <c r="BO58" s="9">
        <v>0</v>
      </c>
      <c r="BP58" s="9">
        <v>0</v>
      </c>
      <c r="BQ58" s="9">
        <f t="shared" si="15"/>
        <v>0</v>
      </c>
      <c r="BR58" s="9">
        <v>0</v>
      </c>
      <c r="BS58" s="9">
        <f t="shared" si="16"/>
        <v>0</v>
      </c>
      <c r="BT58" s="9">
        <f t="shared" si="17"/>
        <v>0</v>
      </c>
      <c r="BU58" s="9">
        <f t="shared" si="18"/>
        <v>0</v>
      </c>
      <c r="BV58" s="9">
        <f t="shared" si="19"/>
        <v>0</v>
      </c>
      <c r="BW58">
        <f t="shared" si="20"/>
        <v>0</v>
      </c>
      <c r="BX58">
        <v>0</v>
      </c>
      <c r="BY58">
        <f t="shared" si="21"/>
        <v>0</v>
      </c>
      <c r="BZ58">
        <v>930.52063339199992</v>
      </c>
      <c r="CA58">
        <f t="shared" si="22"/>
        <v>2922.6313666079996</v>
      </c>
      <c r="CB58">
        <f t="shared" si="23"/>
        <v>3853.1519999999996</v>
      </c>
      <c r="CC58">
        <v>0</v>
      </c>
      <c r="CD58">
        <v>0</v>
      </c>
      <c r="CE58">
        <f t="shared" si="24"/>
        <v>0</v>
      </c>
      <c r="CF58">
        <f t="shared" si="25"/>
        <v>3853.1519999999996</v>
      </c>
      <c r="CG58">
        <f t="shared" si="26"/>
        <v>2922.6313666079996</v>
      </c>
      <c r="CH58">
        <f t="shared" si="27"/>
        <v>0</v>
      </c>
      <c r="CJ58" t="s">
        <v>278</v>
      </c>
      <c r="CL58" t="str">
        <f t="shared" si="28"/>
        <v/>
      </c>
    </row>
    <row r="59" spans="1:90" x14ac:dyDescent="0.25">
      <c r="A59" t="s">
        <v>100</v>
      </c>
      <c r="B59" t="s">
        <v>189</v>
      </c>
      <c r="C59" s="1">
        <v>46357</v>
      </c>
      <c r="D59" t="s">
        <v>174</v>
      </c>
      <c r="E59" t="s">
        <v>175</v>
      </c>
      <c r="F59" s="4">
        <v>1</v>
      </c>
      <c r="G59" s="4">
        <v>0.6</v>
      </c>
      <c r="H59" s="9">
        <v>3853.152</v>
      </c>
      <c r="I59" s="9">
        <v>642.19200000000001</v>
      </c>
      <c r="J59" s="9">
        <f t="shared" si="0"/>
        <v>4495.3440000000001</v>
      </c>
      <c r="K59" s="9">
        <v>0</v>
      </c>
      <c r="L59" s="9">
        <f t="shared" si="1"/>
        <v>0</v>
      </c>
      <c r="M59">
        <v>0</v>
      </c>
      <c r="N59" s="4">
        <f t="shared" si="2"/>
        <v>0</v>
      </c>
      <c r="O59" s="9">
        <v>2408.2199999999998</v>
      </c>
      <c r="P59" s="9">
        <v>1444.9319999999998</v>
      </c>
      <c r="Q59" s="9">
        <v>0</v>
      </c>
      <c r="R59" s="9">
        <v>0</v>
      </c>
      <c r="S59" s="9">
        <v>0</v>
      </c>
      <c r="T59" s="9">
        <v>0</v>
      </c>
      <c r="U59" s="9">
        <v>0</v>
      </c>
      <c r="V59" s="9">
        <v>0</v>
      </c>
      <c r="W59" s="9">
        <f t="shared" si="3"/>
        <v>3853.1519999999996</v>
      </c>
      <c r="X59" s="9">
        <v>642.19200000000001</v>
      </c>
      <c r="Y59" s="9">
        <v>0</v>
      </c>
      <c r="Z59" s="9">
        <v>4495.3439999999991</v>
      </c>
      <c r="AA59" s="9">
        <v>0</v>
      </c>
      <c r="AB59" s="9">
        <f t="shared" si="4"/>
        <v>4495.3439999999991</v>
      </c>
      <c r="AC59" s="9">
        <v>4495.3439999999991</v>
      </c>
      <c r="AD59" s="9">
        <v>0</v>
      </c>
      <c r="AE59" s="9">
        <v>3853.1519999999996</v>
      </c>
      <c r="AF59" s="9">
        <v>211.28116799999995</v>
      </c>
      <c r="AG59" s="9">
        <v>1086.9891715199999</v>
      </c>
      <c r="AH59" s="9">
        <v>69.677831999999981</v>
      </c>
      <c r="AI59" s="9">
        <v>253.32374759999999</v>
      </c>
      <c r="AJ59" s="9">
        <v>9.2117726399999995</v>
      </c>
      <c r="AK59" s="9">
        <v>4.4953439999999993</v>
      </c>
      <c r="AL59" s="9">
        <v>27.635317919999999</v>
      </c>
      <c r="AM59" s="9">
        <v>6.743015999999999</v>
      </c>
      <c r="AN59" s="9">
        <v>34.544147399999993</v>
      </c>
      <c r="AO59" s="9">
        <v>69.088294799999986</v>
      </c>
      <c r="AP59" s="9">
        <v>0</v>
      </c>
      <c r="AQ59" s="25">
        <v>0</v>
      </c>
      <c r="AR59" s="9">
        <f t="shared" si="5"/>
        <v>0</v>
      </c>
      <c r="AS59" s="25">
        <v>0</v>
      </c>
      <c r="AT59" s="9">
        <f t="shared" si="6"/>
        <v>0</v>
      </c>
      <c r="AU59" s="9">
        <v>0</v>
      </c>
      <c r="AV59" s="25">
        <v>0</v>
      </c>
      <c r="AW59" s="9">
        <f t="shared" si="7"/>
        <v>0</v>
      </c>
      <c r="AX59" s="25">
        <v>0</v>
      </c>
      <c r="AY59" s="9">
        <f t="shared" si="8"/>
        <v>0</v>
      </c>
      <c r="AZ59" s="9">
        <v>0</v>
      </c>
      <c r="BA59" s="25">
        <v>0</v>
      </c>
      <c r="BB59" s="9">
        <f t="shared" si="9"/>
        <v>0</v>
      </c>
      <c r="BC59" s="25">
        <v>0</v>
      </c>
      <c r="BD59" s="9">
        <f t="shared" si="10"/>
        <v>0</v>
      </c>
      <c r="BE59" s="9">
        <v>0</v>
      </c>
      <c r="BF59" s="9">
        <v>0</v>
      </c>
      <c r="BG59" s="9">
        <f t="shared" si="11"/>
        <v>0</v>
      </c>
      <c r="BH59" s="9">
        <v>0</v>
      </c>
      <c r="BI59" s="9">
        <f t="shared" si="12"/>
        <v>0</v>
      </c>
      <c r="BJ59" s="9">
        <v>0</v>
      </c>
      <c r="BK59" s="9">
        <v>0</v>
      </c>
      <c r="BL59" s="9">
        <f t="shared" si="13"/>
        <v>0</v>
      </c>
      <c r="BM59" s="9">
        <v>0</v>
      </c>
      <c r="BN59" s="9">
        <f t="shared" si="14"/>
        <v>0</v>
      </c>
      <c r="BO59" s="9">
        <v>0</v>
      </c>
      <c r="BP59" s="9">
        <v>0</v>
      </c>
      <c r="BQ59" s="9">
        <f t="shared" si="15"/>
        <v>0</v>
      </c>
      <c r="BR59" s="9">
        <v>0</v>
      </c>
      <c r="BS59" s="9">
        <f t="shared" si="16"/>
        <v>0</v>
      </c>
      <c r="BT59" s="9">
        <f t="shared" si="17"/>
        <v>0</v>
      </c>
      <c r="BU59" s="9">
        <f t="shared" si="18"/>
        <v>0</v>
      </c>
      <c r="BV59" s="9">
        <f t="shared" si="19"/>
        <v>292.19735999999995</v>
      </c>
      <c r="BW59">
        <f t="shared" si="20"/>
        <v>292.19735999999995</v>
      </c>
      <c r="BX59">
        <v>0</v>
      </c>
      <c r="BY59">
        <f t="shared" si="21"/>
        <v>1480.7924518799998</v>
      </c>
      <c r="BZ59">
        <v>930.52063339199992</v>
      </c>
      <c r="CA59">
        <f t="shared" si="22"/>
        <v>2630.4340066079994</v>
      </c>
      <c r="CB59">
        <f t="shared" si="23"/>
        <v>5333.9444518799992</v>
      </c>
      <c r="CC59">
        <v>0</v>
      </c>
      <c r="CD59">
        <v>0</v>
      </c>
      <c r="CE59">
        <f t="shared" si="24"/>
        <v>0</v>
      </c>
      <c r="CF59">
        <f t="shared" si="25"/>
        <v>3853.1519999999996</v>
      </c>
      <c r="CG59">
        <f t="shared" si="26"/>
        <v>2630.4340066079994</v>
      </c>
      <c r="CH59">
        <f t="shared" si="27"/>
        <v>0</v>
      </c>
      <c r="CJ59" t="s">
        <v>278</v>
      </c>
      <c r="CL59" t="str">
        <f t="shared" si="28"/>
        <v/>
      </c>
    </row>
    <row r="60" spans="1:90" x14ac:dyDescent="0.25">
      <c r="A60" t="s">
        <v>102</v>
      </c>
      <c r="B60" t="s">
        <v>173</v>
      </c>
      <c r="C60" s="1">
        <v>46023</v>
      </c>
      <c r="D60" t="s">
        <v>174</v>
      </c>
      <c r="E60" t="s">
        <v>175</v>
      </c>
      <c r="F60" s="4">
        <v>1</v>
      </c>
      <c r="G60" s="4">
        <v>0.2</v>
      </c>
      <c r="H60" s="9">
        <v>1495.3439999999998</v>
      </c>
      <c r="I60" s="9">
        <v>249.22399999999996</v>
      </c>
      <c r="J60" s="9">
        <f t="shared" si="0"/>
        <v>1744.5679999999998</v>
      </c>
      <c r="K60" s="9">
        <v>0</v>
      </c>
      <c r="L60" s="9">
        <f t="shared" si="1"/>
        <v>0</v>
      </c>
      <c r="M60">
        <v>0</v>
      </c>
      <c r="N60" s="4">
        <f t="shared" si="2"/>
        <v>0</v>
      </c>
      <c r="O60" s="9">
        <v>1246.1199999999999</v>
      </c>
      <c r="P60" s="9">
        <v>249.22399999999999</v>
      </c>
      <c r="Q60" s="9">
        <v>0</v>
      </c>
      <c r="R60" s="9">
        <v>0</v>
      </c>
      <c r="S60" s="9">
        <v>0</v>
      </c>
      <c r="T60" s="9">
        <v>0</v>
      </c>
      <c r="U60" s="9">
        <v>0</v>
      </c>
      <c r="V60" s="9">
        <v>0</v>
      </c>
      <c r="W60" s="9">
        <f t="shared" si="3"/>
        <v>1495.3439999999998</v>
      </c>
      <c r="X60" s="9">
        <v>249.22399999999996</v>
      </c>
      <c r="Y60" s="9">
        <v>0</v>
      </c>
      <c r="Z60" s="9">
        <v>1744.5679999999998</v>
      </c>
      <c r="AA60" s="9">
        <v>0</v>
      </c>
      <c r="AB60" s="9">
        <f t="shared" si="4"/>
        <v>1744.5679999999998</v>
      </c>
      <c r="AC60" s="9">
        <v>1744.5679999999998</v>
      </c>
      <c r="AD60" s="9">
        <v>0</v>
      </c>
      <c r="AE60" s="9">
        <v>1495.3439999999998</v>
      </c>
      <c r="AF60" s="9">
        <v>81.99469599999999</v>
      </c>
      <c r="AG60" s="9">
        <v>405.63204695999997</v>
      </c>
      <c r="AH60" s="9">
        <v>27.040803999999994</v>
      </c>
      <c r="AI60" s="9">
        <v>94.5328923</v>
      </c>
      <c r="AJ60" s="9">
        <v>3.4375597199999999</v>
      </c>
      <c r="AK60" s="9">
        <v>1.7445679999999999</v>
      </c>
      <c r="AL60" s="9">
        <v>10.31267916</v>
      </c>
      <c r="AM60" s="9">
        <v>2.6168519999999997</v>
      </c>
      <c r="AN60" s="9">
        <v>12.890848949999999</v>
      </c>
      <c r="AO60" s="9">
        <v>25.781697899999998</v>
      </c>
      <c r="AP60" s="9">
        <v>0</v>
      </c>
      <c r="AQ60" s="25">
        <v>0</v>
      </c>
      <c r="AR60" s="9">
        <f t="shared" si="5"/>
        <v>0</v>
      </c>
      <c r="AS60" s="25">
        <v>0</v>
      </c>
      <c r="AT60" s="9">
        <f t="shared" si="6"/>
        <v>0</v>
      </c>
      <c r="AU60" s="9">
        <v>0</v>
      </c>
      <c r="AV60" s="25">
        <v>0</v>
      </c>
      <c r="AW60" s="9">
        <f t="shared" si="7"/>
        <v>0</v>
      </c>
      <c r="AX60" s="25">
        <v>0</v>
      </c>
      <c r="AY60" s="9">
        <f t="shared" si="8"/>
        <v>0</v>
      </c>
      <c r="AZ60" s="9">
        <v>0</v>
      </c>
      <c r="BA60" s="25">
        <v>0</v>
      </c>
      <c r="BB60" s="9">
        <f t="shared" si="9"/>
        <v>0</v>
      </c>
      <c r="BC60" s="25">
        <v>0</v>
      </c>
      <c r="BD60" s="9">
        <f t="shared" si="10"/>
        <v>0</v>
      </c>
      <c r="BE60" s="9">
        <v>0</v>
      </c>
      <c r="BF60" s="9">
        <v>0</v>
      </c>
      <c r="BG60" s="9">
        <f t="shared" si="11"/>
        <v>0</v>
      </c>
      <c r="BH60" s="9">
        <v>0</v>
      </c>
      <c r="BI60" s="9">
        <f t="shared" si="12"/>
        <v>0</v>
      </c>
      <c r="BJ60" s="9">
        <v>0</v>
      </c>
      <c r="BK60" s="9">
        <v>0</v>
      </c>
      <c r="BL60" s="9">
        <f t="shared" si="13"/>
        <v>0</v>
      </c>
      <c r="BM60" s="9">
        <v>0</v>
      </c>
      <c r="BN60" s="9">
        <f t="shared" si="14"/>
        <v>0</v>
      </c>
      <c r="BO60" s="9">
        <v>0</v>
      </c>
      <c r="BP60" s="9">
        <v>0</v>
      </c>
      <c r="BQ60" s="9">
        <f t="shared" si="15"/>
        <v>0</v>
      </c>
      <c r="BR60" s="9">
        <v>0</v>
      </c>
      <c r="BS60" s="9">
        <f t="shared" si="16"/>
        <v>0</v>
      </c>
      <c r="BT60" s="9">
        <f t="shared" si="17"/>
        <v>0</v>
      </c>
      <c r="BU60" s="9">
        <f t="shared" si="18"/>
        <v>0</v>
      </c>
      <c r="BV60" s="9">
        <f t="shared" si="19"/>
        <v>113.39691999999998</v>
      </c>
      <c r="BW60">
        <f t="shared" si="20"/>
        <v>113.39691999999998</v>
      </c>
      <c r="BX60">
        <v>0</v>
      </c>
      <c r="BY60">
        <f t="shared" si="21"/>
        <v>552.58772498999997</v>
      </c>
      <c r="BZ60">
        <v>139.95778859999999</v>
      </c>
      <c r="CA60">
        <f t="shared" si="22"/>
        <v>1241.9892914</v>
      </c>
      <c r="CB60">
        <f t="shared" si="23"/>
        <v>2047.9317249899998</v>
      </c>
      <c r="CC60">
        <v>0</v>
      </c>
      <c r="CD60">
        <v>0</v>
      </c>
      <c r="CE60">
        <f t="shared" si="24"/>
        <v>0</v>
      </c>
      <c r="CF60">
        <f t="shared" si="25"/>
        <v>1495.3439999999998</v>
      </c>
      <c r="CG60">
        <f t="shared" si="26"/>
        <v>1241.9892914</v>
      </c>
      <c r="CH60">
        <f t="shared" si="27"/>
        <v>0</v>
      </c>
      <c r="CJ60" t="s">
        <v>278</v>
      </c>
      <c r="CL60" t="str">
        <f t="shared" si="28"/>
        <v/>
      </c>
    </row>
    <row r="61" spans="1:90" x14ac:dyDescent="0.25">
      <c r="A61" t="s">
        <v>102</v>
      </c>
      <c r="B61" t="s">
        <v>176</v>
      </c>
      <c r="C61" s="1">
        <v>46054</v>
      </c>
      <c r="D61" t="s">
        <v>174</v>
      </c>
      <c r="E61" t="s">
        <v>175</v>
      </c>
      <c r="F61" s="4">
        <v>1</v>
      </c>
      <c r="G61" s="4">
        <v>0.2</v>
      </c>
      <c r="H61" s="9">
        <v>1495.3439999999998</v>
      </c>
      <c r="I61" s="9">
        <v>249.22399999999996</v>
      </c>
      <c r="J61" s="9">
        <f t="shared" si="0"/>
        <v>1744.5679999999998</v>
      </c>
      <c r="K61" s="9">
        <v>0</v>
      </c>
      <c r="L61" s="9">
        <f t="shared" si="1"/>
        <v>0</v>
      </c>
      <c r="M61">
        <v>0</v>
      </c>
      <c r="N61" s="4">
        <f t="shared" si="2"/>
        <v>0</v>
      </c>
      <c r="O61" s="9">
        <v>1246.1199999999999</v>
      </c>
      <c r="P61" s="9">
        <v>249.22399999999999</v>
      </c>
      <c r="Q61" s="9">
        <v>0</v>
      </c>
      <c r="R61" s="9">
        <v>0</v>
      </c>
      <c r="S61" s="9">
        <v>0</v>
      </c>
      <c r="T61" s="9">
        <v>0</v>
      </c>
      <c r="U61" s="9">
        <v>0</v>
      </c>
      <c r="V61" s="9">
        <v>0</v>
      </c>
      <c r="W61" s="9">
        <f t="shared" si="3"/>
        <v>1495.3439999999998</v>
      </c>
      <c r="X61" s="9">
        <v>249.22399999999996</v>
      </c>
      <c r="Y61" s="9">
        <v>0</v>
      </c>
      <c r="Z61" s="9">
        <v>1744.5679999999998</v>
      </c>
      <c r="AA61" s="9">
        <v>0</v>
      </c>
      <c r="AB61" s="9">
        <f t="shared" si="4"/>
        <v>1744.5679999999998</v>
      </c>
      <c r="AC61" s="9">
        <v>1744.5679999999998</v>
      </c>
      <c r="AD61" s="9">
        <v>0</v>
      </c>
      <c r="AE61" s="9">
        <v>1495.3439999999998</v>
      </c>
      <c r="AF61" s="9">
        <v>81.99469599999999</v>
      </c>
      <c r="AG61" s="9">
        <v>405.63204695999997</v>
      </c>
      <c r="AH61" s="9">
        <v>27.040803999999994</v>
      </c>
      <c r="AI61" s="9">
        <v>94.5328923</v>
      </c>
      <c r="AJ61" s="9">
        <v>3.4375597199999999</v>
      </c>
      <c r="AK61" s="9">
        <v>1.7445679999999999</v>
      </c>
      <c r="AL61" s="9">
        <v>10.31267916</v>
      </c>
      <c r="AM61" s="9">
        <v>2.6168519999999997</v>
      </c>
      <c r="AN61" s="9">
        <v>12.890848949999999</v>
      </c>
      <c r="AO61" s="9">
        <v>25.781697899999998</v>
      </c>
      <c r="AP61" s="9">
        <v>0</v>
      </c>
      <c r="AQ61" s="25">
        <v>0</v>
      </c>
      <c r="AR61" s="9">
        <f t="shared" si="5"/>
        <v>0</v>
      </c>
      <c r="AS61" s="25">
        <v>0</v>
      </c>
      <c r="AT61" s="9">
        <f t="shared" si="6"/>
        <v>0</v>
      </c>
      <c r="AU61" s="9">
        <v>0</v>
      </c>
      <c r="AV61" s="25">
        <v>0</v>
      </c>
      <c r="AW61" s="9">
        <f t="shared" si="7"/>
        <v>0</v>
      </c>
      <c r="AX61" s="25">
        <v>0</v>
      </c>
      <c r="AY61" s="9">
        <f t="shared" si="8"/>
        <v>0</v>
      </c>
      <c r="AZ61" s="9">
        <v>0</v>
      </c>
      <c r="BA61" s="25">
        <v>0</v>
      </c>
      <c r="BB61" s="9">
        <f t="shared" si="9"/>
        <v>0</v>
      </c>
      <c r="BC61" s="25">
        <v>0</v>
      </c>
      <c r="BD61" s="9">
        <f t="shared" si="10"/>
        <v>0</v>
      </c>
      <c r="BE61" s="9">
        <v>0</v>
      </c>
      <c r="BF61" s="9">
        <v>0</v>
      </c>
      <c r="BG61" s="9">
        <f t="shared" si="11"/>
        <v>0</v>
      </c>
      <c r="BH61" s="9">
        <v>0</v>
      </c>
      <c r="BI61" s="9">
        <f t="shared" si="12"/>
        <v>0</v>
      </c>
      <c r="BJ61" s="9">
        <v>0</v>
      </c>
      <c r="BK61" s="9">
        <v>0</v>
      </c>
      <c r="BL61" s="9">
        <f t="shared" si="13"/>
        <v>0</v>
      </c>
      <c r="BM61" s="9">
        <v>0</v>
      </c>
      <c r="BN61" s="9">
        <f t="shared" si="14"/>
        <v>0</v>
      </c>
      <c r="BO61" s="9">
        <v>0</v>
      </c>
      <c r="BP61" s="9">
        <v>0</v>
      </c>
      <c r="BQ61" s="9">
        <f t="shared" si="15"/>
        <v>0</v>
      </c>
      <c r="BR61" s="9">
        <v>0</v>
      </c>
      <c r="BS61" s="9">
        <f t="shared" si="16"/>
        <v>0</v>
      </c>
      <c r="BT61" s="9">
        <f t="shared" si="17"/>
        <v>0</v>
      </c>
      <c r="BU61" s="9">
        <f t="shared" si="18"/>
        <v>0</v>
      </c>
      <c r="BV61" s="9">
        <f t="shared" si="19"/>
        <v>113.39691999999998</v>
      </c>
      <c r="BW61">
        <f t="shared" si="20"/>
        <v>113.39691999999998</v>
      </c>
      <c r="BX61">
        <v>0</v>
      </c>
      <c r="BY61">
        <f t="shared" si="21"/>
        <v>552.58772498999997</v>
      </c>
      <c r="BZ61">
        <v>139.95778859999999</v>
      </c>
      <c r="CA61">
        <f t="shared" si="22"/>
        <v>1241.9892914</v>
      </c>
      <c r="CB61">
        <f t="shared" si="23"/>
        <v>2047.9317249899998</v>
      </c>
      <c r="CC61">
        <v>0</v>
      </c>
      <c r="CD61">
        <v>0</v>
      </c>
      <c r="CE61">
        <f t="shared" si="24"/>
        <v>0</v>
      </c>
      <c r="CF61">
        <f t="shared" si="25"/>
        <v>1495.3439999999998</v>
      </c>
      <c r="CG61">
        <f t="shared" si="26"/>
        <v>1241.9892914</v>
      </c>
      <c r="CH61">
        <f t="shared" si="27"/>
        <v>0</v>
      </c>
      <c r="CJ61" t="s">
        <v>278</v>
      </c>
      <c r="CL61" t="str">
        <f t="shared" si="28"/>
        <v/>
      </c>
    </row>
    <row r="62" spans="1:90" x14ac:dyDescent="0.25">
      <c r="A62" t="s">
        <v>102</v>
      </c>
      <c r="B62" t="s">
        <v>177</v>
      </c>
      <c r="C62" s="1">
        <v>46082</v>
      </c>
      <c r="D62" t="s">
        <v>174</v>
      </c>
      <c r="E62" t="s">
        <v>175</v>
      </c>
      <c r="F62" s="4">
        <v>1</v>
      </c>
      <c r="G62" s="4">
        <v>0.2</v>
      </c>
      <c r="H62" s="9">
        <v>1495.3439999999998</v>
      </c>
      <c r="I62" s="9">
        <v>249.22399999999996</v>
      </c>
      <c r="J62" s="9">
        <f t="shared" si="0"/>
        <v>1744.5679999999998</v>
      </c>
      <c r="K62" s="9">
        <v>0</v>
      </c>
      <c r="L62" s="9">
        <f t="shared" si="1"/>
        <v>0</v>
      </c>
      <c r="M62">
        <v>0</v>
      </c>
      <c r="N62" s="4">
        <f t="shared" si="2"/>
        <v>0</v>
      </c>
      <c r="O62" s="9">
        <v>1246.1199999999999</v>
      </c>
      <c r="P62" s="9">
        <v>249.22399999999999</v>
      </c>
      <c r="Q62" s="9">
        <v>0</v>
      </c>
      <c r="R62" s="9">
        <v>0</v>
      </c>
      <c r="S62" s="9">
        <v>0</v>
      </c>
      <c r="T62" s="9">
        <v>0</v>
      </c>
      <c r="U62" s="9">
        <v>0</v>
      </c>
      <c r="V62" s="9">
        <v>0</v>
      </c>
      <c r="W62" s="9">
        <f t="shared" si="3"/>
        <v>1495.3439999999998</v>
      </c>
      <c r="X62" s="9">
        <v>249.22399999999996</v>
      </c>
      <c r="Y62" s="9">
        <v>0</v>
      </c>
      <c r="Z62" s="9">
        <v>1744.5679999999998</v>
      </c>
      <c r="AA62" s="9">
        <v>0</v>
      </c>
      <c r="AB62" s="9">
        <f t="shared" si="4"/>
        <v>1744.5679999999998</v>
      </c>
      <c r="AC62" s="9">
        <v>1744.5679999999998</v>
      </c>
      <c r="AD62" s="9">
        <v>0</v>
      </c>
      <c r="AE62" s="9">
        <v>1495.3439999999998</v>
      </c>
      <c r="AF62" s="9">
        <v>81.99469599999999</v>
      </c>
      <c r="AG62" s="9">
        <v>405.63204695999997</v>
      </c>
      <c r="AH62" s="9">
        <v>27.040803999999994</v>
      </c>
      <c r="AI62" s="9">
        <v>94.5328923</v>
      </c>
      <c r="AJ62" s="9">
        <v>3.4375597199999999</v>
      </c>
      <c r="AK62" s="9">
        <v>1.7445679999999999</v>
      </c>
      <c r="AL62" s="9">
        <v>10.31267916</v>
      </c>
      <c r="AM62" s="9">
        <v>2.6168519999999997</v>
      </c>
      <c r="AN62" s="9">
        <v>12.890848949999999</v>
      </c>
      <c r="AO62" s="9">
        <v>25.781697899999998</v>
      </c>
      <c r="AP62" s="9">
        <v>0</v>
      </c>
      <c r="AQ62" s="25">
        <v>0</v>
      </c>
      <c r="AR62" s="9">
        <f t="shared" si="5"/>
        <v>0</v>
      </c>
      <c r="AS62" s="25">
        <v>0</v>
      </c>
      <c r="AT62" s="9">
        <f t="shared" si="6"/>
        <v>0</v>
      </c>
      <c r="AU62" s="9">
        <v>0</v>
      </c>
      <c r="AV62" s="25">
        <v>0</v>
      </c>
      <c r="AW62" s="9">
        <f t="shared" si="7"/>
        <v>0</v>
      </c>
      <c r="AX62" s="25">
        <v>0</v>
      </c>
      <c r="AY62" s="9">
        <f t="shared" si="8"/>
        <v>0</v>
      </c>
      <c r="AZ62" s="9">
        <v>0</v>
      </c>
      <c r="BA62" s="25">
        <v>0</v>
      </c>
      <c r="BB62" s="9">
        <f t="shared" si="9"/>
        <v>0</v>
      </c>
      <c r="BC62" s="25">
        <v>0</v>
      </c>
      <c r="BD62" s="9">
        <f t="shared" si="10"/>
        <v>0</v>
      </c>
      <c r="BE62" s="9">
        <v>0</v>
      </c>
      <c r="BF62" s="9">
        <v>0</v>
      </c>
      <c r="BG62" s="9">
        <f t="shared" si="11"/>
        <v>0</v>
      </c>
      <c r="BH62" s="9">
        <v>0</v>
      </c>
      <c r="BI62" s="9">
        <f t="shared" si="12"/>
        <v>0</v>
      </c>
      <c r="BJ62" s="9">
        <v>0</v>
      </c>
      <c r="BK62" s="9">
        <v>0</v>
      </c>
      <c r="BL62" s="9">
        <f t="shared" si="13"/>
        <v>0</v>
      </c>
      <c r="BM62" s="9">
        <v>0</v>
      </c>
      <c r="BN62" s="9">
        <f t="shared" si="14"/>
        <v>0</v>
      </c>
      <c r="BO62" s="9">
        <v>0</v>
      </c>
      <c r="BP62" s="9">
        <v>0</v>
      </c>
      <c r="BQ62" s="9">
        <f t="shared" si="15"/>
        <v>0</v>
      </c>
      <c r="BR62" s="9">
        <v>0</v>
      </c>
      <c r="BS62" s="9">
        <f t="shared" si="16"/>
        <v>0</v>
      </c>
      <c r="BT62" s="9">
        <f t="shared" si="17"/>
        <v>0</v>
      </c>
      <c r="BU62" s="9">
        <f t="shared" si="18"/>
        <v>0</v>
      </c>
      <c r="BV62" s="9">
        <f t="shared" si="19"/>
        <v>113.39691999999998</v>
      </c>
      <c r="BW62">
        <f t="shared" si="20"/>
        <v>113.39691999999998</v>
      </c>
      <c r="BX62">
        <v>0</v>
      </c>
      <c r="BY62">
        <f t="shared" si="21"/>
        <v>552.58772498999997</v>
      </c>
      <c r="BZ62">
        <v>139.95778859999999</v>
      </c>
      <c r="CA62">
        <f t="shared" si="22"/>
        <v>1241.9892914</v>
      </c>
      <c r="CB62">
        <f t="shared" si="23"/>
        <v>2047.9317249899998</v>
      </c>
      <c r="CC62">
        <v>0</v>
      </c>
      <c r="CD62">
        <v>0</v>
      </c>
      <c r="CE62">
        <f t="shared" si="24"/>
        <v>0</v>
      </c>
      <c r="CF62">
        <f t="shared" si="25"/>
        <v>1495.3439999999998</v>
      </c>
      <c r="CG62">
        <f t="shared" si="26"/>
        <v>1241.9892914</v>
      </c>
      <c r="CH62">
        <f t="shared" si="27"/>
        <v>0</v>
      </c>
      <c r="CJ62" t="s">
        <v>278</v>
      </c>
      <c r="CL62" t="str">
        <f t="shared" si="28"/>
        <v/>
      </c>
    </row>
    <row r="63" spans="1:90" x14ac:dyDescent="0.25">
      <c r="A63" t="s">
        <v>102</v>
      </c>
      <c r="B63" t="s">
        <v>178</v>
      </c>
      <c r="C63" s="1">
        <v>46113</v>
      </c>
      <c r="D63" t="s">
        <v>174</v>
      </c>
      <c r="E63" t="s">
        <v>175</v>
      </c>
      <c r="F63" s="4">
        <v>1</v>
      </c>
      <c r="G63" s="4">
        <v>0.2</v>
      </c>
      <c r="H63" s="9">
        <v>1495.3439999999998</v>
      </c>
      <c r="I63" s="9">
        <v>249.22399999999996</v>
      </c>
      <c r="J63" s="9">
        <f t="shared" si="0"/>
        <v>1744.5679999999998</v>
      </c>
      <c r="K63" s="9">
        <v>0</v>
      </c>
      <c r="L63" s="9">
        <f t="shared" si="1"/>
        <v>0</v>
      </c>
      <c r="M63">
        <v>0</v>
      </c>
      <c r="N63" s="4">
        <f t="shared" si="2"/>
        <v>0</v>
      </c>
      <c r="O63" s="9">
        <v>1246.1199999999999</v>
      </c>
      <c r="P63" s="9">
        <v>249.22399999999999</v>
      </c>
      <c r="Q63" s="9">
        <v>0</v>
      </c>
      <c r="R63" s="9">
        <v>0</v>
      </c>
      <c r="S63" s="9">
        <v>0</v>
      </c>
      <c r="T63" s="9">
        <v>0</v>
      </c>
      <c r="U63" s="9">
        <v>0</v>
      </c>
      <c r="V63" s="9">
        <v>0</v>
      </c>
      <c r="W63" s="9">
        <f t="shared" si="3"/>
        <v>1495.3439999999998</v>
      </c>
      <c r="X63" s="9">
        <v>249.22399999999996</v>
      </c>
      <c r="Y63" s="9">
        <v>0</v>
      </c>
      <c r="Z63" s="9">
        <v>1744.5679999999998</v>
      </c>
      <c r="AA63" s="9">
        <v>0</v>
      </c>
      <c r="AB63" s="9">
        <f t="shared" si="4"/>
        <v>1744.5679999999998</v>
      </c>
      <c r="AC63" s="9">
        <v>1744.5679999999998</v>
      </c>
      <c r="AD63" s="9">
        <v>0</v>
      </c>
      <c r="AE63" s="9">
        <v>1495.3439999999998</v>
      </c>
      <c r="AF63" s="9">
        <v>81.99469599999999</v>
      </c>
      <c r="AG63" s="9">
        <v>405.63204695999997</v>
      </c>
      <c r="AH63" s="9">
        <v>27.040803999999994</v>
      </c>
      <c r="AI63" s="9">
        <v>94.5328923</v>
      </c>
      <c r="AJ63" s="9">
        <v>3.4375597199999999</v>
      </c>
      <c r="AK63" s="9">
        <v>1.7445679999999999</v>
      </c>
      <c r="AL63" s="9">
        <v>10.31267916</v>
      </c>
      <c r="AM63" s="9">
        <v>2.6168519999999997</v>
      </c>
      <c r="AN63" s="9">
        <v>12.890848949999999</v>
      </c>
      <c r="AO63" s="9">
        <v>25.781697899999998</v>
      </c>
      <c r="AP63" s="9">
        <v>0</v>
      </c>
      <c r="AQ63" s="25">
        <v>0</v>
      </c>
      <c r="AR63" s="9">
        <f t="shared" si="5"/>
        <v>0</v>
      </c>
      <c r="AS63" s="25">
        <v>0</v>
      </c>
      <c r="AT63" s="9">
        <f t="shared" si="6"/>
        <v>0</v>
      </c>
      <c r="AU63" s="9">
        <v>0</v>
      </c>
      <c r="AV63" s="25">
        <v>0</v>
      </c>
      <c r="AW63" s="9">
        <f t="shared" si="7"/>
        <v>0</v>
      </c>
      <c r="AX63" s="25">
        <v>0</v>
      </c>
      <c r="AY63" s="9">
        <f t="shared" si="8"/>
        <v>0</v>
      </c>
      <c r="AZ63" s="9">
        <v>0</v>
      </c>
      <c r="BA63" s="25">
        <v>0</v>
      </c>
      <c r="BB63" s="9">
        <f t="shared" si="9"/>
        <v>0</v>
      </c>
      <c r="BC63" s="25">
        <v>0</v>
      </c>
      <c r="BD63" s="9">
        <f t="shared" si="10"/>
        <v>0</v>
      </c>
      <c r="BE63" s="9">
        <v>0</v>
      </c>
      <c r="BF63" s="9">
        <v>0</v>
      </c>
      <c r="BG63" s="9">
        <f t="shared" si="11"/>
        <v>0</v>
      </c>
      <c r="BH63" s="9">
        <v>0</v>
      </c>
      <c r="BI63" s="9">
        <f t="shared" si="12"/>
        <v>0</v>
      </c>
      <c r="BJ63" s="9">
        <v>0</v>
      </c>
      <c r="BK63" s="9">
        <v>0</v>
      </c>
      <c r="BL63" s="9">
        <f t="shared" si="13"/>
        <v>0</v>
      </c>
      <c r="BM63" s="9">
        <v>0</v>
      </c>
      <c r="BN63" s="9">
        <f t="shared" si="14"/>
        <v>0</v>
      </c>
      <c r="BO63" s="9">
        <v>0</v>
      </c>
      <c r="BP63" s="9">
        <v>0</v>
      </c>
      <c r="BQ63" s="9">
        <f t="shared" si="15"/>
        <v>0</v>
      </c>
      <c r="BR63" s="9">
        <v>0</v>
      </c>
      <c r="BS63" s="9">
        <f t="shared" si="16"/>
        <v>0</v>
      </c>
      <c r="BT63" s="9">
        <f t="shared" si="17"/>
        <v>0</v>
      </c>
      <c r="BU63" s="9">
        <f t="shared" si="18"/>
        <v>0</v>
      </c>
      <c r="BV63" s="9">
        <f t="shared" si="19"/>
        <v>113.39691999999998</v>
      </c>
      <c r="BW63">
        <f t="shared" si="20"/>
        <v>113.39691999999998</v>
      </c>
      <c r="BX63">
        <v>0</v>
      </c>
      <c r="BY63">
        <f t="shared" si="21"/>
        <v>552.58772498999997</v>
      </c>
      <c r="BZ63">
        <v>139.95778859999999</v>
      </c>
      <c r="CA63">
        <f t="shared" si="22"/>
        <v>1241.9892914</v>
      </c>
      <c r="CB63">
        <f t="shared" si="23"/>
        <v>2047.9317249899998</v>
      </c>
      <c r="CC63">
        <v>0</v>
      </c>
      <c r="CD63">
        <v>0</v>
      </c>
      <c r="CE63">
        <f t="shared" si="24"/>
        <v>0</v>
      </c>
      <c r="CF63">
        <f t="shared" si="25"/>
        <v>1495.3439999999998</v>
      </c>
      <c r="CG63">
        <f t="shared" si="26"/>
        <v>1241.9892914</v>
      </c>
      <c r="CH63">
        <f t="shared" si="27"/>
        <v>0</v>
      </c>
      <c r="CJ63" t="s">
        <v>278</v>
      </c>
      <c r="CL63" t="str">
        <f t="shared" si="28"/>
        <v/>
      </c>
    </row>
    <row r="64" spans="1:90" x14ac:dyDescent="0.25">
      <c r="A64" t="s">
        <v>102</v>
      </c>
      <c r="B64" t="s">
        <v>179</v>
      </c>
      <c r="C64" s="1">
        <v>46143</v>
      </c>
      <c r="D64" t="s">
        <v>174</v>
      </c>
      <c r="E64" t="s">
        <v>175</v>
      </c>
      <c r="F64" s="4">
        <v>1</v>
      </c>
      <c r="G64" s="4">
        <v>0.2</v>
      </c>
      <c r="H64" s="9">
        <v>1495.3439999999998</v>
      </c>
      <c r="I64" s="9">
        <v>249.22399999999996</v>
      </c>
      <c r="J64" s="9">
        <f t="shared" si="0"/>
        <v>1744.5679999999998</v>
      </c>
      <c r="K64" s="9">
        <v>0</v>
      </c>
      <c r="L64" s="9">
        <f t="shared" si="1"/>
        <v>0</v>
      </c>
      <c r="M64">
        <v>0</v>
      </c>
      <c r="N64" s="4">
        <f t="shared" si="2"/>
        <v>0</v>
      </c>
      <c r="O64" s="9">
        <v>1246.1199999999999</v>
      </c>
      <c r="P64" s="9">
        <v>249.22399999999999</v>
      </c>
      <c r="Q64" s="9">
        <v>0</v>
      </c>
      <c r="R64" s="9">
        <v>0</v>
      </c>
      <c r="S64" s="9">
        <v>0</v>
      </c>
      <c r="T64" s="9">
        <v>0</v>
      </c>
      <c r="U64" s="9">
        <v>0</v>
      </c>
      <c r="V64" s="9">
        <v>0</v>
      </c>
      <c r="W64" s="9">
        <f t="shared" si="3"/>
        <v>1495.3439999999998</v>
      </c>
      <c r="X64" s="9">
        <v>249.22399999999996</v>
      </c>
      <c r="Y64" s="9">
        <v>0</v>
      </c>
      <c r="Z64" s="9">
        <v>1744.5679999999998</v>
      </c>
      <c r="AA64" s="9">
        <v>0</v>
      </c>
      <c r="AB64" s="9">
        <f t="shared" si="4"/>
        <v>1744.5679999999998</v>
      </c>
      <c r="AC64" s="9">
        <v>1744.5679999999998</v>
      </c>
      <c r="AD64" s="9">
        <v>0</v>
      </c>
      <c r="AE64" s="9">
        <v>1495.3439999999998</v>
      </c>
      <c r="AF64" s="9">
        <v>81.99469599999999</v>
      </c>
      <c r="AG64" s="9">
        <v>405.63204695999997</v>
      </c>
      <c r="AH64" s="9">
        <v>27.040803999999994</v>
      </c>
      <c r="AI64" s="9">
        <v>94.5328923</v>
      </c>
      <c r="AJ64" s="9">
        <v>3.4375597199999999</v>
      </c>
      <c r="AK64" s="9">
        <v>1.7445679999999999</v>
      </c>
      <c r="AL64" s="9">
        <v>10.31267916</v>
      </c>
      <c r="AM64" s="9">
        <v>2.6168519999999997</v>
      </c>
      <c r="AN64" s="9">
        <v>12.890848949999999</v>
      </c>
      <c r="AO64" s="9">
        <v>25.781697899999998</v>
      </c>
      <c r="AP64" s="9">
        <v>0</v>
      </c>
      <c r="AQ64" s="25">
        <v>0</v>
      </c>
      <c r="AR64" s="9">
        <f t="shared" si="5"/>
        <v>0</v>
      </c>
      <c r="AS64" s="25">
        <v>0</v>
      </c>
      <c r="AT64" s="9">
        <f t="shared" si="6"/>
        <v>0</v>
      </c>
      <c r="AU64" s="9">
        <v>0</v>
      </c>
      <c r="AV64" s="25">
        <v>0</v>
      </c>
      <c r="AW64" s="9">
        <f t="shared" si="7"/>
        <v>0</v>
      </c>
      <c r="AX64" s="25">
        <v>0</v>
      </c>
      <c r="AY64" s="9">
        <f t="shared" si="8"/>
        <v>0</v>
      </c>
      <c r="AZ64" s="9">
        <v>0</v>
      </c>
      <c r="BA64" s="25">
        <v>0</v>
      </c>
      <c r="BB64" s="9">
        <f t="shared" si="9"/>
        <v>0</v>
      </c>
      <c r="BC64" s="25">
        <v>0</v>
      </c>
      <c r="BD64" s="9">
        <f t="shared" si="10"/>
        <v>0</v>
      </c>
      <c r="BE64" s="9">
        <v>0</v>
      </c>
      <c r="BF64" s="9">
        <v>0</v>
      </c>
      <c r="BG64" s="9">
        <f t="shared" si="11"/>
        <v>0</v>
      </c>
      <c r="BH64" s="9">
        <v>0</v>
      </c>
      <c r="BI64" s="9">
        <f t="shared" si="12"/>
        <v>0</v>
      </c>
      <c r="BJ64" s="9">
        <v>0</v>
      </c>
      <c r="BK64" s="9">
        <v>0</v>
      </c>
      <c r="BL64" s="9">
        <f t="shared" si="13"/>
        <v>0</v>
      </c>
      <c r="BM64" s="9">
        <v>0</v>
      </c>
      <c r="BN64" s="9">
        <f t="shared" si="14"/>
        <v>0</v>
      </c>
      <c r="BO64" s="9">
        <v>0</v>
      </c>
      <c r="BP64" s="9">
        <v>0</v>
      </c>
      <c r="BQ64" s="9">
        <f t="shared" si="15"/>
        <v>0</v>
      </c>
      <c r="BR64" s="9">
        <v>0</v>
      </c>
      <c r="BS64" s="9">
        <f t="shared" si="16"/>
        <v>0</v>
      </c>
      <c r="BT64" s="9">
        <f t="shared" si="17"/>
        <v>0</v>
      </c>
      <c r="BU64" s="9">
        <f t="shared" si="18"/>
        <v>0</v>
      </c>
      <c r="BV64" s="9">
        <f t="shared" si="19"/>
        <v>113.39691999999998</v>
      </c>
      <c r="BW64">
        <f t="shared" si="20"/>
        <v>113.39691999999998</v>
      </c>
      <c r="BX64">
        <v>0</v>
      </c>
      <c r="BY64">
        <f t="shared" si="21"/>
        <v>552.58772498999997</v>
      </c>
      <c r="BZ64">
        <v>139.95778859999999</v>
      </c>
      <c r="CA64">
        <f t="shared" si="22"/>
        <v>1241.9892914</v>
      </c>
      <c r="CB64">
        <f t="shared" si="23"/>
        <v>2047.9317249899998</v>
      </c>
      <c r="CC64">
        <v>0</v>
      </c>
      <c r="CD64">
        <v>0</v>
      </c>
      <c r="CE64">
        <f t="shared" si="24"/>
        <v>0</v>
      </c>
      <c r="CF64">
        <f t="shared" si="25"/>
        <v>1495.3439999999998</v>
      </c>
      <c r="CG64">
        <f t="shared" si="26"/>
        <v>1241.9892914</v>
      </c>
      <c r="CH64">
        <f t="shared" si="27"/>
        <v>0</v>
      </c>
      <c r="CJ64" t="s">
        <v>278</v>
      </c>
      <c r="CL64" t="str">
        <f t="shared" si="28"/>
        <v/>
      </c>
    </row>
    <row r="65" spans="1:90" x14ac:dyDescent="0.25">
      <c r="A65" t="s">
        <v>102</v>
      </c>
      <c r="B65" t="s">
        <v>180</v>
      </c>
      <c r="C65" s="1">
        <v>46174</v>
      </c>
      <c r="D65" t="s">
        <v>174</v>
      </c>
      <c r="E65" t="s">
        <v>175</v>
      </c>
      <c r="F65" s="4">
        <v>1</v>
      </c>
      <c r="G65" s="4">
        <v>0.2</v>
      </c>
      <c r="H65" s="9">
        <v>1495.3439999999998</v>
      </c>
      <c r="I65" s="9">
        <v>249.22399999999996</v>
      </c>
      <c r="J65" s="9">
        <f t="shared" si="0"/>
        <v>1744.5679999999998</v>
      </c>
      <c r="K65" s="9">
        <v>0</v>
      </c>
      <c r="L65" s="9">
        <f t="shared" si="1"/>
        <v>0</v>
      </c>
      <c r="M65">
        <v>0</v>
      </c>
      <c r="N65" s="4">
        <f t="shared" si="2"/>
        <v>0</v>
      </c>
      <c r="O65" s="9">
        <v>1246.1199999999999</v>
      </c>
      <c r="P65" s="9">
        <v>249.22399999999999</v>
      </c>
      <c r="Q65" s="9">
        <v>0</v>
      </c>
      <c r="R65" s="9">
        <v>0</v>
      </c>
      <c r="S65" s="9">
        <v>0</v>
      </c>
      <c r="T65" s="9">
        <v>0</v>
      </c>
      <c r="U65" s="9">
        <v>0</v>
      </c>
      <c r="V65" s="9">
        <v>0</v>
      </c>
      <c r="W65" s="9">
        <f t="shared" si="3"/>
        <v>1495.3439999999998</v>
      </c>
      <c r="X65" s="9">
        <v>249.22399999999996</v>
      </c>
      <c r="Y65" s="9">
        <v>0</v>
      </c>
      <c r="Z65" s="9">
        <v>1744.5679999999998</v>
      </c>
      <c r="AA65" s="9">
        <v>0</v>
      </c>
      <c r="AB65" s="9">
        <f t="shared" si="4"/>
        <v>1744.5679999999998</v>
      </c>
      <c r="AC65" s="9">
        <v>1744.5679999999998</v>
      </c>
      <c r="AD65" s="9">
        <v>0</v>
      </c>
      <c r="AE65" s="9">
        <v>1495.3439999999998</v>
      </c>
      <c r="AF65" s="9">
        <v>81.99469599999999</v>
      </c>
      <c r="AG65" s="9">
        <v>405.63204695999997</v>
      </c>
      <c r="AH65" s="9">
        <v>27.040803999999994</v>
      </c>
      <c r="AI65" s="9">
        <v>94.5328923</v>
      </c>
      <c r="AJ65" s="9">
        <v>3.4375597199999999</v>
      </c>
      <c r="AK65" s="9">
        <v>1.7445679999999999</v>
      </c>
      <c r="AL65" s="9">
        <v>10.31267916</v>
      </c>
      <c r="AM65" s="9">
        <v>2.6168519999999997</v>
      </c>
      <c r="AN65" s="9">
        <v>12.890848949999999</v>
      </c>
      <c r="AO65" s="9">
        <v>25.781697899999998</v>
      </c>
      <c r="AP65" s="9">
        <v>0</v>
      </c>
      <c r="AQ65" s="25">
        <v>0</v>
      </c>
      <c r="AR65" s="9">
        <f t="shared" si="5"/>
        <v>0</v>
      </c>
      <c r="AS65" s="25">
        <v>0</v>
      </c>
      <c r="AT65" s="9">
        <f t="shared" si="6"/>
        <v>0</v>
      </c>
      <c r="AU65" s="9">
        <v>0</v>
      </c>
      <c r="AV65" s="25">
        <v>0</v>
      </c>
      <c r="AW65" s="9">
        <f t="shared" si="7"/>
        <v>0</v>
      </c>
      <c r="AX65" s="25">
        <v>0</v>
      </c>
      <c r="AY65" s="9">
        <f t="shared" si="8"/>
        <v>0</v>
      </c>
      <c r="AZ65" s="9">
        <v>0</v>
      </c>
      <c r="BA65" s="25">
        <v>0</v>
      </c>
      <c r="BB65" s="9">
        <f t="shared" si="9"/>
        <v>0</v>
      </c>
      <c r="BC65" s="25">
        <v>0</v>
      </c>
      <c r="BD65" s="9">
        <f t="shared" si="10"/>
        <v>0</v>
      </c>
      <c r="BE65" s="9">
        <v>0</v>
      </c>
      <c r="BF65" s="9">
        <v>0</v>
      </c>
      <c r="BG65" s="9">
        <f t="shared" si="11"/>
        <v>0</v>
      </c>
      <c r="BH65" s="9">
        <v>0</v>
      </c>
      <c r="BI65" s="9">
        <f t="shared" si="12"/>
        <v>0</v>
      </c>
      <c r="BJ65" s="9">
        <v>0</v>
      </c>
      <c r="BK65" s="9">
        <v>0</v>
      </c>
      <c r="BL65" s="9">
        <f t="shared" si="13"/>
        <v>0</v>
      </c>
      <c r="BM65" s="9">
        <v>0</v>
      </c>
      <c r="BN65" s="9">
        <f t="shared" si="14"/>
        <v>0</v>
      </c>
      <c r="BO65" s="9">
        <v>0</v>
      </c>
      <c r="BP65" s="9">
        <v>0</v>
      </c>
      <c r="BQ65" s="9">
        <f t="shared" si="15"/>
        <v>0</v>
      </c>
      <c r="BR65" s="9">
        <v>0</v>
      </c>
      <c r="BS65" s="9">
        <f t="shared" si="16"/>
        <v>0</v>
      </c>
      <c r="BT65" s="9">
        <f t="shared" si="17"/>
        <v>0</v>
      </c>
      <c r="BU65" s="9">
        <f t="shared" si="18"/>
        <v>0</v>
      </c>
      <c r="BV65" s="9">
        <f t="shared" si="19"/>
        <v>113.39691999999998</v>
      </c>
      <c r="BW65">
        <f t="shared" si="20"/>
        <v>113.39691999999998</v>
      </c>
      <c r="BX65">
        <v>0</v>
      </c>
      <c r="BY65">
        <f t="shared" si="21"/>
        <v>552.58772498999997</v>
      </c>
      <c r="BZ65">
        <v>139.95778859999999</v>
      </c>
      <c r="CA65">
        <f t="shared" si="22"/>
        <v>1241.9892914</v>
      </c>
      <c r="CB65">
        <f t="shared" si="23"/>
        <v>2047.9317249899998</v>
      </c>
      <c r="CC65">
        <v>0</v>
      </c>
      <c r="CD65">
        <v>0</v>
      </c>
      <c r="CE65">
        <f t="shared" si="24"/>
        <v>0</v>
      </c>
      <c r="CF65">
        <f t="shared" si="25"/>
        <v>1495.3439999999998</v>
      </c>
      <c r="CG65">
        <f t="shared" si="26"/>
        <v>1241.9892914</v>
      </c>
      <c r="CH65">
        <f t="shared" si="27"/>
        <v>0</v>
      </c>
      <c r="CJ65" t="s">
        <v>278</v>
      </c>
      <c r="CL65" t="str">
        <f t="shared" si="28"/>
        <v/>
      </c>
    </row>
    <row r="66" spans="1:90" x14ac:dyDescent="0.25">
      <c r="A66" t="s">
        <v>102</v>
      </c>
      <c r="B66" t="s">
        <v>181</v>
      </c>
      <c r="C66" s="1">
        <v>46204</v>
      </c>
      <c r="D66" t="s">
        <v>182</v>
      </c>
      <c r="E66" t="s">
        <v>175</v>
      </c>
      <c r="F66" s="4">
        <v>1</v>
      </c>
      <c r="G66" s="4">
        <v>0.2</v>
      </c>
      <c r="H66" s="9">
        <v>1495.3439999999998</v>
      </c>
      <c r="I66" s="9">
        <v>249.22399999999996</v>
      </c>
      <c r="J66" s="9">
        <f t="shared" si="0"/>
        <v>1744.5679999999998</v>
      </c>
      <c r="K66" s="9">
        <v>0</v>
      </c>
      <c r="L66" s="9">
        <f t="shared" si="1"/>
        <v>0</v>
      </c>
      <c r="M66">
        <v>0</v>
      </c>
      <c r="N66" s="4">
        <f t="shared" si="2"/>
        <v>0</v>
      </c>
      <c r="O66" s="9">
        <v>1246.1199999999999</v>
      </c>
      <c r="P66" s="9">
        <v>249.22399999999999</v>
      </c>
      <c r="Q66" s="9">
        <v>0</v>
      </c>
      <c r="R66" s="9">
        <v>0</v>
      </c>
      <c r="S66" s="9">
        <v>0</v>
      </c>
      <c r="T66" s="9">
        <v>0</v>
      </c>
      <c r="U66" s="9">
        <v>0</v>
      </c>
      <c r="V66" s="9">
        <v>0</v>
      </c>
      <c r="W66" s="9">
        <f t="shared" si="3"/>
        <v>1495.3439999999998</v>
      </c>
      <c r="X66" s="9">
        <v>0</v>
      </c>
      <c r="Y66" s="9">
        <v>0</v>
      </c>
      <c r="Z66" s="9">
        <v>0</v>
      </c>
      <c r="AA66" s="9">
        <v>0</v>
      </c>
      <c r="AB66" s="9">
        <f t="shared" si="4"/>
        <v>0</v>
      </c>
      <c r="AC66" s="9">
        <v>0</v>
      </c>
      <c r="AD66" s="9">
        <v>0</v>
      </c>
      <c r="AE66" s="9">
        <v>1495.3439999999998</v>
      </c>
      <c r="AF66" s="9">
        <v>0</v>
      </c>
      <c r="AG66" s="9">
        <v>0</v>
      </c>
      <c r="AH66" s="9">
        <v>0</v>
      </c>
      <c r="AI66" s="9">
        <v>0</v>
      </c>
      <c r="AJ66" s="9">
        <v>0</v>
      </c>
      <c r="AK66" s="9">
        <v>0</v>
      </c>
      <c r="AL66" s="9">
        <v>0</v>
      </c>
      <c r="AM66" s="9">
        <v>0</v>
      </c>
      <c r="AN66" s="9">
        <v>0</v>
      </c>
      <c r="AO66" s="9">
        <v>0</v>
      </c>
      <c r="AP66" s="9">
        <v>0</v>
      </c>
      <c r="AQ66" s="25">
        <v>0</v>
      </c>
      <c r="AR66" s="9">
        <f t="shared" si="5"/>
        <v>0</v>
      </c>
      <c r="AS66" s="25">
        <v>0</v>
      </c>
      <c r="AT66" s="9">
        <f t="shared" si="6"/>
        <v>0</v>
      </c>
      <c r="AU66" s="9">
        <v>0</v>
      </c>
      <c r="AV66" s="25">
        <v>0</v>
      </c>
      <c r="AW66" s="9">
        <f t="shared" si="7"/>
        <v>0</v>
      </c>
      <c r="AX66" s="25">
        <v>0</v>
      </c>
      <c r="AY66" s="9">
        <f t="shared" si="8"/>
        <v>0</v>
      </c>
      <c r="AZ66" s="9">
        <v>0</v>
      </c>
      <c r="BA66" s="25">
        <v>0</v>
      </c>
      <c r="BB66" s="9">
        <f t="shared" si="9"/>
        <v>0</v>
      </c>
      <c r="BC66" s="25">
        <v>0</v>
      </c>
      <c r="BD66" s="9">
        <f t="shared" si="10"/>
        <v>0</v>
      </c>
      <c r="BE66" s="9">
        <v>0</v>
      </c>
      <c r="BF66" s="9">
        <v>0</v>
      </c>
      <c r="BG66" s="9">
        <f t="shared" si="11"/>
        <v>0</v>
      </c>
      <c r="BH66" s="9">
        <v>0</v>
      </c>
      <c r="BI66" s="9">
        <f t="shared" si="12"/>
        <v>0</v>
      </c>
      <c r="BJ66" s="9">
        <v>0</v>
      </c>
      <c r="BK66" s="9">
        <v>0</v>
      </c>
      <c r="BL66" s="9">
        <f t="shared" si="13"/>
        <v>0</v>
      </c>
      <c r="BM66" s="9">
        <v>0</v>
      </c>
      <c r="BN66" s="9">
        <f t="shared" si="14"/>
        <v>0</v>
      </c>
      <c r="BO66" s="9">
        <v>0</v>
      </c>
      <c r="BP66" s="9">
        <v>0</v>
      </c>
      <c r="BQ66" s="9">
        <f t="shared" si="15"/>
        <v>0</v>
      </c>
      <c r="BR66" s="9">
        <v>0</v>
      </c>
      <c r="BS66" s="9">
        <f t="shared" si="16"/>
        <v>0</v>
      </c>
      <c r="BT66" s="9">
        <f t="shared" si="17"/>
        <v>0</v>
      </c>
      <c r="BU66" s="9">
        <f t="shared" si="18"/>
        <v>0</v>
      </c>
      <c r="BV66" s="9">
        <f t="shared" si="19"/>
        <v>0</v>
      </c>
      <c r="BW66">
        <f t="shared" si="20"/>
        <v>0</v>
      </c>
      <c r="BX66">
        <v>0</v>
      </c>
      <c r="BY66">
        <f t="shared" si="21"/>
        <v>0</v>
      </c>
      <c r="BZ66">
        <v>139.95778859999999</v>
      </c>
      <c r="CA66">
        <f t="shared" si="22"/>
        <v>1355.3862113999999</v>
      </c>
      <c r="CB66">
        <f t="shared" si="23"/>
        <v>1495.3439999999998</v>
      </c>
      <c r="CC66">
        <v>0</v>
      </c>
      <c r="CD66">
        <v>0</v>
      </c>
      <c r="CE66">
        <f t="shared" si="24"/>
        <v>0</v>
      </c>
      <c r="CF66">
        <f t="shared" si="25"/>
        <v>1495.3439999999998</v>
      </c>
      <c r="CG66">
        <f t="shared" si="26"/>
        <v>1355.3862113999999</v>
      </c>
      <c r="CH66">
        <f t="shared" si="27"/>
        <v>0</v>
      </c>
      <c r="CJ66" t="s">
        <v>278</v>
      </c>
      <c r="CL66" t="str">
        <f t="shared" si="28"/>
        <v/>
      </c>
    </row>
    <row r="67" spans="1:90" x14ac:dyDescent="0.25">
      <c r="A67" t="s">
        <v>102</v>
      </c>
      <c r="B67" t="s">
        <v>183</v>
      </c>
      <c r="C67" s="1">
        <v>46204</v>
      </c>
      <c r="D67" t="s">
        <v>174</v>
      </c>
      <c r="E67" t="s">
        <v>175</v>
      </c>
      <c r="F67" s="4">
        <v>1</v>
      </c>
      <c r="G67" s="4">
        <v>0.2</v>
      </c>
      <c r="H67" s="9">
        <v>1495.3439999999998</v>
      </c>
      <c r="I67" s="9">
        <v>249.22399999999996</v>
      </c>
      <c r="J67" s="9">
        <f t="shared" si="0"/>
        <v>1744.5679999999998</v>
      </c>
      <c r="K67" s="9">
        <v>0</v>
      </c>
      <c r="L67" s="9">
        <f t="shared" si="1"/>
        <v>0</v>
      </c>
      <c r="M67">
        <v>0</v>
      </c>
      <c r="N67" s="4">
        <f t="shared" si="2"/>
        <v>0</v>
      </c>
      <c r="O67" s="9">
        <v>1246.1199999999999</v>
      </c>
      <c r="P67" s="9">
        <v>249.22399999999999</v>
      </c>
      <c r="Q67" s="9">
        <v>0</v>
      </c>
      <c r="R67" s="9">
        <v>0</v>
      </c>
      <c r="S67" s="9">
        <v>0</v>
      </c>
      <c r="T67" s="9">
        <v>0</v>
      </c>
      <c r="U67" s="9">
        <v>0</v>
      </c>
      <c r="V67" s="9">
        <v>0</v>
      </c>
      <c r="W67" s="9">
        <f t="shared" si="3"/>
        <v>1495.3439999999998</v>
      </c>
      <c r="X67" s="9">
        <v>249.22399999999996</v>
      </c>
      <c r="Y67" s="9">
        <v>0</v>
      </c>
      <c r="Z67" s="9">
        <v>1744.5679999999998</v>
      </c>
      <c r="AA67" s="9">
        <v>0</v>
      </c>
      <c r="AB67" s="9">
        <f t="shared" si="4"/>
        <v>1744.5679999999998</v>
      </c>
      <c r="AC67" s="9">
        <v>1744.5679999999998</v>
      </c>
      <c r="AD67" s="9">
        <v>0</v>
      </c>
      <c r="AE67" s="9">
        <v>1495.3439999999998</v>
      </c>
      <c r="AF67" s="9">
        <v>81.99469599999999</v>
      </c>
      <c r="AG67" s="9">
        <v>405.63204695999997</v>
      </c>
      <c r="AH67" s="9">
        <v>27.040803999999994</v>
      </c>
      <c r="AI67" s="9">
        <v>94.5328923</v>
      </c>
      <c r="AJ67" s="9">
        <v>3.4375597199999999</v>
      </c>
      <c r="AK67" s="9">
        <v>1.7445679999999999</v>
      </c>
      <c r="AL67" s="9">
        <v>10.31267916</v>
      </c>
      <c r="AM67" s="9">
        <v>2.6168519999999997</v>
      </c>
      <c r="AN67" s="9">
        <v>12.890848949999999</v>
      </c>
      <c r="AO67" s="9">
        <v>25.781697899999998</v>
      </c>
      <c r="AP67" s="9">
        <v>0</v>
      </c>
      <c r="AQ67" s="25">
        <v>0</v>
      </c>
      <c r="AR67" s="9">
        <f t="shared" si="5"/>
        <v>0</v>
      </c>
      <c r="AS67" s="25">
        <v>0</v>
      </c>
      <c r="AT67" s="9">
        <f t="shared" si="6"/>
        <v>0</v>
      </c>
      <c r="AU67" s="9">
        <v>0</v>
      </c>
      <c r="AV67" s="25">
        <v>0</v>
      </c>
      <c r="AW67" s="9">
        <f t="shared" si="7"/>
        <v>0</v>
      </c>
      <c r="AX67" s="25">
        <v>0</v>
      </c>
      <c r="AY67" s="9">
        <f t="shared" si="8"/>
        <v>0</v>
      </c>
      <c r="AZ67" s="9">
        <v>0</v>
      </c>
      <c r="BA67" s="25">
        <v>0</v>
      </c>
      <c r="BB67" s="9">
        <f t="shared" si="9"/>
        <v>0</v>
      </c>
      <c r="BC67" s="25">
        <v>0</v>
      </c>
      <c r="BD67" s="9">
        <f t="shared" si="10"/>
        <v>0</v>
      </c>
      <c r="BE67" s="9">
        <v>0</v>
      </c>
      <c r="BF67" s="9">
        <v>0</v>
      </c>
      <c r="BG67" s="9">
        <f t="shared" si="11"/>
        <v>0</v>
      </c>
      <c r="BH67" s="9">
        <v>0</v>
      </c>
      <c r="BI67" s="9">
        <f t="shared" si="12"/>
        <v>0</v>
      </c>
      <c r="BJ67" s="9">
        <v>0</v>
      </c>
      <c r="BK67" s="9">
        <v>0</v>
      </c>
      <c r="BL67" s="9">
        <f t="shared" si="13"/>
        <v>0</v>
      </c>
      <c r="BM67" s="9">
        <v>0</v>
      </c>
      <c r="BN67" s="9">
        <f t="shared" si="14"/>
        <v>0</v>
      </c>
      <c r="BO67" s="9">
        <v>0</v>
      </c>
      <c r="BP67" s="9">
        <v>0</v>
      </c>
      <c r="BQ67" s="9">
        <f t="shared" si="15"/>
        <v>0</v>
      </c>
      <c r="BR67" s="9">
        <v>0</v>
      </c>
      <c r="BS67" s="9">
        <f t="shared" si="16"/>
        <v>0</v>
      </c>
      <c r="BT67" s="9">
        <f t="shared" si="17"/>
        <v>0</v>
      </c>
      <c r="BU67" s="9">
        <f t="shared" si="18"/>
        <v>0</v>
      </c>
      <c r="BV67" s="9">
        <f t="shared" si="19"/>
        <v>113.39691999999998</v>
      </c>
      <c r="BW67">
        <f t="shared" si="20"/>
        <v>113.39691999999998</v>
      </c>
      <c r="BX67">
        <v>0</v>
      </c>
      <c r="BY67">
        <f t="shared" si="21"/>
        <v>552.58772498999997</v>
      </c>
      <c r="BZ67">
        <v>139.95778859999999</v>
      </c>
      <c r="CA67">
        <f t="shared" si="22"/>
        <v>1241.9892914</v>
      </c>
      <c r="CB67">
        <f t="shared" si="23"/>
        <v>2047.9317249899998</v>
      </c>
      <c r="CC67">
        <v>0</v>
      </c>
      <c r="CD67">
        <v>0</v>
      </c>
      <c r="CE67">
        <f t="shared" si="24"/>
        <v>0</v>
      </c>
      <c r="CF67">
        <f t="shared" si="25"/>
        <v>1495.3439999999998</v>
      </c>
      <c r="CG67">
        <f t="shared" si="26"/>
        <v>1241.9892914</v>
      </c>
      <c r="CH67">
        <f t="shared" si="27"/>
        <v>0</v>
      </c>
      <c r="CJ67" t="s">
        <v>278</v>
      </c>
      <c r="CL67" t="str">
        <f t="shared" si="28"/>
        <v/>
      </c>
    </row>
    <row r="68" spans="1:90" x14ac:dyDescent="0.25">
      <c r="A68" t="s">
        <v>102</v>
      </c>
      <c r="B68" t="s">
        <v>184</v>
      </c>
      <c r="C68" s="1">
        <v>46235</v>
      </c>
      <c r="D68" t="s">
        <v>174</v>
      </c>
      <c r="E68" t="s">
        <v>175</v>
      </c>
      <c r="F68" s="4">
        <v>1</v>
      </c>
      <c r="G68" s="4">
        <v>0.2</v>
      </c>
      <c r="H68" s="9">
        <v>1495.3439999999998</v>
      </c>
      <c r="I68" s="9">
        <v>249.22399999999996</v>
      </c>
      <c r="J68" s="9">
        <f t="shared" ref="J68:J131" si="29">$H68+$I68</f>
        <v>1744.5679999999998</v>
      </c>
      <c r="K68" s="9">
        <v>0</v>
      </c>
      <c r="L68" s="9">
        <f t="shared" ref="L68:L131" si="30">IF($E68="Nacimiento/cuidado menor",$K68*30,0)</f>
        <v>0</v>
      </c>
      <c r="M68">
        <v>0</v>
      </c>
      <c r="N68" s="4">
        <f t="shared" ref="N68:N131" si="31">IF($E68="Nacimiento/cuidado menor",$M68/30,0)</f>
        <v>0</v>
      </c>
      <c r="O68" s="9">
        <v>1246.1199999999999</v>
      </c>
      <c r="P68" s="9">
        <v>249.22399999999999</v>
      </c>
      <c r="Q68" s="9">
        <v>0</v>
      </c>
      <c r="R68" s="9">
        <v>0</v>
      </c>
      <c r="S68" s="9">
        <v>0</v>
      </c>
      <c r="T68" s="9">
        <v>0</v>
      </c>
      <c r="U68" s="9">
        <v>0</v>
      </c>
      <c r="V68" s="9">
        <v>0</v>
      </c>
      <c r="W68" s="9">
        <f t="shared" ref="W68:W131" si="32">SUM($O68:$V68)</f>
        <v>1495.3439999999998</v>
      </c>
      <c r="X68" s="9">
        <v>249.22399999999996</v>
      </c>
      <c r="Y68" s="9">
        <v>0</v>
      </c>
      <c r="Z68" s="9">
        <v>1744.5679999999998</v>
      </c>
      <c r="AA68" s="9">
        <v>0</v>
      </c>
      <c r="AB68" s="9">
        <f t="shared" ref="AB68:AB131" si="33">IF($D68="Mensual",$Z68+$AA68,0)</f>
        <v>1744.5679999999998</v>
      </c>
      <c r="AC68" s="9">
        <v>1744.5679999999998</v>
      </c>
      <c r="AD68" s="9">
        <v>0</v>
      </c>
      <c r="AE68" s="9">
        <v>1495.3439999999998</v>
      </c>
      <c r="AF68" s="9">
        <v>81.99469599999999</v>
      </c>
      <c r="AG68" s="9">
        <v>411.7180479999999</v>
      </c>
      <c r="AH68" s="9">
        <v>27.040803999999994</v>
      </c>
      <c r="AI68" s="9">
        <v>95.951239999999984</v>
      </c>
      <c r="AJ68" s="9">
        <v>3.4891359999999998</v>
      </c>
      <c r="AK68" s="9">
        <v>1.7445679999999999</v>
      </c>
      <c r="AL68" s="9">
        <v>10.467407999999999</v>
      </c>
      <c r="AM68" s="9">
        <v>2.6168519999999997</v>
      </c>
      <c r="AN68" s="9">
        <v>13.084259999999997</v>
      </c>
      <c r="AO68" s="9">
        <v>26.168519999999994</v>
      </c>
      <c r="AP68" s="9">
        <v>0</v>
      </c>
      <c r="AQ68" s="25">
        <v>0</v>
      </c>
      <c r="AR68" s="9">
        <f t="shared" ref="AR68:AR131" si="34">$AP68*$AQ68</f>
        <v>0</v>
      </c>
      <c r="AS68" s="25">
        <v>0</v>
      </c>
      <c r="AT68" s="9">
        <f t="shared" ref="AT68:AT131" si="35">$AP68*$AS68</f>
        <v>0</v>
      </c>
      <c r="AU68" s="9">
        <v>0</v>
      </c>
      <c r="AV68" s="25">
        <v>0</v>
      </c>
      <c r="AW68" s="9">
        <f t="shared" ref="AW68:AW131" si="36">$AU68*$AV68</f>
        <v>0</v>
      </c>
      <c r="AX68" s="25">
        <v>0</v>
      </c>
      <c r="AY68" s="9">
        <f t="shared" ref="AY68:AY131" si="37">$AU68*$AX68</f>
        <v>0</v>
      </c>
      <c r="AZ68" s="9">
        <v>0</v>
      </c>
      <c r="BA68" s="25">
        <v>0</v>
      </c>
      <c r="BB68" s="9">
        <f t="shared" ref="BB68:BB131" si="38">$AZ68*$BA68</f>
        <v>0</v>
      </c>
      <c r="BC68" s="25">
        <v>0</v>
      </c>
      <c r="BD68" s="9">
        <f t="shared" ref="BD68:BD131" si="39">$AZ68*$BC68</f>
        <v>0</v>
      </c>
      <c r="BE68" s="9">
        <v>0</v>
      </c>
      <c r="BF68" s="9">
        <v>0</v>
      </c>
      <c r="BG68" s="9">
        <f t="shared" ref="BG68:BG131" si="40">$BE68*$BF68</f>
        <v>0</v>
      </c>
      <c r="BH68" s="9">
        <v>0</v>
      </c>
      <c r="BI68" s="9">
        <f t="shared" ref="BI68:BI131" si="41">$BE68*$BH68</f>
        <v>0</v>
      </c>
      <c r="BJ68" s="9">
        <v>0</v>
      </c>
      <c r="BK68" s="9">
        <v>0</v>
      </c>
      <c r="BL68" s="9">
        <f t="shared" ref="BL68:BL131" si="42">$BJ68*$BK68</f>
        <v>0</v>
      </c>
      <c r="BM68" s="9">
        <v>0</v>
      </c>
      <c r="BN68" s="9">
        <f t="shared" ref="BN68:BN131" si="43">$BJ68*$BM68</f>
        <v>0</v>
      </c>
      <c r="BO68" s="9">
        <v>0</v>
      </c>
      <c r="BP68" s="9">
        <v>0</v>
      </c>
      <c r="BQ68" s="9">
        <f t="shared" ref="BQ68:BQ131" si="44">$BO68*$BP68</f>
        <v>0</v>
      </c>
      <c r="BR68" s="9">
        <v>0</v>
      </c>
      <c r="BS68" s="9">
        <f t="shared" ref="BS68:BS131" si="45">$BO68*$BR68</f>
        <v>0</v>
      </c>
      <c r="BT68" s="9">
        <f t="shared" ref="BT68:BT131" si="46">SUM($AR68,$AW68,$BB68)</f>
        <v>0</v>
      </c>
      <c r="BU68" s="9">
        <f t="shared" ref="BU68:BU131" si="47">SUM($AT68,$AY68,$BD68)</f>
        <v>0</v>
      </c>
      <c r="BV68" s="9">
        <f t="shared" ref="BV68:BV131" si="48">SUM($AF68,$AH68,$AK68,$AM68)+$BT68</f>
        <v>113.39691999999998</v>
      </c>
      <c r="BW68">
        <f t="shared" ref="BW68:BW131" si="49">$BV68+$BX68</f>
        <v>113.39691999999998</v>
      </c>
      <c r="BX68">
        <v>0</v>
      </c>
      <c r="BY68">
        <f t="shared" ref="BY68:BY131" si="50">SUM($AG68,$AI68,$AJ68,$AL68,$AN68,$AO68)+$BU68</f>
        <v>560.87861199999975</v>
      </c>
      <c r="BZ68">
        <v>139.95778859999999</v>
      </c>
      <c r="CA68">
        <f t="shared" ref="CA68:CA131" si="51">$W68-$BV68-$BZ68</f>
        <v>1241.9892914</v>
      </c>
      <c r="CB68">
        <f t="shared" ref="CB68:CB131" si="52">$W68+$BY68</f>
        <v>2056.2226119999996</v>
      </c>
      <c r="CC68">
        <v>0</v>
      </c>
      <c r="CD68">
        <v>0</v>
      </c>
      <c r="CE68">
        <f t="shared" ref="CE68:CE131" si="53">MAX(0,$CC68-$BX68-$CD68)</f>
        <v>0</v>
      </c>
      <c r="CF68">
        <f t="shared" ref="CF68:CF131" si="54">$W68+$CC68</f>
        <v>1495.3439999999998</v>
      </c>
      <c r="CG68">
        <f t="shared" ref="CG68:CG131" si="55">$CA68+$CE68</f>
        <v>1241.9892914</v>
      </c>
      <c r="CH68">
        <f t="shared" ref="CH68:CH131" si="56">IF($E68="Nacimiento/cuidado menor",MAX(0,$J68-$L68)*$N68,0)</f>
        <v>0</v>
      </c>
      <c r="CJ68" t="s">
        <v>278</v>
      </c>
      <c r="CL68" t="str">
        <f t="shared" ref="CL68:CL131" si="57">IF($E68="Nacimiento/cuidado menor",IF(ABS($CC68-$L68*$N68)&lt;0.02,"OK","REVISAR"),"")</f>
        <v/>
      </c>
    </row>
    <row r="69" spans="1:90" x14ac:dyDescent="0.25">
      <c r="A69" t="s">
        <v>102</v>
      </c>
      <c r="B69" t="s">
        <v>185</v>
      </c>
      <c r="C69" s="1">
        <v>46266</v>
      </c>
      <c r="D69" t="s">
        <v>174</v>
      </c>
      <c r="E69" t="s">
        <v>175</v>
      </c>
      <c r="F69" s="4">
        <v>1</v>
      </c>
      <c r="G69" s="4">
        <v>0.2</v>
      </c>
      <c r="H69" s="9">
        <v>1495.3439999999998</v>
      </c>
      <c r="I69" s="9">
        <v>249.22399999999996</v>
      </c>
      <c r="J69" s="9">
        <f t="shared" si="29"/>
        <v>1744.5679999999998</v>
      </c>
      <c r="K69" s="9">
        <v>0</v>
      </c>
      <c r="L69" s="9">
        <f t="shared" si="30"/>
        <v>0</v>
      </c>
      <c r="M69">
        <v>0</v>
      </c>
      <c r="N69" s="4">
        <f t="shared" si="31"/>
        <v>0</v>
      </c>
      <c r="O69" s="9">
        <v>1246.1199999999999</v>
      </c>
      <c r="P69" s="9">
        <v>249.22399999999999</v>
      </c>
      <c r="Q69" s="9">
        <v>0</v>
      </c>
      <c r="R69" s="9">
        <v>0</v>
      </c>
      <c r="S69" s="9">
        <v>0</v>
      </c>
      <c r="T69" s="9">
        <v>0</v>
      </c>
      <c r="U69" s="9">
        <v>0</v>
      </c>
      <c r="V69" s="9">
        <v>0</v>
      </c>
      <c r="W69" s="9">
        <f t="shared" si="32"/>
        <v>1495.3439999999998</v>
      </c>
      <c r="X69" s="9">
        <v>249.22399999999996</v>
      </c>
      <c r="Y69" s="9">
        <v>0</v>
      </c>
      <c r="Z69" s="9">
        <v>1744.5679999999998</v>
      </c>
      <c r="AA69" s="9">
        <v>0</v>
      </c>
      <c r="AB69" s="9">
        <f t="shared" si="33"/>
        <v>1744.5679999999998</v>
      </c>
      <c r="AC69" s="9">
        <v>1744.5679999999998</v>
      </c>
      <c r="AD69" s="9">
        <v>0</v>
      </c>
      <c r="AE69" s="9">
        <v>1495.3439999999998</v>
      </c>
      <c r="AF69" s="9">
        <v>81.99469599999999</v>
      </c>
      <c r="AG69" s="9">
        <v>405.63204695999997</v>
      </c>
      <c r="AH69" s="9">
        <v>27.040803999999994</v>
      </c>
      <c r="AI69" s="9">
        <v>94.5328923</v>
      </c>
      <c r="AJ69" s="9">
        <v>3.4375597199999999</v>
      </c>
      <c r="AK69" s="9">
        <v>1.7445679999999999</v>
      </c>
      <c r="AL69" s="9">
        <v>10.31267916</v>
      </c>
      <c r="AM69" s="9">
        <v>2.6168519999999997</v>
      </c>
      <c r="AN69" s="9">
        <v>12.890848949999999</v>
      </c>
      <c r="AO69" s="9">
        <v>25.781697899999998</v>
      </c>
      <c r="AP69" s="9">
        <v>0</v>
      </c>
      <c r="AQ69" s="25">
        <v>0</v>
      </c>
      <c r="AR69" s="9">
        <f t="shared" si="34"/>
        <v>0</v>
      </c>
      <c r="AS69" s="25">
        <v>0</v>
      </c>
      <c r="AT69" s="9">
        <f t="shared" si="35"/>
        <v>0</v>
      </c>
      <c r="AU69" s="9">
        <v>0</v>
      </c>
      <c r="AV69" s="25">
        <v>0</v>
      </c>
      <c r="AW69" s="9">
        <f t="shared" si="36"/>
        <v>0</v>
      </c>
      <c r="AX69" s="25">
        <v>0</v>
      </c>
      <c r="AY69" s="9">
        <f t="shared" si="37"/>
        <v>0</v>
      </c>
      <c r="AZ69" s="9">
        <v>0</v>
      </c>
      <c r="BA69" s="25">
        <v>0</v>
      </c>
      <c r="BB69" s="9">
        <f t="shared" si="38"/>
        <v>0</v>
      </c>
      <c r="BC69" s="25">
        <v>0</v>
      </c>
      <c r="BD69" s="9">
        <f t="shared" si="39"/>
        <v>0</v>
      </c>
      <c r="BE69" s="9">
        <v>0</v>
      </c>
      <c r="BF69" s="9">
        <v>0</v>
      </c>
      <c r="BG69" s="9">
        <f t="shared" si="40"/>
        <v>0</v>
      </c>
      <c r="BH69" s="9">
        <v>0</v>
      </c>
      <c r="BI69" s="9">
        <f t="shared" si="41"/>
        <v>0</v>
      </c>
      <c r="BJ69" s="9">
        <v>0</v>
      </c>
      <c r="BK69" s="9">
        <v>0</v>
      </c>
      <c r="BL69" s="9">
        <f t="shared" si="42"/>
        <v>0</v>
      </c>
      <c r="BM69" s="9">
        <v>0</v>
      </c>
      <c r="BN69" s="9">
        <f t="shared" si="43"/>
        <v>0</v>
      </c>
      <c r="BO69" s="9">
        <v>0</v>
      </c>
      <c r="BP69" s="9">
        <v>0</v>
      </c>
      <c r="BQ69" s="9">
        <f t="shared" si="44"/>
        <v>0</v>
      </c>
      <c r="BR69" s="9">
        <v>0</v>
      </c>
      <c r="BS69" s="9">
        <f t="shared" si="45"/>
        <v>0</v>
      </c>
      <c r="BT69" s="9">
        <f t="shared" si="46"/>
        <v>0</v>
      </c>
      <c r="BU69" s="9">
        <f t="shared" si="47"/>
        <v>0</v>
      </c>
      <c r="BV69" s="9">
        <f t="shared" si="48"/>
        <v>113.39691999999998</v>
      </c>
      <c r="BW69">
        <f t="shared" si="49"/>
        <v>113.39691999999998</v>
      </c>
      <c r="BX69">
        <v>0</v>
      </c>
      <c r="BY69">
        <f t="shared" si="50"/>
        <v>552.58772498999997</v>
      </c>
      <c r="BZ69">
        <v>139.95778859999999</v>
      </c>
      <c r="CA69">
        <f t="shared" si="51"/>
        <v>1241.9892914</v>
      </c>
      <c r="CB69">
        <f t="shared" si="52"/>
        <v>2047.9317249899998</v>
      </c>
      <c r="CC69">
        <v>0</v>
      </c>
      <c r="CD69">
        <v>0</v>
      </c>
      <c r="CE69">
        <f t="shared" si="53"/>
        <v>0</v>
      </c>
      <c r="CF69">
        <f t="shared" si="54"/>
        <v>1495.3439999999998</v>
      </c>
      <c r="CG69">
        <f t="shared" si="55"/>
        <v>1241.9892914</v>
      </c>
      <c r="CH69">
        <f t="shared" si="56"/>
        <v>0</v>
      </c>
      <c r="CJ69" t="s">
        <v>278</v>
      </c>
      <c r="CL69" t="str">
        <f t="shared" si="57"/>
        <v/>
      </c>
    </row>
    <row r="70" spans="1:90" x14ac:dyDescent="0.25">
      <c r="A70" t="s">
        <v>102</v>
      </c>
      <c r="B70" t="s">
        <v>186</v>
      </c>
      <c r="C70" s="1">
        <v>46296</v>
      </c>
      <c r="D70" t="s">
        <v>174</v>
      </c>
      <c r="E70" t="s">
        <v>175</v>
      </c>
      <c r="F70" s="4">
        <v>1</v>
      </c>
      <c r="G70" s="4">
        <v>0.2</v>
      </c>
      <c r="H70" s="9">
        <v>1495.3439999999998</v>
      </c>
      <c r="I70" s="9">
        <v>249.22399999999996</v>
      </c>
      <c r="J70" s="9">
        <f t="shared" si="29"/>
        <v>1744.5679999999998</v>
      </c>
      <c r="K70" s="9">
        <v>0</v>
      </c>
      <c r="L70" s="9">
        <f t="shared" si="30"/>
        <v>0</v>
      </c>
      <c r="M70">
        <v>0</v>
      </c>
      <c r="N70" s="4">
        <f t="shared" si="31"/>
        <v>0</v>
      </c>
      <c r="O70" s="9">
        <v>1246.1199999999999</v>
      </c>
      <c r="P70" s="9">
        <v>249.22399999999999</v>
      </c>
      <c r="Q70" s="9">
        <v>0</v>
      </c>
      <c r="R70" s="9">
        <v>0</v>
      </c>
      <c r="S70" s="9">
        <v>0</v>
      </c>
      <c r="T70" s="9">
        <v>0</v>
      </c>
      <c r="U70" s="9">
        <v>0</v>
      </c>
      <c r="V70" s="9">
        <v>0</v>
      </c>
      <c r="W70" s="9">
        <f t="shared" si="32"/>
        <v>1495.3439999999998</v>
      </c>
      <c r="X70" s="9">
        <v>249.22399999999996</v>
      </c>
      <c r="Y70" s="9">
        <v>0</v>
      </c>
      <c r="Z70" s="9">
        <v>1744.5679999999998</v>
      </c>
      <c r="AA70" s="9">
        <v>0</v>
      </c>
      <c r="AB70" s="9">
        <f t="shared" si="33"/>
        <v>1744.5679999999998</v>
      </c>
      <c r="AC70" s="9">
        <v>1744.5679999999998</v>
      </c>
      <c r="AD70" s="9">
        <v>0</v>
      </c>
      <c r="AE70" s="9">
        <v>1495.3439999999998</v>
      </c>
      <c r="AF70" s="9">
        <v>81.99469599999999</v>
      </c>
      <c r="AG70" s="9">
        <v>405.63204695999997</v>
      </c>
      <c r="AH70" s="9">
        <v>27.040803999999994</v>
      </c>
      <c r="AI70" s="9">
        <v>94.5328923</v>
      </c>
      <c r="AJ70" s="9">
        <v>3.4375597199999999</v>
      </c>
      <c r="AK70" s="9">
        <v>1.7445679999999999</v>
      </c>
      <c r="AL70" s="9">
        <v>10.31267916</v>
      </c>
      <c r="AM70" s="9">
        <v>2.6168519999999997</v>
      </c>
      <c r="AN70" s="9">
        <v>12.890848949999999</v>
      </c>
      <c r="AO70" s="9">
        <v>25.781697899999998</v>
      </c>
      <c r="AP70" s="9">
        <v>0</v>
      </c>
      <c r="AQ70" s="25">
        <v>0</v>
      </c>
      <c r="AR70" s="9">
        <f t="shared" si="34"/>
        <v>0</v>
      </c>
      <c r="AS70" s="25">
        <v>0</v>
      </c>
      <c r="AT70" s="9">
        <f t="shared" si="35"/>
        <v>0</v>
      </c>
      <c r="AU70" s="9">
        <v>0</v>
      </c>
      <c r="AV70" s="25">
        <v>0</v>
      </c>
      <c r="AW70" s="9">
        <f t="shared" si="36"/>
        <v>0</v>
      </c>
      <c r="AX70" s="25">
        <v>0</v>
      </c>
      <c r="AY70" s="9">
        <f t="shared" si="37"/>
        <v>0</v>
      </c>
      <c r="AZ70" s="9">
        <v>0</v>
      </c>
      <c r="BA70" s="25">
        <v>0</v>
      </c>
      <c r="BB70" s="9">
        <f t="shared" si="38"/>
        <v>0</v>
      </c>
      <c r="BC70" s="25">
        <v>0</v>
      </c>
      <c r="BD70" s="9">
        <f t="shared" si="39"/>
        <v>0</v>
      </c>
      <c r="BE70" s="9">
        <v>0</v>
      </c>
      <c r="BF70" s="9">
        <v>0</v>
      </c>
      <c r="BG70" s="9">
        <f t="shared" si="40"/>
        <v>0</v>
      </c>
      <c r="BH70" s="9">
        <v>0</v>
      </c>
      <c r="BI70" s="9">
        <f t="shared" si="41"/>
        <v>0</v>
      </c>
      <c r="BJ70" s="9">
        <v>0</v>
      </c>
      <c r="BK70" s="9">
        <v>0</v>
      </c>
      <c r="BL70" s="9">
        <f t="shared" si="42"/>
        <v>0</v>
      </c>
      <c r="BM70" s="9">
        <v>0</v>
      </c>
      <c r="BN70" s="9">
        <f t="shared" si="43"/>
        <v>0</v>
      </c>
      <c r="BO70" s="9">
        <v>0</v>
      </c>
      <c r="BP70" s="9">
        <v>0</v>
      </c>
      <c r="BQ70" s="9">
        <f t="shared" si="44"/>
        <v>0</v>
      </c>
      <c r="BR70" s="9">
        <v>0</v>
      </c>
      <c r="BS70" s="9">
        <f t="shared" si="45"/>
        <v>0</v>
      </c>
      <c r="BT70" s="9">
        <f t="shared" si="46"/>
        <v>0</v>
      </c>
      <c r="BU70" s="9">
        <f t="shared" si="47"/>
        <v>0</v>
      </c>
      <c r="BV70" s="9">
        <f t="shared" si="48"/>
        <v>113.39691999999998</v>
      </c>
      <c r="BW70">
        <f t="shared" si="49"/>
        <v>113.39691999999998</v>
      </c>
      <c r="BX70">
        <v>0</v>
      </c>
      <c r="BY70">
        <f t="shared" si="50"/>
        <v>552.58772498999997</v>
      </c>
      <c r="BZ70">
        <v>139.95778859999999</v>
      </c>
      <c r="CA70">
        <f t="shared" si="51"/>
        <v>1241.9892914</v>
      </c>
      <c r="CB70">
        <f t="shared" si="52"/>
        <v>2047.9317249899998</v>
      </c>
      <c r="CC70">
        <v>0</v>
      </c>
      <c r="CD70">
        <v>0</v>
      </c>
      <c r="CE70">
        <f t="shared" si="53"/>
        <v>0</v>
      </c>
      <c r="CF70">
        <f t="shared" si="54"/>
        <v>1495.3439999999998</v>
      </c>
      <c r="CG70">
        <f t="shared" si="55"/>
        <v>1241.9892914</v>
      </c>
      <c r="CH70">
        <f t="shared" si="56"/>
        <v>0</v>
      </c>
      <c r="CJ70" t="s">
        <v>278</v>
      </c>
      <c r="CL70" t="str">
        <f t="shared" si="57"/>
        <v/>
      </c>
    </row>
    <row r="71" spans="1:90" x14ac:dyDescent="0.25">
      <c r="A71" t="s">
        <v>102</v>
      </c>
      <c r="B71" t="s">
        <v>187</v>
      </c>
      <c r="C71" s="1">
        <v>46327</v>
      </c>
      <c r="D71" t="s">
        <v>174</v>
      </c>
      <c r="E71" t="s">
        <v>175</v>
      </c>
      <c r="F71" s="4">
        <v>1</v>
      </c>
      <c r="G71" s="4">
        <v>0.2</v>
      </c>
      <c r="H71" s="9">
        <v>1495.3439999999998</v>
      </c>
      <c r="I71" s="9">
        <v>249.22399999999996</v>
      </c>
      <c r="J71" s="9">
        <f t="shared" si="29"/>
        <v>1744.5679999999998</v>
      </c>
      <c r="K71" s="9">
        <v>0</v>
      </c>
      <c r="L71" s="9">
        <f t="shared" si="30"/>
        <v>0</v>
      </c>
      <c r="M71">
        <v>0</v>
      </c>
      <c r="N71" s="4">
        <f t="shared" si="31"/>
        <v>0</v>
      </c>
      <c r="O71" s="9">
        <v>1246.1199999999999</v>
      </c>
      <c r="P71" s="9">
        <v>249.22399999999999</v>
      </c>
      <c r="Q71" s="9">
        <v>0</v>
      </c>
      <c r="R71" s="9">
        <v>0</v>
      </c>
      <c r="S71" s="9">
        <v>0</v>
      </c>
      <c r="T71" s="9">
        <v>0</v>
      </c>
      <c r="U71" s="9">
        <v>0</v>
      </c>
      <c r="V71" s="9">
        <v>0</v>
      </c>
      <c r="W71" s="9">
        <f t="shared" si="32"/>
        <v>1495.3439999999998</v>
      </c>
      <c r="X71" s="9">
        <v>249.22399999999996</v>
      </c>
      <c r="Y71" s="9">
        <v>0</v>
      </c>
      <c r="Z71" s="9">
        <v>1744.5679999999998</v>
      </c>
      <c r="AA71" s="9">
        <v>0</v>
      </c>
      <c r="AB71" s="9">
        <f t="shared" si="33"/>
        <v>1744.5679999999998</v>
      </c>
      <c r="AC71" s="9">
        <v>1744.5679999999998</v>
      </c>
      <c r="AD71" s="9">
        <v>0</v>
      </c>
      <c r="AE71" s="9">
        <v>1495.3439999999998</v>
      </c>
      <c r="AF71" s="9">
        <v>81.99469599999999</v>
      </c>
      <c r="AG71" s="9">
        <v>405.63204695999997</v>
      </c>
      <c r="AH71" s="9">
        <v>27.040803999999994</v>
      </c>
      <c r="AI71" s="9">
        <v>94.5328923</v>
      </c>
      <c r="AJ71" s="9">
        <v>3.4375597199999999</v>
      </c>
      <c r="AK71" s="9">
        <v>1.7445679999999999</v>
      </c>
      <c r="AL71" s="9">
        <v>10.31267916</v>
      </c>
      <c r="AM71" s="9">
        <v>2.6168519999999997</v>
      </c>
      <c r="AN71" s="9">
        <v>12.890848949999999</v>
      </c>
      <c r="AO71" s="9">
        <v>25.781697899999998</v>
      </c>
      <c r="AP71" s="9">
        <v>0</v>
      </c>
      <c r="AQ71" s="25">
        <v>0</v>
      </c>
      <c r="AR71" s="9">
        <f t="shared" si="34"/>
        <v>0</v>
      </c>
      <c r="AS71" s="25">
        <v>0</v>
      </c>
      <c r="AT71" s="9">
        <f t="shared" si="35"/>
        <v>0</v>
      </c>
      <c r="AU71" s="9">
        <v>0</v>
      </c>
      <c r="AV71" s="25">
        <v>0</v>
      </c>
      <c r="AW71" s="9">
        <f t="shared" si="36"/>
        <v>0</v>
      </c>
      <c r="AX71" s="25">
        <v>0</v>
      </c>
      <c r="AY71" s="9">
        <f t="shared" si="37"/>
        <v>0</v>
      </c>
      <c r="AZ71" s="9">
        <v>0</v>
      </c>
      <c r="BA71" s="25">
        <v>0</v>
      </c>
      <c r="BB71" s="9">
        <f t="shared" si="38"/>
        <v>0</v>
      </c>
      <c r="BC71" s="25">
        <v>0</v>
      </c>
      <c r="BD71" s="9">
        <f t="shared" si="39"/>
        <v>0</v>
      </c>
      <c r="BE71" s="9">
        <v>0</v>
      </c>
      <c r="BF71" s="9">
        <v>0</v>
      </c>
      <c r="BG71" s="9">
        <f t="shared" si="40"/>
        <v>0</v>
      </c>
      <c r="BH71" s="9">
        <v>0</v>
      </c>
      <c r="BI71" s="9">
        <f t="shared" si="41"/>
        <v>0</v>
      </c>
      <c r="BJ71" s="9">
        <v>0</v>
      </c>
      <c r="BK71" s="9">
        <v>0</v>
      </c>
      <c r="BL71" s="9">
        <f t="shared" si="42"/>
        <v>0</v>
      </c>
      <c r="BM71" s="9">
        <v>0</v>
      </c>
      <c r="BN71" s="9">
        <f t="shared" si="43"/>
        <v>0</v>
      </c>
      <c r="BO71" s="9">
        <v>0</v>
      </c>
      <c r="BP71" s="9">
        <v>0</v>
      </c>
      <c r="BQ71" s="9">
        <f t="shared" si="44"/>
        <v>0</v>
      </c>
      <c r="BR71" s="9">
        <v>0</v>
      </c>
      <c r="BS71" s="9">
        <f t="shared" si="45"/>
        <v>0</v>
      </c>
      <c r="BT71" s="9">
        <f t="shared" si="46"/>
        <v>0</v>
      </c>
      <c r="BU71" s="9">
        <f t="shared" si="47"/>
        <v>0</v>
      </c>
      <c r="BV71" s="9">
        <f t="shared" si="48"/>
        <v>113.39691999999998</v>
      </c>
      <c r="BW71">
        <f t="shared" si="49"/>
        <v>113.39691999999998</v>
      </c>
      <c r="BX71">
        <v>0</v>
      </c>
      <c r="BY71">
        <f t="shared" si="50"/>
        <v>552.58772498999997</v>
      </c>
      <c r="BZ71">
        <v>139.95778859999999</v>
      </c>
      <c r="CA71">
        <f t="shared" si="51"/>
        <v>1241.9892914</v>
      </c>
      <c r="CB71">
        <f t="shared" si="52"/>
        <v>2047.9317249899998</v>
      </c>
      <c r="CC71">
        <v>0</v>
      </c>
      <c r="CD71">
        <v>0</v>
      </c>
      <c r="CE71">
        <f t="shared" si="53"/>
        <v>0</v>
      </c>
      <c r="CF71">
        <f t="shared" si="54"/>
        <v>1495.3439999999998</v>
      </c>
      <c r="CG71">
        <f t="shared" si="55"/>
        <v>1241.9892914</v>
      </c>
      <c r="CH71">
        <f t="shared" si="56"/>
        <v>0</v>
      </c>
      <c r="CJ71" t="s">
        <v>278</v>
      </c>
      <c r="CL71" t="str">
        <f t="shared" si="57"/>
        <v/>
      </c>
    </row>
    <row r="72" spans="1:90" x14ac:dyDescent="0.25">
      <c r="A72" t="s">
        <v>102</v>
      </c>
      <c r="B72" t="s">
        <v>188</v>
      </c>
      <c r="C72" s="1">
        <v>46357</v>
      </c>
      <c r="D72" t="s">
        <v>182</v>
      </c>
      <c r="E72" t="s">
        <v>175</v>
      </c>
      <c r="F72" s="4">
        <v>1</v>
      </c>
      <c r="G72" s="4">
        <v>0.2</v>
      </c>
      <c r="H72" s="9">
        <v>1495.3439999999998</v>
      </c>
      <c r="I72" s="9">
        <v>249.22399999999996</v>
      </c>
      <c r="J72" s="9">
        <f t="shared" si="29"/>
        <v>1744.5679999999998</v>
      </c>
      <c r="K72" s="9">
        <v>0</v>
      </c>
      <c r="L72" s="9">
        <f t="shared" si="30"/>
        <v>0</v>
      </c>
      <c r="M72">
        <v>0</v>
      </c>
      <c r="N72" s="4">
        <f t="shared" si="31"/>
        <v>0</v>
      </c>
      <c r="O72" s="9">
        <v>1246.1199999999999</v>
      </c>
      <c r="P72" s="9">
        <v>249.22399999999999</v>
      </c>
      <c r="Q72" s="9">
        <v>0</v>
      </c>
      <c r="R72" s="9">
        <v>0</v>
      </c>
      <c r="S72" s="9">
        <v>0</v>
      </c>
      <c r="T72" s="9">
        <v>0</v>
      </c>
      <c r="U72" s="9">
        <v>0</v>
      </c>
      <c r="V72" s="9">
        <v>0</v>
      </c>
      <c r="W72" s="9">
        <f t="shared" si="32"/>
        <v>1495.3439999999998</v>
      </c>
      <c r="X72" s="9">
        <v>0</v>
      </c>
      <c r="Y72" s="9">
        <v>0</v>
      </c>
      <c r="Z72" s="9">
        <v>0</v>
      </c>
      <c r="AA72" s="9">
        <v>0</v>
      </c>
      <c r="AB72" s="9">
        <f t="shared" si="33"/>
        <v>0</v>
      </c>
      <c r="AC72" s="9">
        <v>0</v>
      </c>
      <c r="AD72" s="9">
        <v>0</v>
      </c>
      <c r="AE72" s="9">
        <v>1495.3439999999998</v>
      </c>
      <c r="AF72" s="9">
        <v>0</v>
      </c>
      <c r="AG72" s="9">
        <v>0</v>
      </c>
      <c r="AH72" s="9">
        <v>0</v>
      </c>
      <c r="AI72" s="9">
        <v>0</v>
      </c>
      <c r="AJ72" s="9">
        <v>0</v>
      </c>
      <c r="AK72" s="9">
        <v>0</v>
      </c>
      <c r="AL72" s="9">
        <v>0</v>
      </c>
      <c r="AM72" s="9">
        <v>0</v>
      </c>
      <c r="AN72" s="9">
        <v>0</v>
      </c>
      <c r="AO72" s="9">
        <v>0</v>
      </c>
      <c r="AP72" s="9">
        <v>0</v>
      </c>
      <c r="AQ72" s="25">
        <v>0</v>
      </c>
      <c r="AR72" s="9">
        <f t="shared" si="34"/>
        <v>0</v>
      </c>
      <c r="AS72" s="25">
        <v>0</v>
      </c>
      <c r="AT72" s="9">
        <f t="shared" si="35"/>
        <v>0</v>
      </c>
      <c r="AU72" s="9">
        <v>0</v>
      </c>
      <c r="AV72" s="25">
        <v>0</v>
      </c>
      <c r="AW72" s="9">
        <f t="shared" si="36"/>
        <v>0</v>
      </c>
      <c r="AX72" s="25">
        <v>0</v>
      </c>
      <c r="AY72" s="9">
        <f t="shared" si="37"/>
        <v>0</v>
      </c>
      <c r="AZ72" s="9">
        <v>0</v>
      </c>
      <c r="BA72" s="25">
        <v>0</v>
      </c>
      <c r="BB72" s="9">
        <f t="shared" si="38"/>
        <v>0</v>
      </c>
      <c r="BC72" s="25">
        <v>0</v>
      </c>
      <c r="BD72" s="9">
        <f t="shared" si="39"/>
        <v>0</v>
      </c>
      <c r="BE72" s="9">
        <v>0</v>
      </c>
      <c r="BF72" s="9">
        <v>0</v>
      </c>
      <c r="BG72" s="9">
        <f t="shared" si="40"/>
        <v>0</v>
      </c>
      <c r="BH72" s="9">
        <v>0</v>
      </c>
      <c r="BI72" s="9">
        <f t="shared" si="41"/>
        <v>0</v>
      </c>
      <c r="BJ72" s="9">
        <v>0</v>
      </c>
      <c r="BK72" s="9">
        <v>0</v>
      </c>
      <c r="BL72" s="9">
        <f t="shared" si="42"/>
        <v>0</v>
      </c>
      <c r="BM72" s="9">
        <v>0</v>
      </c>
      <c r="BN72" s="9">
        <f t="shared" si="43"/>
        <v>0</v>
      </c>
      <c r="BO72" s="9">
        <v>0</v>
      </c>
      <c r="BP72" s="9">
        <v>0</v>
      </c>
      <c r="BQ72" s="9">
        <f t="shared" si="44"/>
        <v>0</v>
      </c>
      <c r="BR72" s="9">
        <v>0</v>
      </c>
      <c r="BS72" s="9">
        <f t="shared" si="45"/>
        <v>0</v>
      </c>
      <c r="BT72" s="9">
        <f t="shared" si="46"/>
        <v>0</v>
      </c>
      <c r="BU72" s="9">
        <f t="shared" si="47"/>
        <v>0</v>
      </c>
      <c r="BV72" s="9">
        <f t="shared" si="48"/>
        <v>0</v>
      </c>
      <c r="BW72">
        <f t="shared" si="49"/>
        <v>0</v>
      </c>
      <c r="BX72">
        <v>0</v>
      </c>
      <c r="BY72">
        <f t="shared" si="50"/>
        <v>0</v>
      </c>
      <c r="BZ72">
        <v>139.95778859999999</v>
      </c>
      <c r="CA72">
        <f t="shared" si="51"/>
        <v>1355.3862113999999</v>
      </c>
      <c r="CB72">
        <f t="shared" si="52"/>
        <v>1495.3439999999998</v>
      </c>
      <c r="CC72">
        <v>0</v>
      </c>
      <c r="CD72">
        <v>0</v>
      </c>
      <c r="CE72">
        <f t="shared" si="53"/>
        <v>0</v>
      </c>
      <c r="CF72">
        <f t="shared" si="54"/>
        <v>1495.3439999999998</v>
      </c>
      <c r="CG72">
        <f t="shared" si="55"/>
        <v>1355.3862113999999</v>
      </c>
      <c r="CH72">
        <f t="shared" si="56"/>
        <v>0</v>
      </c>
      <c r="CJ72" t="s">
        <v>278</v>
      </c>
      <c r="CL72" t="str">
        <f t="shared" si="57"/>
        <v/>
      </c>
    </row>
    <row r="73" spans="1:90" x14ac:dyDescent="0.25">
      <c r="A73" t="s">
        <v>102</v>
      </c>
      <c r="B73" t="s">
        <v>189</v>
      </c>
      <c r="C73" s="1">
        <v>46357</v>
      </c>
      <c r="D73" t="s">
        <v>174</v>
      </c>
      <c r="E73" t="s">
        <v>175</v>
      </c>
      <c r="F73" s="4">
        <v>1</v>
      </c>
      <c r="G73" s="4">
        <v>0.2</v>
      </c>
      <c r="H73" s="9">
        <v>1495.3439999999998</v>
      </c>
      <c r="I73" s="9">
        <v>249.22399999999996</v>
      </c>
      <c r="J73" s="9">
        <f t="shared" si="29"/>
        <v>1744.5679999999998</v>
      </c>
      <c r="K73" s="9">
        <v>0</v>
      </c>
      <c r="L73" s="9">
        <f t="shared" si="30"/>
        <v>0</v>
      </c>
      <c r="M73">
        <v>0</v>
      </c>
      <c r="N73" s="4">
        <f t="shared" si="31"/>
        <v>0</v>
      </c>
      <c r="O73" s="9">
        <v>1246.1199999999999</v>
      </c>
      <c r="P73" s="9">
        <v>249.22399999999999</v>
      </c>
      <c r="Q73" s="9">
        <v>0</v>
      </c>
      <c r="R73" s="9">
        <v>0</v>
      </c>
      <c r="S73" s="9">
        <v>0</v>
      </c>
      <c r="T73" s="9">
        <v>0</v>
      </c>
      <c r="U73" s="9">
        <v>0</v>
      </c>
      <c r="V73" s="9">
        <v>0</v>
      </c>
      <c r="W73" s="9">
        <f t="shared" si="32"/>
        <v>1495.3439999999998</v>
      </c>
      <c r="X73" s="9">
        <v>249.22399999999996</v>
      </c>
      <c r="Y73" s="9">
        <v>0</v>
      </c>
      <c r="Z73" s="9">
        <v>1744.5679999999998</v>
      </c>
      <c r="AA73" s="9">
        <v>0</v>
      </c>
      <c r="AB73" s="9">
        <f t="shared" si="33"/>
        <v>1744.5679999999998</v>
      </c>
      <c r="AC73" s="9">
        <v>1744.5679999999998</v>
      </c>
      <c r="AD73" s="9">
        <v>0</v>
      </c>
      <c r="AE73" s="9">
        <v>1495.3439999999998</v>
      </c>
      <c r="AF73" s="9">
        <v>81.99469599999999</v>
      </c>
      <c r="AG73" s="9">
        <v>405.63204695999997</v>
      </c>
      <c r="AH73" s="9">
        <v>27.040803999999994</v>
      </c>
      <c r="AI73" s="9">
        <v>94.5328923</v>
      </c>
      <c r="AJ73" s="9">
        <v>3.4375597199999999</v>
      </c>
      <c r="AK73" s="9">
        <v>1.7445679999999999</v>
      </c>
      <c r="AL73" s="9">
        <v>10.31267916</v>
      </c>
      <c r="AM73" s="9">
        <v>2.6168519999999997</v>
      </c>
      <c r="AN73" s="9">
        <v>12.890848949999999</v>
      </c>
      <c r="AO73" s="9">
        <v>25.781697899999998</v>
      </c>
      <c r="AP73" s="9">
        <v>0</v>
      </c>
      <c r="AQ73" s="25">
        <v>0</v>
      </c>
      <c r="AR73" s="9">
        <f t="shared" si="34"/>
        <v>0</v>
      </c>
      <c r="AS73" s="25">
        <v>0</v>
      </c>
      <c r="AT73" s="9">
        <f t="shared" si="35"/>
        <v>0</v>
      </c>
      <c r="AU73" s="9">
        <v>0</v>
      </c>
      <c r="AV73" s="25">
        <v>0</v>
      </c>
      <c r="AW73" s="9">
        <f t="shared" si="36"/>
        <v>0</v>
      </c>
      <c r="AX73" s="25">
        <v>0</v>
      </c>
      <c r="AY73" s="9">
        <f t="shared" si="37"/>
        <v>0</v>
      </c>
      <c r="AZ73" s="9">
        <v>0</v>
      </c>
      <c r="BA73" s="25">
        <v>0</v>
      </c>
      <c r="BB73" s="9">
        <f t="shared" si="38"/>
        <v>0</v>
      </c>
      <c r="BC73" s="25">
        <v>0</v>
      </c>
      <c r="BD73" s="9">
        <f t="shared" si="39"/>
        <v>0</v>
      </c>
      <c r="BE73" s="9">
        <v>0</v>
      </c>
      <c r="BF73" s="9">
        <v>0</v>
      </c>
      <c r="BG73" s="9">
        <f t="shared" si="40"/>
        <v>0</v>
      </c>
      <c r="BH73" s="9">
        <v>0</v>
      </c>
      <c r="BI73" s="9">
        <f t="shared" si="41"/>
        <v>0</v>
      </c>
      <c r="BJ73" s="9">
        <v>0</v>
      </c>
      <c r="BK73" s="9">
        <v>0</v>
      </c>
      <c r="BL73" s="9">
        <f t="shared" si="42"/>
        <v>0</v>
      </c>
      <c r="BM73" s="9">
        <v>0</v>
      </c>
      <c r="BN73" s="9">
        <f t="shared" si="43"/>
        <v>0</v>
      </c>
      <c r="BO73" s="9">
        <v>0</v>
      </c>
      <c r="BP73" s="9">
        <v>0</v>
      </c>
      <c r="BQ73" s="9">
        <f t="shared" si="44"/>
        <v>0</v>
      </c>
      <c r="BR73" s="9">
        <v>0</v>
      </c>
      <c r="BS73" s="9">
        <f t="shared" si="45"/>
        <v>0</v>
      </c>
      <c r="BT73" s="9">
        <f t="shared" si="46"/>
        <v>0</v>
      </c>
      <c r="BU73" s="9">
        <f t="shared" si="47"/>
        <v>0</v>
      </c>
      <c r="BV73" s="9">
        <f t="shared" si="48"/>
        <v>113.39691999999998</v>
      </c>
      <c r="BW73">
        <f t="shared" si="49"/>
        <v>113.39691999999998</v>
      </c>
      <c r="BX73">
        <v>0</v>
      </c>
      <c r="BY73">
        <f t="shared" si="50"/>
        <v>552.58772498999997</v>
      </c>
      <c r="BZ73">
        <v>139.95778859999999</v>
      </c>
      <c r="CA73">
        <f t="shared" si="51"/>
        <v>1241.9892914</v>
      </c>
      <c r="CB73">
        <f t="shared" si="52"/>
        <v>2047.9317249899998</v>
      </c>
      <c r="CC73">
        <v>0</v>
      </c>
      <c r="CD73">
        <v>0</v>
      </c>
      <c r="CE73">
        <f t="shared" si="53"/>
        <v>0</v>
      </c>
      <c r="CF73">
        <f t="shared" si="54"/>
        <v>1495.3439999999998</v>
      </c>
      <c r="CG73">
        <f t="shared" si="55"/>
        <v>1241.9892914</v>
      </c>
      <c r="CH73">
        <f t="shared" si="56"/>
        <v>0</v>
      </c>
      <c r="CJ73" t="s">
        <v>278</v>
      </c>
      <c r="CL73" t="str">
        <f t="shared" si="57"/>
        <v/>
      </c>
    </row>
    <row r="74" spans="1:90" x14ac:dyDescent="0.25">
      <c r="A74" t="s">
        <v>104</v>
      </c>
      <c r="B74" t="s">
        <v>173</v>
      </c>
      <c r="C74" s="1">
        <v>46023</v>
      </c>
      <c r="D74" t="s">
        <v>174</v>
      </c>
      <c r="E74" t="s">
        <v>175</v>
      </c>
      <c r="F74" s="4">
        <v>1</v>
      </c>
      <c r="G74" s="4">
        <v>0.15000000000000002</v>
      </c>
      <c r="H74" s="9">
        <v>1549.2455</v>
      </c>
      <c r="I74" s="9">
        <v>258.20758333333333</v>
      </c>
      <c r="J74" s="9">
        <f t="shared" si="29"/>
        <v>1807.4530833333333</v>
      </c>
      <c r="K74" s="9">
        <v>0</v>
      </c>
      <c r="L74" s="9">
        <f t="shared" si="30"/>
        <v>0</v>
      </c>
      <c r="M74">
        <v>0</v>
      </c>
      <c r="N74" s="4">
        <f t="shared" si="31"/>
        <v>0</v>
      </c>
      <c r="O74" s="9">
        <v>1347.17</v>
      </c>
      <c r="P74" s="9">
        <v>202.07550000000003</v>
      </c>
      <c r="Q74" s="9">
        <v>0</v>
      </c>
      <c r="R74" s="9">
        <v>0</v>
      </c>
      <c r="S74" s="9">
        <v>0</v>
      </c>
      <c r="T74" s="9">
        <v>0</v>
      </c>
      <c r="U74" s="9">
        <v>0</v>
      </c>
      <c r="V74" s="9">
        <v>0</v>
      </c>
      <c r="W74" s="9">
        <f t="shared" si="32"/>
        <v>1549.2455</v>
      </c>
      <c r="X74" s="9">
        <v>258.20758333333333</v>
      </c>
      <c r="Y74" s="9">
        <v>0</v>
      </c>
      <c r="Z74" s="9">
        <v>1807.4530833333333</v>
      </c>
      <c r="AA74" s="9">
        <v>0</v>
      </c>
      <c r="AB74" s="9">
        <f t="shared" si="33"/>
        <v>1807.4530833333333</v>
      </c>
      <c r="AC74" s="9">
        <v>1807.4530833333333</v>
      </c>
      <c r="AD74" s="9">
        <v>0</v>
      </c>
      <c r="AE74" s="9">
        <v>1549.2455</v>
      </c>
      <c r="AF74" s="9">
        <v>84.950294916666664</v>
      </c>
      <c r="AG74" s="9">
        <v>431.73838407</v>
      </c>
      <c r="AH74" s="9">
        <v>28.015522791666665</v>
      </c>
      <c r="AI74" s="9">
        <v>100.6169962875</v>
      </c>
      <c r="AJ74" s="9">
        <v>3.6587998650000002</v>
      </c>
      <c r="AK74" s="9">
        <v>1.8074530833333333</v>
      </c>
      <c r="AL74" s="9">
        <v>10.976399595</v>
      </c>
      <c r="AM74" s="9">
        <v>2.7111796250000002</v>
      </c>
      <c r="AN74" s="9">
        <v>13.720499493749999</v>
      </c>
      <c r="AO74" s="9">
        <v>27.440998987499999</v>
      </c>
      <c r="AP74" s="9">
        <v>0</v>
      </c>
      <c r="AQ74" s="25">
        <v>0</v>
      </c>
      <c r="AR74" s="9">
        <f t="shared" si="34"/>
        <v>0</v>
      </c>
      <c r="AS74" s="25">
        <v>0</v>
      </c>
      <c r="AT74" s="9">
        <f t="shared" si="35"/>
        <v>0</v>
      </c>
      <c r="AU74" s="9">
        <v>0</v>
      </c>
      <c r="AV74" s="25">
        <v>0</v>
      </c>
      <c r="AW74" s="9">
        <f t="shared" si="36"/>
        <v>0</v>
      </c>
      <c r="AX74" s="25">
        <v>0</v>
      </c>
      <c r="AY74" s="9">
        <f t="shared" si="37"/>
        <v>0</v>
      </c>
      <c r="AZ74" s="9">
        <v>0</v>
      </c>
      <c r="BA74" s="25">
        <v>0</v>
      </c>
      <c r="BB74" s="9">
        <f t="shared" si="38"/>
        <v>0</v>
      </c>
      <c r="BC74" s="25">
        <v>0</v>
      </c>
      <c r="BD74" s="9">
        <f t="shared" si="39"/>
        <v>0</v>
      </c>
      <c r="BE74" s="9">
        <v>0</v>
      </c>
      <c r="BF74" s="9">
        <v>0</v>
      </c>
      <c r="BG74" s="9">
        <f t="shared" si="40"/>
        <v>0</v>
      </c>
      <c r="BH74" s="9">
        <v>0</v>
      </c>
      <c r="BI74" s="9">
        <f t="shared" si="41"/>
        <v>0</v>
      </c>
      <c r="BJ74" s="9">
        <v>0</v>
      </c>
      <c r="BK74" s="9">
        <v>0</v>
      </c>
      <c r="BL74" s="9">
        <f t="shared" si="42"/>
        <v>0</v>
      </c>
      <c r="BM74" s="9">
        <v>0</v>
      </c>
      <c r="BN74" s="9">
        <f t="shared" si="43"/>
        <v>0</v>
      </c>
      <c r="BO74" s="9">
        <v>0</v>
      </c>
      <c r="BP74" s="9">
        <v>0</v>
      </c>
      <c r="BQ74" s="9">
        <f t="shared" si="44"/>
        <v>0</v>
      </c>
      <c r="BR74" s="9">
        <v>0</v>
      </c>
      <c r="BS74" s="9">
        <f t="shared" si="45"/>
        <v>0</v>
      </c>
      <c r="BT74" s="9">
        <f t="shared" si="46"/>
        <v>0</v>
      </c>
      <c r="BU74" s="9">
        <f t="shared" si="47"/>
        <v>0</v>
      </c>
      <c r="BV74" s="9">
        <f t="shared" si="48"/>
        <v>117.48445041666666</v>
      </c>
      <c r="BW74">
        <f t="shared" si="49"/>
        <v>117.48445041666666</v>
      </c>
      <c r="BX74">
        <v>0</v>
      </c>
      <c r="BY74">
        <f t="shared" si="50"/>
        <v>588.1520782987501</v>
      </c>
      <c r="BZ74">
        <v>121.36761837899999</v>
      </c>
      <c r="CA74">
        <f t="shared" si="51"/>
        <v>1310.3934312043332</v>
      </c>
      <c r="CB74">
        <f t="shared" si="52"/>
        <v>2137.39757829875</v>
      </c>
      <c r="CC74">
        <v>0</v>
      </c>
      <c r="CD74">
        <v>0</v>
      </c>
      <c r="CE74">
        <f t="shared" si="53"/>
        <v>0</v>
      </c>
      <c r="CF74">
        <f t="shared" si="54"/>
        <v>1549.2455</v>
      </c>
      <c r="CG74">
        <f t="shared" si="55"/>
        <v>1310.3934312043332</v>
      </c>
      <c r="CH74">
        <f t="shared" si="56"/>
        <v>0</v>
      </c>
      <c r="CJ74" t="s">
        <v>278</v>
      </c>
      <c r="CL74" t="str">
        <f t="shared" si="57"/>
        <v/>
      </c>
    </row>
    <row r="75" spans="1:90" x14ac:dyDescent="0.25">
      <c r="A75" t="s">
        <v>104</v>
      </c>
      <c r="B75" t="s">
        <v>176</v>
      </c>
      <c r="C75" s="1">
        <v>46054</v>
      </c>
      <c r="D75" t="s">
        <v>174</v>
      </c>
      <c r="E75" t="s">
        <v>175</v>
      </c>
      <c r="F75" s="4">
        <v>1</v>
      </c>
      <c r="G75" s="4">
        <v>0.15000000000000002</v>
      </c>
      <c r="H75" s="9">
        <v>1549.2455</v>
      </c>
      <c r="I75" s="9">
        <v>258.20758333333333</v>
      </c>
      <c r="J75" s="9">
        <f t="shared" si="29"/>
        <v>1807.4530833333333</v>
      </c>
      <c r="K75" s="9">
        <v>0</v>
      </c>
      <c r="L75" s="9">
        <f t="shared" si="30"/>
        <v>0</v>
      </c>
      <c r="M75">
        <v>0</v>
      </c>
      <c r="N75" s="4">
        <f t="shared" si="31"/>
        <v>0</v>
      </c>
      <c r="O75" s="9">
        <v>1347.17</v>
      </c>
      <c r="P75" s="9">
        <v>202.07550000000003</v>
      </c>
      <c r="Q75" s="9">
        <v>0</v>
      </c>
      <c r="R75" s="9">
        <v>0</v>
      </c>
      <c r="S75" s="9">
        <v>0</v>
      </c>
      <c r="T75" s="9">
        <v>0</v>
      </c>
      <c r="U75" s="9">
        <v>0</v>
      </c>
      <c r="V75" s="9">
        <v>0</v>
      </c>
      <c r="W75" s="9">
        <f t="shared" si="32"/>
        <v>1549.2455</v>
      </c>
      <c r="X75" s="9">
        <v>258.20758333333333</v>
      </c>
      <c r="Y75" s="9">
        <v>0</v>
      </c>
      <c r="Z75" s="9">
        <v>1807.4530833333333</v>
      </c>
      <c r="AA75" s="9">
        <v>0</v>
      </c>
      <c r="AB75" s="9">
        <f t="shared" si="33"/>
        <v>1807.4530833333333</v>
      </c>
      <c r="AC75" s="9">
        <v>1807.4530833333333</v>
      </c>
      <c r="AD75" s="9">
        <v>0</v>
      </c>
      <c r="AE75" s="9">
        <v>1549.2455</v>
      </c>
      <c r="AF75" s="9">
        <v>84.950294916666664</v>
      </c>
      <c r="AG75" s="9">
        <v>431.73838407</v>
      </c>
      <c r="AH75" s="9">
        <v>28.015522791666665</v>
      </c>
      <c r="AI75" s="9">
        <v>100.6169962875</v>
      </c>
      <c r="AJ75" s="9">
        <v>3.6587998650000002</v>
      </c>
      <c r="AK75" s="9">
        <v>1.8074530833333333</v>
      </c>
      <c r="AL75" s="9">
        <v>10.976399595</v>
      </c>
      <c r="AM75" s="9">
        <v>2.7111796250000002</v>
      </c>
      <c r="AN75" s="9">
        <v>13.720499493749999</v>
      </c>
      <c r="AO75" s="9">
        <v>27.440998987499999</v>
      </c>
      <c r="AP75" s="9">
        <v>0</v>
      </c>
      <c r="AQ75" s="25">
        <v>0</v>
      </c>
      <c r="AR75" s="9">
        <f t="shared" si="34"/>
        <v>0</v>
      </c>
      <c r="AS75" s="25">
        <v>0</v>
      </c>
      <c r="AT75" s="9">
        <f t="shared" si="35"/>
        <v>0</v>
      </c>
      <c r="AU75" s="9">
        <v>0</v>
      </c>
      <c r="AV75" s="25">
        <v>0</v>
      </c>
      <c r="AW75" s="9">
        <f t="shared" si="36"/>
        <v>0</v>
      </c>
      <c r="AX75" s="25">
        <v>0</v>
      </c>
      <c r="AY75" s="9">
        <f t="shared" si="37"/>
        <v>0</v>
      </c>
      <c r="AZ75" s="9">
        <v>0</v>
      </c>
      <c r="BA75" s="25">
        <v>0</v>
      </c>
      <c r="BB75" s="9">
        <f t="shared" si="38"/>
        <v>0</v>
      </c>
      <c r="BC75" s="25">
        <v>0</v>
      </c>
      <c r="BD75" s="9">
        <f t="shared" si="39"/>
        <v>0</v>
      </c>
      <c r="BE75" s="9">
        <v>0</v>
      </c>
      <c r="BF75" s="9">
        <v>0</v>
      </c>
      <c r="BG75" s="9">
        <f t="shared" si="40"/>
        <v>0</v>
      </c>
      <c r="BH75" s="9">
        <v>0</v>
      </c>
      <c r="BI75" s="9">
        <f t="shared" si="41"/>
        <v>0</v>
      </c>
      <c r="BJ75" s="9">
        <v>0</v>
      </c>
      <c r="BK75" s="9">
        <v>0</v>
      </c>
      <c r="BL75" s="9">
        <f t="shared" si="42"/>
        <v>0</v>
      </c>
      <c r="BM75" s="9">
        <v>0</v>
      </c>
      <c r="BN75" s="9">
        <f t="shared" si="43"/>
        <v>0</v>
      </c>
      <c r="BO75" s="9">
        <v>0</v>
      </c>
      <c r="BP75" s="9">
        <v>0</v>
      </c>
      <c r="BQ75" s="9">
        <f t="shared" si="44"/>
        <v>0</v>
      </c>
      <c r="BR75" s="9">
        <v>0</v>
      </c>
      <c r="BS75" s="9">
        <f t="shared" si="45"/>
        <v>0</v>
      </c>
      <c r="BT75" s="9">
        <f t="shared" si="46"/>
        <v>0</v>
      </c>
      <c r="BU75" s="9">
        <f t="shared" si="47"/>
        <v>0</v>
      </c>
      <c r="BV75" s="9">
        <f t="shared" si="48"/>
        <v>117.48445041666666</v>
      </c>
      <c r="BW75">
        <f t="shared" si="49"/>
        <v>117.48445041666666</v>
      </c>
      <c r="BX75">
        <v>0</v>
      </c>
      <c r="BY75">
        <f t="shared" si="50"/>
        <v>588.1520782987501</v>
      </c>
      <c r="BZ75">
        <v>121.36761837899999</v>
      </c>
      <c r="CA75">
        <f t="shared" si="51"/>
        <v>1310.3934312043332</v>
      </c>
      <c r="CB75">
        <f t="shared" si="52"/>
        <v>2137.39757829875</v>
      </c>
      <c r="CC75">
        <v>0</v>
      </c>
      <c r="CD75">
        <v>0</v>
      </c>
      <c r="CE75">
        <f t="shared" si="53"/>
        <v>0</v>
      </c>
      <c r="CF75">
        <f t="shared" si="54"/>
        <v>1549.2455</v>
      </c>
      <c r="CG75">
        <f t="shared" si="55"/>
        <v>1310.3934312043332</v>
      </c>
      <c r="CH75">
        <f t="shared" si="56"/>
        <v>0</v>
      </c>
      <c r="CJ75" t="s">
        <v>278</v>
      </c>
      <c r="CL75" t="str">
        <f t="shared" si="57"/>
        <v/>
      </c>
    </row>
    <row r="76" spans="1:90" x14ac:dyDescent="0.25">
      <c r="A76" t="s">
        <v>104</v>
      </c>
      <c r="B76" t="s">
        <v>177</v>
      </c>
      <c r="C76" s="1">
        <v>46082</v>
      </c>
      <c r="D76" t="s">
        <v>174</v>
      </c>
      <c r="E76" t="s">
        <v>175</v>
      </c>
      <c r="F76" s="4">
        <v>1</v>
      </c>
      <c r="G76" s="4">
        <v>0.15000000000000002</v>
      </c>
      <c r="H76" s="9">
        <v>1549.2455</v>
      </c>
      <c r="I76" s="9">
        <v>258.20758333333333</v>
      </c>
      <c r="J76" s="9">
        <f t="shared" si="29"/>
        <v>1807.4530833333333</v>
      </c>
      <c r="K76" s="9">
        <v>0</v>
      </c>
      <c r="L76" s="9">
        <f t="shared" si="30"/>
        <v>0</v>
      </c>
      <c r="M76">
        <v>0</v>
      </c>
      <c r="N76" s="4">
        <f t="shared" si="31"/>
        <v>0</v>
      </c>
      <c r="O76" s="9">
        <v>1347.17</v>
      </c>
      <c r="P76" s="9">
        <v>202.07550000000003</v>
      </c>
      <c r="Q76" s="9">
        <v>0</v>
      </c>
      <c r="R76" s="9">
        <v>0</v>
      </c>
      <c r="S76" s="9">
        <v>0</v>
      </c>
      <c r="T76" s="9">
        <v>0</v>
      </c>
      <c r="U76" s="9">
        <v>0</v>
      </c>
      <c r="V76" s="9">
        <v>0</v>
      </c>
      <c r="W76" s="9">
        <f t="shared" si="32"/>
        <v>1549.2455</v>
      </c>
      <c r="X76" s="9">
        <v>258.20758333333333</v>
      </c>
      <c r="Y76" s="9">
        <v>0</v>
      </c>
      <c r="Z76" s="9">
        <v>1807.4530833333333</v>
      </c>
      <c r="AA76" s="9">
        <v>0</v>
      </c>
      <c r="AB76" s="9">
        <f t="shared" si="33"/>
        <v>1807.4530833333333</v>
      </c>
      <c r="AC76" s="9">
        <v>1807.4530833333333</v>
      </c>
      <c r="AD76" s="9">
        <v>0</v>
      </c>
      <c r="AE76" s="9">
        <v>1549.2455</v>
      </c>
      <c r="AF76" s="9">
        <v>84.950294916666664</v>
      </c>
      <c r="AG76" s="9">
        <v>431.73838407</v>
      </c>
      <c r="AH76" s="9">
        <v>28.015522791666665</v>
      </c>
      <c r="AI76" s="9">
        <v>100.6169962875</v>
      </c>
      <c r="AJ76" s="9">
        <v>3.6587998650000002</v>
      </c>
      <c r="AK76" s="9">
        <v>1.8074530833333333</v>
      </c>
      <c r="AL76" s="9">
        <v>10.976399595</v>
      </c>
      <c r="AM76" s="9">
        <v>2.7111796250000002</v>
      </c>
      <c r="AN76" s="9">
        <v>13.720499493749999</v>
      </c>
      <c r="AO76" s="9">
        <v>27.440998987499999</v>
      </c>
      <c r="AP76" s="9">
        <v>0</v>
      </c>
      <c r="AQ76" s="25">
        <v>0</v>
      </c>
      <c r="AR76" s="9">
        <f t="shared" si="34"/>
        <v>0</v>
      </c>
      <c r="AS76" s="25">
        <v>0</v>
      </c>
      <c r="AT76" s="9">
        <f t="shared" si="35"/>
        <v>0</v>
      </c>
      <c r="AU76" s="9">
        <v>0</v>
      </c>
      <c r="AV76" s="25">
        <v>0</v>
      </c>
      <c r="AW76" s="9">
        <f t="shared" si="36"/>
        <v>0</v>
      </c>
      <c r="AX76" s="25">
        <v>0</v>
      </c>
      <c r="AY76" s="9">
        <f t="shared" si="37"/>
        <v>0</v>
      </c>
      <c r="AZ76" s="9">
        <v>0</v>
      </c>
      <c r="BA76" s="25">
        <v>0</v>
      </c>
      <c r="BB76" s="9">
        <f t="shared" si="38"/>
        <v>0</v>
      </c>
      <c r="BC76" s="25">
        <v>0</v>
      </c>
      <c r="BD76" s="9">
        <f t="shared" si="39"/>
        <v>0</v>
      </c>
      <c r="BE76" s="9">
        <v>0</v>
      </c>
      <c r="BF76" s="9">
        <v>0</v>
      </c>
      <c r="BG76" s="9">
        <f t="shared" si="40"/>
        <v>0</v>
      </c>
      <c r="BH76" s="9">
        <v>0</v>
      </c>
      <c r="BI76" s="9">
        <f t="shared" si="41"/>
        <v>0</v>
      </c>
      <c r="BJ76" s="9">
        <v>0</v>
      </c>
      <c r="BK76" s="9">
        <v>0</v>
      </c>
      <c r="BL76" s="9">
        <f t="shared" si="42"/>
        <v>0</v>
      </c>
      <c r="BM76" s="9">
        <v>0</v>
      </c>
      <c r="BN76" s="9">
        <f t="shared" si="43"/>
        <v>0</v>
      </c>
      <c r="BO76" s="9">
        <v>0</v>
      </c>
      <c r="BP76" s="9">
        <v>0</v>
      </c>
      <c r="BQ76" s="9">
        <f t="shared" si="44"/>
        <v>0</v>
      </c>
      <c r="BR76" s="9">
        <v>0</v>
      </c>
      <c r="BS76" s="9">
        <f t="shared" si="45"/>
        <v>0</v>
      </c>
      <c r="BT76" s="9">
        <f t="shared" si="46"/>
        <v>0</v>
      </c>
      <c r="BU76" s="9">
        <f t="shared" si="47"/>
        <v>0</v>
      </c>
      <c r="BV76" s="9">
        <f t="shared" si="48"/>
        <v>117.48445041666666</v>
      </c>
      <c r="BW76">
        <f t="shared" si="49"/>
        <v>117.48445041666666</v>
      </c>
      <c r="BX76">
        <v>0</v>
      </c>
      <c r="BY76">
        <f t="shared" si="50"/>
        <v>588.1520782987501</v>
      </c>
      <c r="BZ76">
        <v>121.36761837899999</v>
      </c>
      <c r="CA76">
        <f t="shared" si="51"/>
        <v>1310.3934312043332</v>
      </c>
      <c r="CB76">
        <f t="shared" si="52"/>
        <v>2137.39757829875</v>
      </c>
      <c r="CC76">
        <v>0</v>
      </c>
      <c r="CD76">
        <v>0</v>
      </c>
      <c r="CE76">
        <f t="shared" si="53"/>
        <v>0</v>
      </c>
      <c r="CF76">
        <f t="shared" si="54"/>
        <v>1549.2455</v>
      </c>
      <c r="CG76">
        <f t="shared" si="55"/>
        <v>1310.3934312043332</v>
      </c>
      <c r="CH76">
        <f t="shared" si="56"/>
        <v>0</v>
      </c>
      <c r="CJ76" t="s">
        <v>278</v>
      </c>
      <c r="CL76" t="str">
        <f t="shared" si="57"/>
        <v/>
      </c>
    </row>
    <row r="77" spans="1:90" x14ac:dyDescent="0.25">
      <c r="A77" t="s">
        <v>104</v>
      </c>
      <c r="B77" t="s">
        <v>178</v>
      </c>
      <c r="C77" s="1">
        <v>46113</v>
      </c>
      <c r="D77" t="s">
        <v>174</v>
      </c>
      <c r="E77" t="s">
        <v>175</v>
      </c>
      <c r="F77" s="4">
        <v>1</v>
      </c>
      <c r="G77" s="4">
        <v>0.15000000000000002</v>
      </c>
      <c r="H77" s="9">
        <v>1549.2455</v>
      </c>
      <c r="I77" s="9">
        <v>258.20758333333333</v>
      </c>
      <c r="J77" s="9">
        <f t="shared" si="29"/>
        <v>1807.4530833333333</v>
      </c>
      <c r="K77" s="9">
        <v>0</v>
      </c>
      <c r="L77" s="9">
        <f t="shared" si="30"/>
        <v>0</v>
      </c>
      <c r="M77">
        <v>0</v>
      </c>
      <c r="N77" s="4">
        <f t="shared" si="31"/>
        <v>0</v>
      </c>
      <c r="O77" s="9">
        <v>1347.17</v>
      </c>
      <c r="P77" s="9">
        <v>202.07550000000003</v>
      </c>
      <c r="Q77" s="9">
        <v>0</v>
      </c>
      <c r="R77" s="9">
        <v>0</v>
      </c>
      <c r="S77" s="9">
        <v>0</v>
      </c>
      <c r="T77" s="9">
        <v>0</v>
      </c>
      <c r="U77" s="9">
        <v>0</v>
      </c>
      <c r="V77" s="9">
        <v>0</v>
      </c>
      <c r="W77" s="9">
        <f t="shared" si="32"/>
        <v>1549.2455</v>
      </c>
      <c r="X77" s="9">
        <v>258.20758333333333</v>
      </c>
      <c r="Y77" s="9">
        <v>0</v>
      </c>
      <c r="Z77" s="9">
        <v>1807.4530833333333</v>
      </c>
      <c r="AA77" s="9">
        <v>0</v>
      </c>
      <c r="AB77" s="9">
        <f t="shared" si="33"/>
        <v>1807.4530833333333</v>
      </c>
      <c r="AC77" s="9">
        <v>1807.4530833333333</v>
      </c>
      <c r="AD77" s="9">
        <v>0</v>
      </c>
      <c r="AE77" s="9">
        <v>1549.2455</v>
      </c>
      <c r="AF77" s="9">
        <v>84.950294916666664</v>
      </c>
      <c r="AG77" s="9">
        <v>431.73838407</v>
      </c>
      <c r="AH77" s="9">
        <v>28.015522791666665</v>
      </c>
      <c r="AI77" s="9">
        <v>100.6169962875</v>
      </c>
      <c r="AJ77" s="9">
        <v>3.6587998650000002</v>
      </c>
      <c r="AK77" s="9">
        <v>1.8074530833333333</v>
      </c>
      <c r="AL77" s="9">
        <v>10.976399595</v>
      </c>
      <c r="AM77" s="9">
        <v>2.7111796250000002</v>
      </c>
      <c r="AN77" s="9">
        <v>13.720499493749999</v>
      </c>
      <c r="AO77" s="9">
        <v>27.440998987499999</v>
      </c>
      <c r="AP77" s="9">
        <v>0</v>
      </c>
      <c r="AQ77" s="25">
        <v>0</v>
      </c>
      <c r="AR77" s="9">
        <f t="shared" si="34"/>
        <v>0</v>
      </c>
      <c r="AS77" s="25">
        <v>0</v>
      </c>
      <c r="AT77" s="9">
        <f t="shared" si="35"/>
        <v>0</v>
      </c>
      <c r="AU77" s="9">
        <v>0</v>
      </c>
      <c r="AV77" s="25">
        <v>0</v>
      </c>
      <c r="AW77" s="9">
        <f t="shared" si="36"/>
        <v>0</v>
      </c>
      <c r="AX77" s="25">
        <v>0</v>
      </c>
      <c r="AY77" s="9">
        <f t="shared" si="37"/>
        <v>0</v>
      </c>
      <c r="AZ77" s="9">
        <v>0</v>
      </c>
      <c r="BA77" s="25">
        <v>0</v>
      </c>
      <c r="BB77" s="9">
        <f t="shared" si="38"/>
        <v>0</v>
      </c>
      <c r="BC77" s="25">
        <v>0</v>
      </c>
      <c r="BD77" s="9">
        <f t="shared" si="39"/>
        <v>0</v>
      </c>
      <c r="BE77" s="9">
        <v>0</v>
      </c>
      <c r="BF77" s="9">
        <v>0</v>
      </c>
      <c r="BG77" s="9">
        <f t="shared" si="40"/>
        <v>0</v>
      </c>
      <c r="BH77" s="9">
        <v>0</v>
      </c>
      <c r="BI77" s="9">
        <f t="shared" si="41"/>
        <v>0</v>
      </c>
      <c r="BJ77" s="9">
        <v>0</v>
      </c>
      <c r="BK77" s="9">
        <v>0</v>
      </c>
      <c r="BL77" s="9">
        <f t="shared" si="42"/>
        <v>0</v>
      </c>
      <c r="BM77" s="9">
        <v>0</v>
      </c>
      <c r="BN77" s="9">
        <f t="shared" si="43"/>
        <v>0</v>
      </c>
      <c r="BO77" s="9">
        <v>0</v>
      </c>
      <c r="BP77" s="9">
        <v>0</v>
      </c>
      <c r="BQ77" s="9">
        <f t="shared" si="44"/>
        <v>0</v>
      </c>
      <c r="BR77" s="9">
        <v>0</v>
      </c>
      <c r="BS77" s="9">
        <f t="shared" si="45"/>
        <v>0</v>
      </c>
      <c r="BT77" s="9">
        <f t="shared" si="46"/>
        <v>0</v>
      </c>
      <c r="BU77" s="9">
        <f t="shared" si="47"/>
        <v>0</v>
      </c>
      <c r="BV77" s="9">
        <f t="shared" si="48"/>
        <v>117.48445041666666</v>
      </c>
      <c r="BW77">
        <f t="shared" si="49"/>
        <v>117.48445041666666</v>
      </c>
      <c r="BX77">
        <v>0</v>
      </c>
      <c r="BY77">
        <f t="shared" si="50"/>
        <v>588.1520782987501</v>
      </c>
      <c r="BZ77">
        <v>121.36761837899999</v>
      </c>
      <c r="CA77">
        <f t="shared" si="51"/>
        <v>1310.3934312043332</v>
      </c>
      <c r="CB77">
        <f t="shared" si="52"/>
        <v>2137.39757829875</v>
      </c>
      <c r="CC77">
        <v>0</v>
      </c>
      <c r="CD77">
        <v>0</v>
      </c>
      <c r="CE77">
        <f t="shared" si="53"/>
        <v>0</v>
      </c>
      <c r="CF77">
        <f t="shared" si="54"/>
        <v>1549.2455</v>
      </c>
      <c r="CG77">
        <f t="shared" si="55"/>
        <v>1310.3934312043332</v>
      </c>
      <c r="CH77">
        <f t="shared" si="56"/>
        <v>0</v>
      </c>
      <c r="CJ77" t="s">
        <v>278</v>
      </c>
      <c r="CL77" t="str">
        <f t="shared" si="57"/>
        <v/>
      </c>
    </row>
    <row r="78" spans="1:90" x14ac:dyDescent="0.25">
      <c r="A78" t="s">
        <v>104</v>
      </c>
      <c r="B78" t="s">
        <v>179</v>
      </c>
      <c r="C78" s="1">
        <v>46143</v>
      </c>
      <c r="D78" t="s">
        <v>174</v>
      </c>
      <c r="E78" t="s">
        <v>175</v>
      </c>
      <c r="F78" s="4">
        <v>1</v>
      </c>
      <c r="G78" s="4">
        <v>0.15000000000000002</v>
      </c>
      <c r="H78" s="9">
        <v>1549.2455</v>
      </c>
      <c r="I78" s="9">
        <v>258.20758333333333</v>
      </c>
      <c r="J78" s="9">
        <f t="shared" si="29"/>
        <v>1807.4530833333333</v>
      </c>
      <c r="K78" s="9">
        <v>0</v>
      </c>
      <c r="L78" s="9">
        <f t="shared" si="30"/>
        <v>0</v>
      </c>
      <c r="M78">
        <v>0</v>
      </c>
      <c r="N78" s="4">
        <f t="shared" si="31"/>
        <v>0</v>
      </c>
      <c r="O78" s="9">
        <v>1347.17</v>
      </c>
      <c r="P78" s="9">
        <v>202.07550000000003</v>
      </c>
      <c r="Q78" s="9">
        <v>0</v>
      </c>
      <c r="R78" s="9">
        <v>0</v>
      </c>
      <c r="S78" s="9">
        <v>0</v>
      </c>
      <c r="T78" s="9">
        <v>0</v>
      </c>
      <c r="U78" s="9">
        <v>0</v>
      </c>
      <c r="V78" s="9">
        <v>0</v>
      </c>
      <c r="W78" s="9">
        <f t="shared" si="32"/>
        <v>1549.2455</v>
      </c>
      <c r="X78" s="9">
        <v>258.20758333333333</v>
      </c>
      <c r="Y78" s="9">
        <v>0</v>
      </c>
      <c r="Z78" s="9">
        <v>1807.4530833333333</v>
      </c>
      <c r="AA78" s="9">
        <v>0</v>
      </c>
      <c r="AB78" s="9">
        <f t="shared" si="33"/>
        <v>1807.4530833333333</v>
      </c>
      <c r="AC78" s="9">
        <v>1807.4530833333333</v>
      </c>
      <c r="AD78" s="9">
        <v>0</v>
      </c>
      <c r="AE78" s="9">
        <v>1549.2455</v>
      </c>
      <c r="AF78" s="9">
        <v>84.950294916666664</v>
      </c>
      <c r="AG78" s="9">
        <v>431.73838407</v>
      </c>
      <c r="AH78" s="9">
        <v>28.015522791666665</v>
      </c>
      <c r="AI78" s="9">
        <v>100.6169962875</v>
      </c>
      <c r="AJ78" s="9">
        <v>3.6587998650000002</v>
      </c>
      <c r="AK78" s="9">
        <v>1.8074530833333333</v>
      </c>
      <c r="AL78" s="9">
        <v>10.976399595</v>
      </c>
      <c r="AM78" s="9">
        <v>2.7111796250000002</v>
      </c>
      <c r="AN78" s="9">
        <v>13.720499493749999</v>
      </c>
      <c r="AO78" s="9">
        <v>27.440998987499999</v>
      </c>
      <c r="AP78" s="9">
        <v>0</v>
      </c>
      <c r="AQ78" s="25">
        <v>0</v>
      </c>
      <c r="AR78" s="9">
        <f t="shared" si="34"/>
        <v>0</v>
      </c>
      <c r="AS78" s="25">
        <v>0</v>
      </c>
      <c r="AT78" s="9">
        <f t="shared" si="35"/>
        <v>0</v>
      </c>
      <c r="AU78" s="9">
        <v>0</v>
      </c>
      <c r="AV78" s="25">
        <v>0</v>
      </c>
      <c r="AW78" s="9">
        <f t="shared" si="36"/>
        <v>0</v>
      </c>
      <c r="AX78" s="25">
        <v>0</v>
      </c>
      <c r="AY78" s="9">
        <f t="shared" si="37"/>
        <v>0</v>
      </c>
      <c r="AZ78" s="9">
        <v>0</v>
      </c>
      <c r="BA78" s="25">
        <v>0</v>
      </c>
      <c r="BB78" s="9">
        <f t="shared" si="38"/>
        <v>0</v>
      </c>
      <c r="BC78" s="25">
        <v>0</v>
      </c>
      <c r="BD78" s="9">
        <f t="shared" si="39"/>
        <v>0</v>
      </c>
      <c r="BE78" s="9">
        <v>0</v>
      </c>
      <c r="BF78" s="9">
        <v>0</v>
      </c>
      <c r="BG78" s="9">
        <f t="shared" si="40"/>
        <v>0</v>
      </c>
      <c r="BH78" s="9">
        <v>0</v>
      </c>
      <c r="BI78" s="9">
        <f t="shared" si="41"/>
        <v>0</v>
      </c>
      <c r="BJ78" s="9">
        <v>0</v>
      </c>
      <c r="BK78" s="9">
        <v>0</v>
      </c>
      <c r="BL78" s="9">
        <f t="shared" si="42"/>
        <v>0</v>
      </c>
      <c r="BM78" s="9">
        <v>0</v>
      </c>
      <c r="BN78" s="9">
        <f t="shared" si="43"/>
        <v>0</v>
      </c>
      <c r="BO78" s="9">
        <v>0</v>
      </c>
      <c r="BP78" s="9">
        <v>0</v>
      </c>
      <c r="BQ78" s="9">
        <f t="shared" si="44"/>
        <v>0</v>
      </c>
      <c r="BR78" s="9">
        <v>0</v>
      </c>
      <c r="BS78" s="9">
        <f t="shared" si="45"/>
        <v>0</v>
      </c>
      <c r="BT78" s="9">
        <f t="shared" si="46"/>
        <v>0</v>
      </c>
      <c r="BU78" s="9">
        <f t="shared" si="47"/>
        <v>0</v>
      </c>
      <c r="BV78" s="9">
        <f t="shared" si="48"/>
        <v>117.48445041666666</v>
      </c>
      <c r="BW78">
        <f t="shared" si="49"/>
        <v>117.48445041666666</v>
      </c>
      <c r="BX78">
        <v>0</v>
      </c>
      <c r="BY78">
        <f t="shared" si="50"/>
        <v>588.1520782987501</v>
      </c>
      <c r="BZ78">
        <v>121.36761837899999</v>
      </c>
      <c r="CA78">
        <f t="shared" si="51"/>
        <v>1310.3934312043332</v>
      </c>
      <c r="CB78">
        <f t="shared" si="52"/>
        <v>2137.39757829875</v>
      </c>
      <c r="CC78">
        <v>0</v>
      </c>
      <c r="CD78">
        <v>0</v>
      </c>
      <c r="CE78">
        <f t="shared" si="53"/>
        <v>0</v>
      </c>
      <c r="CF78">
        <f t="shared" si="54"/>
        <v>1549.2455</v>
      </c>
      <c r="CG78">
        <f t="shared" si="55"/>
        <v>1310.3934312043332</v>
      </c>
      <c r="CH78">
        <f t="shared" si="56"/>
        <v>0</v>
      </c>
      <c r="CJ78" t="s">
        <v>278</v>
      </c>
      <c r="CL78" t="str">
        <f t="shared" si="57"/>
        <v/>
      </c>
    </row>
    <row r="79" spans="1:90" x14ac:dyDescent="0.25">
      <c r="A79" t="s">
        <v>104</v>
      </c>
      <c r="B79" t="s">
        <v>180</v>
      </c>
      <c r="C79" s="1">
        <v>46174</v>
      </c>
      <c r="D79" t="s">
        <v>174</v>
      </c>
      <c r="E79" t="s">
        <v>175</v>
      </c>
      <c r="F79" s="4">
        <v>1</v>
      </c>
      <c r="G79" s="4">
        <v>0.15000000000000002</v>
      </c>
      <c r="H79" s="9">
        <v>1549.2455</v>
      </c>
      <c r="I79" s="9">
        <v>258.20758333333333</v>
      </c>
      <c r="J79" s="9">
        <f t="shared" si="29"/>
        <v>1807.4530833333333</v>
      </c>
      <c r="K79" s="9">
        <v>0</v>
      </c>
      <c r="L79" s="9">
        <f t="shared" si="30"/>
        <v>0</v>
      </c>
      <c r="M79">
        <v>0</v>
      </c>
      <c r="N79" s="4">
        <f t="shared" si="31"/>
        <v>0</v>
      </c>
      <c r="O79" s="9">
        <v>1347.17</v>
      </c>
      <c r="P79" s="9">
        <v>202.07550000000003</v>
      </c>
      <c r="Q79" s="9">
        <v>0</v>
      </c>
      <c r="R79" s="9">
        <v>0</v>
      </c>
      <c r="S79" s="9">
        <v>0</v>
      </c>
      <c r="T79" s="9">
        <v>0</v>
      </c>
      <c r="U79" s="9">
        <v>0</v>
      </c>
      <c r="V79" s="9">
        <v>0</v>
      </c>
      <c r="W79" s="9">
        <f t="shared" si="32"/>
        <v>1549.2455</v>
      </c>
      <c r="X79" s="9">
        <v>258.20758333333333</v>
      </c>
      <c r="Y79" s="9">
        <v>0</v>
      </c>
      <c r="Z79" s="9">
        <v>1807.4530833333333</v>
      </c>
      <c r="AA79" s="9">
        <v>0</v>
      </c>
      <c r="AB79" s="9">
        <f t="shared" si="33"/>
        <v>1807.4530833333333</v>
      </c>
      <c r="AC79" s="9">
        <v>1807.4530833333333</v>
      </c>
      <c r="AD79" s="9">
        <v>0</v>
      </c>
      <c r="AE79" s="9">
        <v>1549.2455</v>
      </c>
      <c r="AF79" s="9">
        <v>84.950294916666664</v>
      </c>
      <c r="AG79" s="9">
        <v>431.73838407</v>
      </c>
      <c r="AH79" s="9">
        <v>28.015522791666665</v>
      </c>
      <c r="AI79" s="9">
        <v>100.6169962875</v>
      </c>
      <c r="AJ79" s="9">
        <v>3.6587998650000002</v>
      </c>
      <c r="AK79" s="9">
        <v>1.8074530833333333</v>
      </c>
      <c r="AL79" s="9">
        <v>10.976399595</v>
      </c>
      <c r="AM79" s="9">
        <v>2.7111796250000002</v>
      </c>
      <c r="AN79" s="9">
        <v>13.720499493749999</v>
      </c>
      <c r="AO79" s="9">
        <v>27.440998987499999</v>
      </c>
      <c r="AP79" s="9">
        <v>0</v>
      </c>
      <c r="AQ79" s="25">
        <v>0</v>
      </c>
      <c r="AR79" s="9">
        <f t="shared" si="34"/>
        <v>0</v>
      </c>
      <c r="AS79" s="25">
        <v>0</v>
      </c>
      <c r="AT79" s="9">
        <f t="shared" si="35"/>
        <v>0</v>
      </c>
      <c r="AU79" s="9">
        <v>0</v>
      </c>
      <c r="AV79" s="25">
        <v>0</v>
      </c>
      <c r="AW79" s="9">
        <f t="shared" si="36"/>
        <v>0</v>
      </c>
      <c r="AX79" s="25">
        <v>0</v>
      </c>
      <c r="AY79" s="9">
        <f t="shared" si="37"/>
        <v>0</v>
      </c>
      <c r="AZ79" s="9">
        <v>0</v>
      </c>
      <c r="BA79" s="25">
        <v>0</v>
      </c>
      <c r="BB79" s="9">
        <f t="shared" si="38"/>
        <v>0</v>
      </c>
      <c r="BC79" s="25">
        <v>0</v>
      </c>
      <c r="BD79" s="9">
        <f t="shared" si="39"/>
        <v>0</v>
      </c>
      <c r="BE79" s="9">
        <v>0</v>
      </c>
      <c r="BF79" s="9">
        <v>0</v>
      </c>
      <c r="BG79" s="9">
        <f t="shared" si="40"/>
        <v>0</v>
      </c>
      <c r="BH79" s="9">
        <v>0</v>
      </c>
      <c r="BI79" s="9">
        <f t="shared" si="41"/>
        <v>0</v>
      </c>
      <c r="BJ79" s="9">
        <v>0</v>
      </c>
      <c r="BK79" s="9">
        <v>0</v>
      </c>
      <c r="BL79" s="9">
        <f t="shared" si="42"/>
        <v>0</v>
      </c>
      <c r="BM79" s="9">
        <v>0</v>
      </c>
      <c r="BN79" s="9">
        <f t="shared" si="43"/>
        <v>0</v>
      </c>
      <c r="BO79" s="9">
        <v>0</v>
      </c>
      <c r="BP79" s="9">
        <v>0</v>
      </c>
      <c r="BQ79" s="9">
        <f t="shared" si="44"/>
        <v>0</v>
      </c>
      <c r="BR79" s="9">
        <v>0</v>
      </c>
      <c r="BS79" s="9">
        <f t="shared" si="45"/>
        <v>0</v>
      </c>
      <c r="BT79" s="9">
        <f t="shared" si="46"/>
        <v>0</v>
      </c>
      <c r="BU79" s="9">
        <f t="shared" si="47"/>
        <v>0</v>
      </c>
      <c r="BV79" s="9">
        <f t="shared" si="48"/>
        <v>117.48445041666666</v>
      </c>
      <c r="BW79">
        <f t="shared" si="49"/>
        <v>117.48445041666666</v>
      </c>
      <c r="BX79">
        <v>0</v>
      </c>
      <c r="BY79">
        <f t="shared" si="50"/>
        <v>588.1520782987501</v>
      </c>
      <c r="BZ79">
        <v>121.36761837899999</v>
      </c>
      <c r="CA79">
        <f t="shared" si="51"/>
        <v>1310.3934312043332</v>
      </c>
      <c r="CB79">
        <f t="shared" si="52"/>
        <v>2137.39757829875</v>
      </c>
      <c r="CC79">
        <v>0</v>
      </c>
      <c r="CD79">
        <v>0</v>
      </c>
      <c r="CE79">
        <f t="shared" si="53"/>
        <v>0</v>
      </c>
      <c r="CF79">
        <f t="shared" si="54"/>
        <v>1549.2455</v>
      </c>
      <c r="CG79">
        <f t="shared" si="55"/>
        <v>1310.3934312043332</v>
      </c>
      <c r="CH79">
        <f t="shared" si="56"/>
        <v>0</v>
      </c>
      <c r="CJ79" t="s">
        <v>278</v>
      </c>
      <c r="CL79" t="str">
        <f t="shared" si="57"/>
        <v/>
      </c>
    </row>
    <row r="80" spans="1:90" x14ac:dyDescent="0.25">
      <c r="A80" t="s">
        <v>104</v>
      </c>
      <c r="B80" t="s">
        <v>181</v>
      </c>
      <c r="C80" s="1">
        <v>46204</v>
      </c>
      <c r="D80" t="s">
        <v>182</v>
      </c>
      <c r="E80" t="s">
        <v>175</v>
      </c>
      <c r="F80" s="4">
        <v>1</v>
      </c>
      <c r="G80" s="4">
        <v>0.15000000000000002</v>
      </c>
      <c r="H80" s="9">
        <v>1549.2455</v>
      </c>
      <c r="I80" s="9">
        <v>258.20758333333333</v>
      </c>
      <c r="J80" s="9">
        <f t="shared" si="29"/>
        <v>1807.4530833333333</v>
      </c>
      <c r="K80" s="9">
        <v>0</v>
      </c>
      <c r="L80" s="9">
        <f t="shared" si="30"/>
        <v>0</v>
      </c>
      <c r="M80">
        <v>0</v>
      </c>
      <c r="N80" s="4">
        <f t="shared" si="31"/>
        <v>0</v>
      </c>
      <c r="O80" s="9">
        <v>1347.17</v>
      </c>
      <c r="P80" s="9">
        <v>202.07550000000003</v>
      </c>
      <c r="Q80" s="9">
        <v>0</v>
      </c>
      <c r="R80" s="9">
        <v>0</v>
      </c>
      <c r="S80" s="9">
        <v>0</v>
      </c>
      <c r="T80" s="9">
        <v>0</v>
      </c>
      <c r="U80" s="9">
        <v>0</v>
      </c>
      <c r="V80" s="9">
        <v>0</v>
      </c>
      <c r="W80" s="9">
        <f t="shared" si="32"/>
        <v>1549.2455</v>
      </c>
      <c r="X80" s="9">
        <v>0</v>
      </c>
      <c r="Y80" s="9">
        <v>0</v>
      </c>
      <c r="Z80" s="9">
        <v>0</v>
      </c>
      <c r="AA80" s="9">
        <v>0</v>
      </c>
      <c r="AB80" s="9">
        <f t="shared" si="33"/>
        <v>0</v>
      </c>
      <c r="AC80" s="9">
        <v>0</v>
      </c>
      <c r="AD80" s="9">
        <v>0</v>
      </c>
      <c r="AE80" s="9">
        <v>1549.2455</v>
      </c>
      <c r="AF80" s="9">
        <v>0</v>
      </c>
      <c r="AG80" s="9">
        <v>0</v>
      </c>
      <c r="AH80" s="9">
        <v>0</v>
      </c>
      <c r="AI80" s="9">
        <v>0</v>
      </c>
      <c r="AJ80" s="9">
        <v>0</v>
      </c>
      <c r="AK80" s="9">
        <v>0</v>
      </c>
      <c r="AL80" s="9">
        <v>0</v>
      </c>
      <c r="AM80" s="9">
        <v>0</v>
      </c>
      <c r="AN80" s="9">
        <v>0</v>
      </c>
      <c r="AO80" s="9">
        <v>0</v>
      </c>
      <c r="AP80" s="9">
        <v>0</v>
      </c>
      <c r="AQ80" s="25">
        <v>0</v>
      </c>
      <c r="AR80" s="9">
        <f t="shared" si="34"/>
        <v>0</v>
      </c>
      <c r="AS80" s="25">
        <v>0</v>
      </c>
      <c r="AT80" s="9">
        <f t="shared" si="35"/>
        <v>0</v>
      </c>
      <c r="AU80" s="9">
        <v>0</v>
      </c>
      <c r="AV80" s="25">
        <v>0</v>
      </c>
      <c r="AW80" s="9">
        <f t="shared" si="36"/>
        <v>0</v>
      </c>
      <c r="AX80" s="25">
        <v>0</v>
      </c>
      <c r="AY80" s="9">
        <f t="shared" si="37"/>
        <v>0</v>
      </c>
      <c r="AZ80" s="9">
        <v>0</v>
      </c>
      <c r="BA80" s="25">
        <v>0</v>
      </c>
      <c r="BB80" s="9">
        <f t="shared" si="38"/>
        <v>0</v>
      </c>
      <c r="BC80" s="25">
        <v>0</v>
      </c>
      <c r="BD80" s="9">
        <f t="shared" si="39"/>
        <v>0</v>
      </c>
      <c r="BE80" s="9">
        <v>0</v>
      </c>
      <c r="BF80" s="9">
        <v>0</v>
      </c>
      <c r="BG80" s="9">
        <f t="shared" si="40"/>
        <v>0</v>
      </c>
      <c r="BH80" s="9">
        <v>0</v>
      </c>
      <c r="BI80" s="9">
        <f t="shared" si="41"/>
        <v>0</v>
      </c>
      <c r="BJ80" s="9">
        <v>0</v>
      </c>
      <c r="BK80" s="9">
        <v>0</v>
      </c>
      <c r="BL80" s="9">
        <f t="shared" si="42"/>
        <v>0</v>
      </c>
      <c r="BM80" s="9">
        <v>0</v>
      </c>
      <c r="BN80" s="9">
        <f t="shared" si="43"/>
        <v>0</v>
      </c>
      <c r="BO80" s="9">
        <v>0</v>
      </c>
      <c r="BP80" s="9">
        <v>0</v>
      </c>
      <c r="BQ80" s="9">
        <f t="shared" si="44"/>
        <v>0</v>
      </c>
      <c r="BR80" s="9">
        <v>0</v>
      </c>
      <c r="BS80" s="9">
        <f t="shared" si="45"/>
        <v>0</v>
      </c>
      <c r="BT80" s="9">
        <f t="shared" si="46"/>
        <v>0</v>
      </c>
      <c r="BU80" s="9">
        <f t="shared" si="47"/>
        <v>0</v>
      </c>
      <c r="BV80" s="9">
        <f t="shared" si="48"/>
        <v>0</v>
      </c>
      <c r="BW80">
        <f t="shared" si="49"/>
        <v>0</v>
      </c>
      <c r="BX80">
        <v>0</v>
      </c>
      <c r="BY80">
        <f t="shared" si="50"/>
        <v>0</v>
      </c>
      <c r="BZ80">
        <v>121.36761837900001</v>
      </c>
      <c r="CA80">
        <f t="shared" si="51"/>
        <v>1427.8778816209999</v>
      </c>
      <c r="CB80">
        <f t="shared" si="52"/>
        <v>1549.2455</v>
      </c>
      <c r="CC80">
        <v>0</v>
      </c>
      <c r="CD80">
        <v>0</v>
      </c>
      <c r="CE80">
        <f t="shared" si="53"/>
        <v>0</v>
      </c>
      <c r="CF80">
        <f t="shared" si="54"/>
        <v>1549.2455</v>
      </c>
      <c r="CG80">
        <f t="shared" si="55"/>
        <v>1427.8778816209999</v>
      </c>
      <c r="CH80">
        <f t="shared" si="56"/>
        <v>0</v>
      </c>
      <c r="CJ80" t="s">
        <v>278</v>
      </c>
      <c r="CL80" t="str">
        <f t="shared" si="57"/>
        <v/>
      </c>
    </row>
    <row r="81" spans="1:90" x14ac:dyDescent="0.25">
      <c r="A81" t="s">
        <v>104</v>
      </c>
      <c r="B81" t="s">
        <v>183</v>
      </c>
      <c r="C81" s="1">
        <v>46204</v>
      </c>
      <c r="D81" t="s">
        <v>174</v>
      </c>
      <c r="E81" t="s">
        <v>175</v>
      </c>
      <c r="F81" s="4">
        <v>1</v>
      </c>
      <c r="G81" s="4">
        <v>0.15000000000000002</v>
      </c>
      <c r="H81" s="9">
        <v>1549.2455</v>
      </c>
      <c r="I81" s="9">
        <v>258.20758333333333</v>
      </c>
      <c r="J81" s="9">
        <f t="shared" si="29"/>
        <v>1807.4530833333333</v>
      </c>
      <c r="K81" s="9">
        <v>0</v>
      </c>
      <c r="L81" s="9">
        <f t="shared" si="30"/>
        <v>0</v>
      </c>
      <c r="M81">
        <v>0</v>
      </c>
      <c r="N81" s="4">
        <f t="shared" si="31"/>
        <v>0</v>
      </c>
      <c r="O81" s="9">
        <v>1347.17</v>
      </c>
      <c r="P81" s="9">
        <v>202.07550000000003</v>
      </c>
      <c r="Q81" s="9">
        <v>0</v>
      </c>
      <c r="R81" s="9">
        <v>0</v>
      </c>
      <c r="S81" s="9">
        <v>0</v>
      </c>
      <c r="T81" s="9">
        <v>0</v>
      </c>
      <c r="U81" s="9">
        <v>0</v>
      </c>
      <c r="V81" s="9">
        <v>0</v>
      </c>
      <c r="W81" s="9">
        <f t="shared" si="32"/>
        <v>1549.2455</v>
      </c>
      <c r="X81" s="9">
        <v>258.20758333333333</v>
      </c>
      <c r="Y81" s="9">
        <v>0</v>
      </c>
      <c r="Z81" s="9">
        <v>1807.4530833333333</v>
      </c>
      <c r="AA81" s="9">
        <v>0</v>
      </c>
      <c r="AB81" s="9">
        <f t="shared" si="33"/>
        <v>1807.4530833333333</v>
      </c>
      <c r="AC81" s="9">
        <v>1807.4530833333333</v>
      </c>
      <c r="AD81" s="9">
        <v>0</v>
      </c>
      <c r="AE81" s="9">
        <v>1549.2455</v>
      </c>
      <c r="AF81" s="9">
        <v>84.950294916666664</v>
      </c>
      <c r="AG81" s="9">
        <v>431.73838407</v>
      </c>
      <c r="AH81" s="9">
        <v>28.015522791666665</v>
      </c>
      <c r="AI81" s="9">
        <v>100.6169962875</v>
      </c>
      <c r="AJ81" s="9">
        <v>3.6587998650000002</v>
      </c>
      <c r="AK81" s="9">
        <v>1.8074530833333333</v>
      </c>
      <c r="AL81" s="9">
        <v>10.976399595</v>
      </c>
      <c r="AM81" s="9">
        <v>2.7111796250000002</v>
      </c>
      <c r="AN81" s="9">
        <v>13.720499493749999</v>
      </c>
      <c r="AO81" s="9">
        <v>27.440998987499999</v>
      </c>
      <c r="AP81" s="9">
        <v>0</v>
      </c>
      <c r="AQ81" s="25">
        <v>0</v>
      </c>
      <c r="AR81" s="9">
        <f t="shared" si="34"/>
        <v>0</v>
      </c>
      <c r="AS81" s="25">
        <v>0</v>
      </c>
      <c r="AT81" s="9">
        <f t="shared" si="35"/>
        <v>0</v>
      </c>
      <c r="AU81" s="9">
        <v>0</v>
      </c>
      <c r="AV81" s="25">
        <v>0</v>
      </c>
      <c r="AW81" s="9">
        <f t="shared" si="36"/>
        <v>0</v>
      </c>
      <c r="AX81" s="25">
        <v>0</v>
      </c>
      <c r="AY81" s="9">
        <f t="shared" si="37"/>
        <v>0</v>
      </c>
      <c r="AZ81" s="9">
        <v>0</v>
      </c>
      <c r="BA81" s="25">
        <v>0</v>
      </c>
      <c r="BB81" s="9">
        <f t="shared" si="38"/>
        <v>0</v>
      </c>
      <c r="BC81" s="25">
        <v>0</v>
      </c>
      <c r="BD81" s="9">
        <f t="shared" si="39"/>
        <v>0</v>
      </c>
      <c r="BE81" s="9">
        <v>0</v>
      </c>
      <c r="BF81" s="9">
        <v>0</v>
      </c>
      <c r="BG81" s="9">
        <f t="shared" si="40"/>
        <v>0</v>
      </c>
      <c r="BH81" s="9">
        <v>0</v>
      </c>
      <c r="BI81" s="9">
        <f t="shared" si="41"/>
        <v>0</v>
      </c>
      <c r="BJ81" s="9">
        <v>0</v>
      </c>
      <c r="BK81" s="9">
        <v>0</v>
      </c>
      <c r="BL81" s="9">
        <f t="shared" si="42"/>
        <v>0</v>
      </c>
      <c r="BM81" s="9">
        <v>0</v>
      </c>
      <c r="BN81" s="9">
        <f t="shared" si="43"/>
        <v>0</v>
      </c>
      <c r="BO81" s="9">
        <v>0</v>
      </c>
      <c r="BP81" s="9">
        <v>0</v>
      </c>
      <c r="BQ81" s="9">
        <f t="shared" si="44"/>
        <v>0</v>
      </c>
      <c r="BR81" s="9">
        <v>0</v>
      </c>
      <c r="BS81" s="9">
        <f t="shared" si="45"/>
        <v>0</v>
      </c>
      <c r="BT81" s="9">
        <f t="shared" si="46"/>
        <v>0</v>
      </c>
      <c r="BU81" s="9">
        <f t="shared" si="47"/>
        <v>0</v>
      </c>
      <c r="BV81" s="9">
        <f t="shared" si="48"/>
        <v>117.48445041666666</v>
      </c>
      <c r="BW81">
        <f t="shared" si="49"/>
        <v>117.48445041666666</v>
      </c>
      <c r="BX81">
        <v>0</v>
      </c>
      <c r="BY81">
        <f t="shared" si="50"/>
        <v>588.1520782987501</v>
      </c>
      <c r="BZ81">
        <v>121.36761837899999</v>
      </c>
      <c r="CA81">
        <f t="shared" si="51"/>
        <v>1310.3934312043332</v>
      </c>
      <c r="CB81">
        <f t="shared" si="52"/>
        <v>2137.39757829875</v>
      </c>
      <c r="CC81">
        <v>0</v>
      </c>
      <c r="CD81">
        <v>0</v>
      </c>
      <c r="CE81">
        <f t="shared" si="53"/>
        <v>0</v>
      </c>
      <c r="CF81">
        <f t="shared" si="54"/>
        <v>1549.2455</v>
      </c>
      <c r="CG81">
        <f t="shared" si="55"/>
        <v>1310.3934312043332</v>
      </c>
      <c r="CH81">
        <f t="shared" si="56"/>
        <v>0</v>
      </c>
      <c r="CJ81" t="s">
        <v>278</v>
      </c>
      <c r="CL81" t="str">
        <f t="shared" si="57"/>
        <v/>
      </c>
    </row>
    <row r="82" spans="1:90" x14ac:dyDescent="0.25">
      <c r="A82" t="s">
        <v>104</v>
      </c>
      <c r="B82" t="s">
        <v>184</v>
      </c>
      <c r="C82" s="1">
        <v>46235</v>
      </c>
      <c r="D82" t="s">
        <v>174</v>
      </c>
      <c r="E82" t="s">
        <v>175</v>
      </c>
      <c r="F82" s="4">
        <v>1</v>
      </c>
      <c r="G82" s="4">
        <v>0.2</v>
      </c>
      <c r="H82" s="9">
        <v>1616.604</v>
      </c>
      <c r="I82" s="9">
        <v>269.43399999999997</v>
      </c>
      <c r="J82" s="9">
        <f t="shared" si="29"/>
        <v>1886.038</v>
      </c>
      <c r="K82" s="9">
        <v>0</v>
      </c>
      <c r="L82" s="9">
        <f t="shared" si="30"/>
        <v>0</v>
      </c>
      <c r="M82">
        <v>0</v>
      </c>
      <c r="N82" s="4">
        <f t="shared" si="31"/>
        <v>0</v>
      </c>
      <c r="O82" s="9">
        <v>1347.17</v>
      </c>
      <c r="P82" s="9">
        <v>269.43400000000003</v>
      </c>
      <c r="Q82" s="9">
        <v>0</v>
      </c>
      <c r="R82" s="9">
        <v>0</v>
      </c>
      <c r="S82" s="9">
        <v>0</v>
      </c>
      <c r="T82" s="9">
        <v>0</v>
      </c>
      <c r="U82" s="9">
        <v>0</v>
      </c>
      <c r="V82" s="9">
        <v>0</v>
      </c>
      <c r="W82" s="9">
        <f t="shared" si="32"/>
        <v>1616.604</v>
      </c>
      <c r="X82" s="9">
        <v>269.43399999999997</v>
      </c>
      <c r="Y82" s="9">
        <v>0</v>
      </c>
      <c r="Z82" s="9">
        <v>1886.038</v>
      </c>
      <c r="AA82" s="9">
        <v>0</v>
      </c>
      <c r="AB82" s="9">
        <f t="shared" si="33"/>
        <v>1886.038</v>
      </c>
      <c r="AC82" s="9">
        <v>1886.038</v>
      </c>
      <c r="AD82" s="9">
        <v>0</v>
      </c>
      <c r="AE82" s="9">
        <v>1616.604</v>
      </c>
      <c r="AF82" s="9">
        <v>88.643786000000006</v>
      </c>
      <c r="AG82" s="9">
        <v>431.73838407</v>
      </c>
      <c r="AH82" s="9">
        <v>29.233588999999998</v>
      </c>
      <c r="AI82" s="9">
        <v>100.6169962875</v>
      </c>
      <c r="AJ82" s="9">
        <v>3.6587998650000002</v>
      </c>
      <c r="AK82" s="9">
        <v>1.8860380000000001</v>
      </c>
      <c r="AL82" s="9">
        <v>10.976399595</v>
      </c>
      <c r="AM82" s="9">
        <v>2.8290570000000002</v>
      </c>
      <c r="AN82" s="9">
        <v>13.720499493749999</v>
      </c>
      <c r="AO82" s="9">
        <v>27.440998987499999</v>
      </c>
      <c r="AP82" s="9">
        <v>0</v>
      </c>
      <c r="AQ82" s="25">
        <v>0</v>
      </c>
      <c r="AR82" s="9">
        <f t="shared" si="34"/>
        <v>0</v>
      </c>
      <c r="AS82" s="25">
        <v>0</v>
      </c>
      <c r="AT82" s="9">
        <f t="shared" si="35"/>
        <v>0</v>
      </c>
      <c r="AU82" s="9">
        <v>0</v>
      </c>
      <c r="AV82" s="25">
        <v>0</v>
      </c>
      <c r="AW82" s="9">
        <f t="shared" si="36"/>
        <v>0</v>
      </c>
      <c r="AX82" s="25">
        <v>0</v>
      </c>
      <c r="AY82" s="9">
        <f t="shared" si="37"/>
        <v>0</v>
      </c>
      <c r="AZ82" s="9">
        <v>0</v>
      </c>
      <c r="BA82" s="25">
        <v>0</v>
      </c>
      <c r="BB82" s="9">
        <f t="shared" si="38"/>
        <v>0</v>
      </c>
      <c r="BC82" s="25">
        <v>0</v>
      </c>
      <c r="BD82" s="9">
        <f t="shared" si="39"/>
        <v>0</v>
      </c>
      <c r="BE82" s="9">
        <v>0</v>
      </c>
      <c r="BF82" s="9">
        <v>0</v>
      </c>
      <c r="BG82" s="9">
        <f t="shared" si="40"/>
        <v>0</v>
      </c>
      <c r="BH82" s="9">
        <v>0</v>
      </c>
      <c r="BI82" s="9">
        <f t="shared" si="41"/>
        <v>0</v>
      </c>
      <c r="BJ82" s="9">
        <v>0</v>
      </c>
      <c r="BK82" s="9">
        <v>0</v>
      </c>
      <c r="BL82" s="9">
        <f t="shared" si="42"/>
        <v>0</v>
      </c>
      <c r="BM82" s="9">
        <v>0</v>
      </c>
      <c r="BN82" s="9">
        <f t="shared" si="43"/>
        <v>0</v>
      </c>
      <c r="BO82" s="9">
        <v>0</v>
      </c>
      <c r="BP82" s="9">
        <v>0</v>
      </c>
      <c r="BQ82" s="9">
        <f t="shared" si="44"/>
        <v>0</v>
      </c>
      <c r="BR82" s="9">
        <v>0</v>
      </c>
      <c r="BS82" s="9">
        <f t="shared" si="45"/>
        <v>0</v>
      </c>
      <c r="BT82" s="9">
        <f t="shared" si="46"/>
        <v>0</v>
      </c>
      <c r="BU82" s="9">
        <f t="shared" si="47"/>
        <v>0</v>
      </c>
      <c r="BV82" s="9">
        <f t="shared" si="48"/>
        <v>122.59247000000001</v>
      </c>
      <c r="BW82">
        <f t="shared" si="49"/>
        <v>122.59247000000001</v>
      </c>
      <c r="BX82">
        <v>0</v>
      </c>
      <c r="BY82">
        <f t="shared" si="50"/>
        <v>588.1520782987501</v>
      </c>
      <c r="BZ82">
        <v>121.36761837899999</v>
      </c>
      <c r="CA82">
        <f t="shared" si="51"/>
        <v>1372.6439116209999</v>
      </c>
      <c r="CB82">
        <f t="shared" si="52"/>
        <v>2204.7560782987503</v>
      </c>
      <c r="CC82">
        <v>0</v>
      </c>
      <c r="CD82">
        <v>0</v>
      </c>
      <c r="CE82">
        <f t="shared" si="53"/>
        <v>0</v>
      </c>
      <c r="CF82">
        <f t="shared" si="54"/>
        <v>1616.604</v>
      </c>
      <c r="CG82">
        <f t="shared" si="55"/>
        <v>1372.6439116209999</v>
      </c>
      <c r="CH82">
        <f t="shared" si="56"/>
        <v>0</v>
      </c>
      <c r="CJ82" t="s">
        <v>278</v>
      </c>
      <c r="CL82" t="str">
        <f t="shared" si="57"/>
        <v/>
      </c>
    </row>
    <row r="83" spans="1:90" x14ac:dyDescent="0.25">
      <c r="A83" t="s">
        <v>104</v>
      </c>
      <c r="B83" t="s">
        <v>185</v>
      </c>
      <c r="C83" s="1">
        <v>46266</v>
      </c>
      <c r="D83" t="s">
        <v>174</v>
      </c>
      <c r="E83" t="s">
        <v>175</v>
      </c>
      <c r="F83" s="4">
        <v>1</v>
      </c>
      <c r="G83" s="4">
        <v>0.2</v>
      </c>
      <c r="H83" s="9">
        <v>1616.604</v>
      </c>
      <c r="I83" s="9">
        <v>269.43399999999997</v>
      </c>
      <c r="J83" s="9">
        <f t="shared" si="29"/>
        <v>1886.038</v>
      </c>
      <c r="K83" s="9">
        <v>0</v>
      </c>
      <c r="L83" s="9">
        <f t="shared" si="30"/>
        <v>0</v>
      </c>
      <c r="M83">
        <v>0</v>
      </c>
      <c r="N83" s="4">
        <f t="shared" si="31"/>
        <v>0</v>
      </c>
      <c r="O83" s="9">
        <v>1347.17</v>
      </c>
      <c r="P83" s="9">
        <v>269.43400000000003</v>
      </c>
      <c r="Q83" s="9">
        <v>0</v>
      </c>
      <c r="R83" s="9">
        <v>0</v>
      </c>
      <c r="S83" s="9">
        <v>0</v>
      </c>
      <c r="T83" s="9">
        <v>0</v>
      </c>
      <c r="U83" s="9">
        <v>0</v>
      </c>
      <c r="V83" s="9">
        <v>0</v>
      </c>
      <c r="W83" s="9">
        <f t="shared" si="32"/>
        <v>1616.604</v>
      </c>
      <c r="X83" s="9">
        <v>269.43399999999997</v>
      </c>
      <c r="Y83" s="9">
        <v>0</v>
      </c>
      <c r="Z83" s="9">
        <v>1886.038</v>
      </c>
      <c r="AA83" s="9">
        <v>0</v>
      </c>
      <c r="AB83" s="9">
        <f t="shared" si="33"/>
        <v>1886.038</v>
      </c>
      <c r="AC83" s="9">
        <v>1886.038</v>
      </c>
      <c r="AD83" s="9">
        <v>0</v>
      </c>
      <c r="AE83" s="9">
        <v>1616.604</v>
      </c>
      <c r="AF83" s="9">
        <v>88.643786000000006</v>
      </c>
      <c r="AG83" s="9">
        <v>431.73838407</v>
      </c>
      <c r="AH83" s="9">
        <v>29.233588999999998</v>
      </c>
      <c r="AI83" s="9">
        <v>100.6169962875</v>
      </c>
      <c r="AJ83" s="9">
        <v>3.6587998650000002</v>
      </c>
      <c r="AK83" s="9">
        <v>1.8860380000000001</v>
      </c>
      <c r="AL83" s="9">
        <v>10.976399595</v>
      </c>
      <c r="AM83" s="9">
        <v>2.8290570000000002</v>
      </c>
      <c r="AN83" s="9">
        <v>13.720499493749999</v>
      </c>
      <c r="AO83" s="9">
        <v>27.440998987499999</v>
      </c>
      <c r="AP83" s="9">
        <v>0</v>
      </c>
      <c r="AQ83" s="25">
        <v>0</v>
      </c>
      <c r="AR83" s="9">
        <f t="shared" si="34"/>
        <v>0</v>
      </c>
      <c r="AS83" s="25">
        <v>0</v>
      </c>
      <c r="AT83" s="9">
        <f t="shared" si="35"/>
        <v>0</v>
      </c>
      <c r="AU83" s="9">
        <v>0</v>
      </c>
      <c r="AV83" s="25">
        <v>0</v>
      </c>
      <c r="AW83" s="9">
        <f t="shared" si="36"/>
        <v>0</v>
      </c>
      <c r="AX83" s="25">
        <v>0</v>
      </c>
      <c r="AY83" s="9">
        <f t="shared" si="37"/>
        <v>0</v>
      </c>
      <c r="AZ83" s="9">
        <v>0</v>
      </c>
      <c r="BA83" s="25">
        <v>0</v>
      </c>
      <c r="BB83" s="9">
        <f t="shared" si="38"/>
        <v>0</v>
      </c>
      <c r="BC83" s="25">
        <v>0</v>
      </c>
      <c r="BD83" s="9">
        <f t="shared" si="39"/>
        <v>0</v>
      </c>
      <c r="BE83" s="9">
        <v>0</v>
      </c>
      <c r="BF83" s="9">
        <v>0</v>
      </c>
      <c r="BG83" s="9">
        <f t="shared" si="40"/>
        <v>0</v>
      </c>
      <c r="BH83" s="9">
        <v>0</v>
      </c>
      <c r="BI83" s="9">
        <f t="shared" si="41"/>
        <v>0</v>
      </c>
      <c r="BJ83" s="9">
        <v>0</v>
      </c>
      <c r="BK83" s="9">
        <v>0</v>
      </c>
      <c r="BL83" s="9">
        <f t="shared" si="42"/>
        <v>0</v>
      </c>
      <c r="BM83" s="9">
        <v>0</v>
      </c>
      <c r="BN83" s="9">
        <f t="shared" si="43"/>
        <v>0</v>
      </c>
      <c r="BO83" s="9">
        <v>0</v>
      </c>
      <c r="BP83" s="9">
        <v>0</v>
      </c>
      <c r="BQ83" s="9">
        <f t="shared" si="44"/>
        <v>0</v>
      </c>
      <c r="BR83" s="9">
        <v>0</v>
      </c>
      <c r="BS83" s="9">
        <f t="shared" si="45"/>
        <v>0</v>
      </c>
      <c r="BT83" s="9">
        <f t="shared" si="46"/>
        <v>0</v>
      </c>
      <c r="BU83" s="9">
        <f t="shared" si="47"/>
        <v>0</v>
      </c>
      <c r="BV83" s="9">
        <f t="shared" si="48"/>
        <v>122.59247000000001</v>
      </c>
      <c r="BW83">
        <f t="shared" si="49"/>
        <v>122.59247000000001</v>
      </c>
      <c r="BX83">
        <v>0</v>
      </c>
      <c r="BY83">
        <f t="shared" si="50"/>
        <v>588.1520782987501</v>
      </c>
      <c r="BZ83">
        <v>121.36761837899999</v>
      </c>
      <c r="CA83">
        <f t="shared" si="51"/>
        <v>1372.6439116209999</v>
      </c>
      <c r="CB83">
        <f t="shared" si="52"/>
        <v>2204.7560782987503</v>
      </c>
      <c r="CC83">
        <v>0</v>
      </c>
      <c r="CD83">
        <v>0</v>
      </c>
      <c r="CE83">
        <f t="shared" si="53"/>
        <v>0</v>
      </c>
      <c r="CF83">
        <f t="shared" si="54"/>
        <v>1616.604</v>
      </c>
      <c r="CG83">
        <f t="shared" si="55"/>
        <v>1372.6439116209999</v>
      </c>
      <c r="CH83">
        <f t="shared" si="56"/>
        <v>0</v>
      </c>
      <c r="CJ83" t="s">
        <v>278</v>
      </c>
      <c r="CL83" t="str">
        <f t="shared" si="57"/>
        <v/>
      </c>
    </row>
    <row r="84" spans="1:90" x14ac:dyDescent="0.25">
      <c r="A84" t="s">
        <v>104</v>
      </c>
      <c r="B84" t="s">
        <v>186</v>
      </c>
      <c r="C84" s="1">
        <v>46296</v>
      </c>
      <c r="D84" t="s">
        <v>174</v>
      </c>
      <c r="E84" t="s">
        <v>175</v>
      </c>
      <c r="F84" s="4">
        <v>1</v>
      </c>
      <c r="G84" s="4">
        <v>0.2</v>
      </c>
      <c r="H84" s="9">
        <v>1616.604</v>
      </c>
      <c r="I84" s="9">
        <v>269.43399999999997</v>
      </c>
      <c r="J84" s="9">
        <f t="shared" si="29"/>
        <v>1886.038</v>
      </c>
      <c r="K84" s="9">
        <v>0</v>
      </c>
      <c r="L84" s="9">
        <f t="shared" si="30"/>
        <v>0</v>
      </c>
      <c r="M84">
        <v>0</v>
      </c>
      <c r="N84" s="4">
        <f t="shared" si="31"/>
        <v>0</v>
      </c>
      <c r="O84" s="9">
        <v>1347.17</v>
      </c>
      <c r="P84" s="9">
        <v>269.43400000000003</v>
      </c>
      <c r="Q84" s="9">
        <v>0</v>
      </c>
      <c r="R84" s="9">
        <v>0</v>
      </c>
      <c r="S84" s="9">
        <v>0</v>
      </c>
      <c r="T84" s="9">
        <v>0</v>
      </c>
      <c r="U84" s="9">
        <v>0</v>
      </c>
      <c r="V84" s="9">
        <v>0</v>
      </c>
      <c r="W84" s="9">
        <f t="shared" si="32"/>
        <v>1616.604</v>
      </c>
      <c r="X84" s="9">
        <v>269.43399999999997</v>
      </c>
      <c r="Y84" s="9">
        <v>0</v>
      </c>
      <c r="Z84" s="9">
        <v>1886.038</v>
      </c>
      <c r="AA84" s="9">
        <v>0</v>
      </c>
      <c r="AB84" s="9">
        <f t="shared" si="33"/>
        <v>1886.038</v>
      </c>
      <c r="AC84" s="9">
        <v>1886.038</v>
      </c>
      <c r="AD84" s="9">
        <v>0</v>
      </c>
      <c r="AE84" s="9">
        <v>1616.604</v>
      </c>
      <c r="AF84" s="9">
        <v>88.643786000000006</v>
      </c>
      <c r="AG84" s="9">
        <v>450.50961815999989</v>
      </c>
      <c r="AH84" s="9">
        <v>29.233588999999998</v>
      </c>
      <c r="AI84" s="9">
        <v>104.99164829999998</v>
      </c>
      <c r="AJ84" s="9">
        <v>3.8178781199999996</v>
      </c>
      <c r="AK84" s="9">
        <v>1.8860380000000001</v>
      </c>
      <c r="AL84" s="9">
        <v>11.453634359999999</v>
      </c>
      <c r="AM84" s="9">
        <v>2.8290570000000002</v>
      </c>
      <c r="AN84" s="9">
        <v>14.317042949999998</v>
      </c>
      <c r="AO84" s="9">
        <v>28.634085899999995</v>
      </c>
      <c r="AP84" s="9">
        <v>0</v>
      </c>
      <c r="AQ84" s="25">
        <v>0</v>
      </c>
      <c r="AR84" s="9">
        <f t="shared" si="34"/>
        <v>0</v>
      </c>
      <c r="AS84" s="25">
        <v>0</v>
      </c>
      <c r="AT84" s="9">
        <f t="shared" si="35"/>
        <v>0</v>
      </c>
      <c r="AU84" s="9">
        <v>0</v>
      </c>
      <c r="AV84" s="25">
        <v>0</v>
      </c>
      <c r="AW84" s="9">
        <f t="shared" si="36"/>
        <v>0</v>
      </c>
      <c r="AX84" s="25">
        <v>0</v>
      </c>
      <c r="AY84" s="9">
        <f t="shared" si="37"/>
        <v>0</v>
      </c>
      <c r="AZ84" s="9">
        <v>0</v>
      </c>
      <c r="BA84" s="25">
        <v>0</v>
      </c>
      <c r="BB84" s="9">
        <f t="shared" si="38"/>
        <v>0</v>
      </c>
      <c r="BC84" s="25">
        <v>0</v>
      </c>
      <c r="BD84" s="9">
        <f t="shared" si="39"/>
        <v>0</v>
      </c>
      <c r="BE84" s="9">
        <v>0</v>
      </c>
      <c r="BF84" s="9">
        <v>0</v>
      </c>
      <c r="BG84" s="9">
        <f t="shared" si="40"/>
        <v>0</v>
      </c>
      <c r="BH84" s="9">
        <v>0</v>
      </c>
      <c r="BI84" s="9">
        <f t="shared" si="41"/>
        <v>0</v>
      </c>
      <c r="BJ84" s="9">
        <v>0</v>
      </c>
      <c r="BK84" s="9">
        <v>0</v>
      </c>
      <c r="BL84" s="9">
        <f t="shared" si="42"/>
        <v>0</v>
      </c>
      <c r="BM84" s="9">
        <v>0</v>
      </c>
      <c r="BN84" s="9">
        <f t="shared" si="43"/>
        <v>0</v>
      </c>
      <c r="BO84" s="9">
        <v>0</v>
      </c>
      <c r="BP84" s="9">
        <v>0</v>
      </c>
      <c r="BQ84" s="9">
        <f t="shared" si="44"/>
        <v>0</v>
      </c>
      <c r="BR84" s="9">
        <v>0</v>
      </c>
      <c r="BS84" s="9">
        <f t="shared" si="45"/>
        <v>0</v>
      </c>
      <c r="BT84" s="9">
        <f t="shared" si="46"/>
        <v>0</v>
      </c>
      <c r="BU84" s="9">
        <f t="shared" si="47"/>
        <v>0</v>
      </c>
      <c r="BV84" s="9">
        <f t="shared" si="48"/>
        <v>122.59247000000001</v>
      </c>
      <c r="BW84">
        <f t="shared" si="49"/>
        <v>122.59247000000001</v>
      </c>
      <c r="BX84">
        <v>0</v>
      </c>
      <c r="BY84">
        <f t="shared" si="50"/>
        <v>613.72390778999988</v>
      </c>
      <c r="BZ84">
        <v>126.64447135199998</v>
      </c>
      <c r="CA84">
        <f t="shared" si="51"/>
        <v>1367.367058648</v>
      </c>
      <c r="CB84">
        <f t="shared" si="52"/>
        <v>2230.3279077899997</v>
      </c>
      <c r="CC84">
        <v>0</v>
      </c>
      <c r="CD84">
        <v>0</v>
      </c>
      <c r="CE84">
        <f t="shared" si="53"/>
        <v>0</v>
      </c>
      <c r="CF84">
        <f t="shared" si="54"/>
        <v>1616.604</v>
      </c>
      <c r="CG84">
        <f t="shared" si="55"/>
        <v>1367.367058648</v>
      </c>
      <c r="CH84">
        <f t="shared" si="56"/>
        <v>0</v>
      </c>
      <c r="CJ84" t="s">
        <v>278</v>
      </c>
      <c r="CL84" t="str">
        <f t="shared" si="57"/>
        <v/>
      </c>
    </row>
    <row r="85" spans="1:90" x14ac:dyDescent="0.25">
      <c r="A85" t="s">
        <v>104</v>
      </c>
      <c r="B85" t="s">
        <v>187</v>
      </c>
      <c r="C85" s="1">
        <v>46327</v>
      </c>
      <c r="D85" t="s">
        <v>174</v>
      </c>
      <c r="E85" t="s">
        <v>175</v>
      </c>
      <c r="F85" s="4">
        <v>1</v>
      </c>
      <c r="G85" s="4">
        <v>0.2</v>
      </c>
      <c r="H85" s="9">
        <v>1616.604</v>
      </c>
      <c r="I85" s="9">
        <v>269.43399999999997</v>
      </c>
      <c r="J85" s="9">
        <f t="shared" si="29"/>
        <v>1886.038</v>
      </c>
      <c r="K85" s="9">
        <v>0</v>
      </c>
      <c r="L85" s="9">
        <f t="shared" si="30"/>
        <v>0</v>
      </c>
      <c r="M85">
        <v>0</v>
      </c>
      <c r="N85" s="4">
        <f t="shared" si="31"/>
        <v>0</v>
      </c>
      <c r="O85" s="9">
        <v>1347.17</v>
      </c>
      <c r="P85" s="9">
        <v>269.43400000000003</v>
      </c>
      <c r="Q85" s="9">
        <v>0</v>
      </c>
      <c r="R85" s="9">
        <v>0</v>
      </c>
      <c r="S85" s="9">
        <v>0</v>
      </c>
      <c r="T85" s="9">
        <v>0</v>
      </c>
      <c r="U85" s="9">
        <v>0</v>
      </c>
      <c r="V85" s="9">
        <v>0</v>
      </c>
      <c r="W85" s="9">
        <f t="shared" si="32"/>
        <v>1616.604</v>
      </c>
      <c r="X85" s="9">
        <v>269.43399999999997</v>
      </c>
      <c r="Y85" s="9">
        <v>0</v>
      </c>
      <c r="Z85" s="9">
        <v>1886.038</v>
      </c>
      <c r="AA85" s="9">
        <v>0</v>
      </c>
      <c r="AB85" s="9">
        <f t="shared" si="33"/>
        <v>1886.038</v>
      </c>
      <c r="AC85" s="9">
        <v>1886.038</v>
      </c>
      <c r="AD85" s="9">
        <v>0</v>
      </c>
      <c r="AE85" s="9">
        <v>1616.604</v>
      </c>
      <c r="AF85" s="9">
        <v>88.643786000000006</v>
      </c>
      <c r="AG85" s="9">
        <v>450.50961815999989</v>
      </c>
      <c r="AH85" s="9">
        <v>29.233588999999998</v>
      </c>
      <c r="AI85" s="9">
        <v>104.99164829999998</v>
      </c>
      <c r="AJ85" s="9">
        <v>3.8178781199999996</v>
      </c>
      <c r="AK85" s="9">
        <v>1.8860380000000001</v>
      </c>
      <c r="AL85" s="9">
        <v>11.453634359999999</v>
      </c>
      <c r="AM85" s="9">
        <v>2.8290570000000002</v>
      </c>
      <c r="AN85" s="9">
        <v>14.317042949999998</v>
      </c>
      <c r="AO85" s="9">
        <v>28.634085899999995</v>
      </c>
      <c r="AP85" s="9">
        <v>0</v>
      </c>
      <c r="AQ85" s="25">
        <v>0</v>
      </c>
      <c r="AR85" s="9">
        <f t="shared" si="34"/>
        <v>0</v>
      </c>
      <c r="AS85" s="25">
        <v>0</v>
      </c>
      <c r="AT85" s="9">
        <f t="shared" si="35"/>
        <v>0</v>
      </c>
      <c r="AU85" s="9">
        <v>0</v>
      </c>
      <c r="AV85" s="25">
        <v>0</v>
      </c>
      <c r="AW85" s="9">
        <f t="shared" si="36"/>
        <v>0</v>
      </c>
      <c r="AX85" s="25">
        <v>0</v>
      </c>
      <c r="AY85" s="9">
        <f t="shared" si="37"/>
        <v>0</v>
      </c>
      <c r="AZ85" s="9">
        <v>0</v>
      </c>
      <c r="BA85" s="25">
        <v>0</v>
      </c>
      <c r="BB85" s="9">
        <f t="shared" si="38"/>
        <v>0</v>
      </c>
      <c r="BC85" s="25">
        <v>0</v>
      </c>
      <c r="BD85" s="9">
        <f t="shared" si="39"/>
        <v>0</v>
      </c>
      <c r="BE85" s="9">
        <v>0</v>
      </c>
      <c r="BF85" s="9">
        <v>0</v>
      </c>
      <c r="BG85" s="9">
        <f t="shared" si="40"/>
        <v>0</v>
      </c>
      <c r="BH85" s="9">
        <v>0</v>
      </c>
      <c r="BI85" s="9">
        <f t="shared" si="41"/>
        <v>0</v>
      </c>
      <c r="BJ85" s="9">
        <v>0</v>
      </c>
      <c r="BK85" s="9">
        <v>0</v>
      </c>
      <c r="BL85" s="9">
        <f t="shared" si="42"/>
        <v>0</v>
      </c>
      <c r="BM85" s="9">
        <v>0</v>
      </c>
      <c r="BN85" s="9">
        <f t="shared" si="43"/>
        <v>0</v>
      </c>
      <c r="BO85" s="9">
        <v>0</v>
      </c>
      <c r="BP85" s="9">
        <v>0</v>
      </c>
      <c r="BQ85" s="9">
        <f t="shared" si="44"/>
        <v>0</v>
      </c>
      <c r="BR85" s="9">
        <v>0</v>
      </c>
      <c r="BS85" s="9">
        <f t="shared" si="45"/>
        <v>0</v>
      </c>
      <c r="BT85" s="9">
        <f t="shared" si="46"/>
        <v>0</v>
      </c>
      <c r="BU85" s="9">
        <f t="shared" si="47"/>
        <v>0</v>
      </c>
      <c r="BV85" s="9">
        <f t="shared" si="48"/>
        <v>122.59247000000001</v>
      </c>
      <c r="BW85">
        <f t="shared" si="49"/>
        <v>122.59247000000001</v>
      </c>
      <c r="BX85">
        <v>0</v>
      </c>
      <c r="BY85">
        <f t="shared" si="50"/>
        <v>613.72390778999988</v>
      </c>
      <c r="BZ85">
        <v>126.64447135199998</v>
      </c>
      <c r="CA85">
        <f t="shared" si="51"/>
        <v>1367.367058648</v>
      </c>
      <c r="CB85">
        <f t="shared" si="52"/>
        <v>2230.3279077899997</v>
      </c>
      <c r="CC85">
        <v>0</v>
      </c>
      <c r="CD85">
        <v>0</v>
      </c>
      <c r="CE85">
        <f t="shared" si="53"/>
        <v>0</v>
      </c>
      <c r="CF85">
        <f t="shared" si="54"/>
        <v>1616.604</v>
      </c>
      <c r="CG85">
        <f t="shared" si="55"/>
        <v>1367.367058648</v>
      </c>
      <c r="CH85">
        <f t="shared" si="56"/>
        <v>0</v>
      </c>
      <c r="CJ85" t="s">
        <v>278</v>
      </c>
      <c r="CL85" t="str">
        <f t="shared" si="57"/>
        <v/>
      </c>
    </row>
    <row r="86" spans="1:90" x14ac:dyDescent="0.25">
      <c r="A86" t="s">
        <v>104</v>
      </c>
      <c r="B86" t="s">
        <v>188</v>
      </c>
      <c r="C86" s="1">
        <v>46357</v>
      </c>
      <c r="D86" t="s">
        <v>182</v>
      </c>
      <c r="E86" t="s">
        <v>175</v>
      </c>
      <c r="F86" s="4">
        <v>1</v>
      </c>
      <c r="G86" s="4">
        <v>0.2</v>
      </c>
      <c r="H86" s="9">
        <v>1616.604</v>
      </c>
      <c r="I86" s="9">
        <v>269.43399999999997</v>
      </c>
      <c r="J86" s="9">
        <f t="shared" si="29"/>
        <v>1886.038</v>
      </c>
      <c r="K86" s="9">
        <v>0</v>
      </c>
      <c r="L86" s="9">
        <f t="shared" si="30"/>
        <v>0</v>
      </c>
      <c r="M86">
        <v>0</v>
      </c>
      <c r="N86" s="4">
        <f t="shared" si="31"/>
        <v>0</v>
      </c>
      <c r="O86" s="9">
        <v>1347.17</v>
      </c>
      <c r="P86" s="9">
        <v>269.43400000000003</v>
      </c>
      <c r="Q86" s="9">
        <v>0</v>
      </c>
      <c r="R86" s="9">
        <v>0</v>
      </c>
      <c r="S86" s="9">
        <v>0</v>
      </c>
      <c r="T86" s="9">
        <v>0</v>
      </c>
      <c r="U86" s="9">
        <v>0</v>
      </c>
      <c r="V86" s="9">
        <v>0</v>
      </c>
      <c r="W86" s="9">
        <f t="shared" si="32"/>
        <v>1616.604</v>
      </c>
      <c r="X86" s="9">
        <v>0</v>
      </c>
      <c r="Y86" s="9">
        <v>0</v>
      </c>
      <c r="Z86" s="9">
        <v>0</v>
      </c>
      <c r="AA86" s="9">
        <v>0</v>
      </c>
      <c r="AB86" s="9">
        <f t="shared" si="33"/>
        <v>0</v>
      </c>
      <c r="AC86" s="9">
        <v>0</v>
      </c>
      <c r="AD86" s="9">
        <v>0</v>
      </c>
      <c r="AE86" s="9">
        <v>1616.604</v>
      </c>
      <c r="AF86" s="9">
        <v>0</v>
      </c>
      <c r="AG86" s="9">
        <v>0</v>
      </c>
      <c r="AH86" s="9">
        <v>0</v>
      </c>
      <c r="AI86" s="9">
        <v>0</v>
      </c>
      <c r="AJ86" s="9">
        <v>0</v>
      </c>
      <c r="AK86" s="9">
        <v>0</v>
      </c>
      <c r="AL86" s="9">
        <v>0</v>
      </c>
      <c r="AM86" s="9">
        <v>0</v>
      </c>
      <c r="AN86" s="9">
        <v>0</v>
      </c>
      <c r="AO86" s="9">
        <v>0</v>
      </c>
      <c r="AP86" s="9">
        <v>0</v>
      </c>
      <c r="AQ86" s="25">
        <v>0</v>
      </c>
      <c r="AR86" s="9">
        <f t="shared" si="34"/>
        <v>0</v>
      </c>
      <c r="AS86" s="25">
        <v>0</v>
      </c>
      <c r="AT86" s="9">
        <f t="shared" si="35"/>
        <v>0</v>
      </c>
      <c r="AU86" s="9">
        <v>0</v>
      </c>
      <c r="AV86" s="25">
        <v>0</v>
      </c>
      <c r="AW86" s="9">
        <f t="shared" si="36"/>
        <v>0</v>
      </c>
      <c r="AX86" s="25">
        <v>0</v>
      </c>
      <c r="AY86" s="9">
        <f t="shared" si="37"/>
        <v>0</v>
      </c>
      <c r="AZ86" s="9">
        <v>0</v>
      </c>
      <c r="BA86" s="25">
        <v>0</v>
      </c>
      <c r="BB86" s="9">
        <f t="shared" si="38"/>
        <v>0</v>
      </c>
      <c r="BC86" s="25">
        <v>0</v>
      </c>
      <c r="BD86" s="9">
        <f t="shared" si="39"/>
        <v>0</v>
      </c>
      <c r="BE86" s="9">
        <v>0</v>
      </c>
      <c r="BF86" s="9">
        <v>0</v>
      </c>
      <c r="BG86" s="9">
        <f t="shared" si="40"/>
        <v>0</v>
      </c>
      <c r="BH86" s="9">
        <v>0</v>
      </c>
      <c r="BI86" s="9">
        <f t="shared" si="41"/>
        <v>0</v>
      </c>
      <c r="BJ86" s="9">
        <v>0</v>
      </c>
      <c r="BK86" s="9">
        <v>0</v>
      </c>
      <c r="BL86" s="9">
        <f t="shared" si="42"/>
        <v>0</v>
      </c>
      <c r="BM86" s="9">
        <v>0</v>
      </c>
      <c r="BN86" s="9">
        <f t="shared" si="43"/>
        <v>0</v>
      </c>
      <c r="BO86" s="9">
        <v>0</v>
      </c>
      <c r="BP86" s="9">
        <v>0</v>
      </c>
      <c r="BQ86" s="9">
        <f t="shared" si="44"/>
        <v>0</v>
      </c>
      <c r="BR86" s="9">
        <v>0</v>
      </c>
      <c r="BS86" s="9">
        <f t="shared" si="45"/>
        <v>0</v>
      </c>
      <c r="BT86" s="9">
        <f t="shared" si="46"/>
        <v>0</v>
      </c>
      <c r="BU86" s="9">
        <f t="shared" si="47"/>
        <v>0</v>
      </c>
      <c r="BV86" s="9">
        <f t="shared" si="48"/>
        <v>0</v>
      </c>
      <c r="BW86">
        <f t="shared" si="49"/>
        <v>0</v>
      </c>
      <c r="BX86">
        <v>0</v>
      </c>
      <c r="BY86">
        <f t="shared" si="50"/>
        <v>0</v>
      </c>
      <c r="BZ86">
        <v>124.00604486549997</v>
      </c>
      <c r="CA86">
        <f t="shared" si="51"/>
        <v>1492.5979551345001</v>
      </c>
      <c r="CB86">
        <f t="shared" si="52"/>
        <v>1616.604</v>
      </c>
      <c r="CC86">
        <v>0</v>
      </c>
      <c r="CD86">
        <v>0</v>
      </c>
      <c r="CE86">
        <f t="shared" si="53"/>
        <v>0</v>
      </c>
      <c r="CF86">
        <f t="shared" si="54"/>
        <v>1616.604</v>
      </c>
      <c r="CG86">
        <f t="shared" si="55"/>
        <v>1492.5979551345001</v>
      </c>
      <c r="CH86">
        <f t="shared" si="56"/>
        <v>0</v>
      </c>
      <c r="CJ86" t="s">
        <v>278</v>
      </c>
      <c r="CL86" t="str">
        <f t="shared" si="57"/>
        <v/>
      </c>
    </row>
    <row r="87" spans="1:90" x14ac:dyDescent="0.25">
      <c r="A87" t="s">
        <v>104</v>
      </c>
      <c r="B87" t="s">
        <v>189</v>
      </c>
      <c r="C87" s="1">
        <v>46357</v>
      </c>
      <c r="D87" t="s">
        <v>174</v>
      </c>
      <c r="E87" t="s">
        <v>175</v>
      </c>
      <c r="F87" s="4">
        <v>1</v>
      </c>
      <c r="G87" s="4">
        <v>0.2</v>
      </c>
      <c r="H87" s="9">
        <v>1616.604</v>
      </c>
      <c r="I87" s="9">
        <v>269.43399999999997</v>
      </c>
      <c r="J87" s="9">
        <f t="shared" si="29"/>
        <v>1886.038</v>
      </c>
      <c r="K87" s="9">
        <v>0</v>
      </c>
      <c r="L87" s="9">
        <f t="shared" si="30"/>
        <v>0</v>
      </c>
      <c r="M87">
        <v>0</v>
      </c>
      <c r="N87" s="4">
        <f t="shared" si="31"/>
        <v>0</v>
      </c>
      <c r="O87" s="9">
        <v>1347.17</v>
      </c>
      <c r="P87" s="9">
        <v>269.43400000000003</v>
      </c>
      <c r="Q87" s="9">
        <v>0</v>
      </c>
      <c r="R87" s="9">
        <v>0</v>
      </c>
      <c r="S87" s="9">
        <v>0</v>
      </c>
      <c r="T87" s="9">
        <v>0</v>
      </c>
      <c r="U87" s="9">
        <v>0</v>
      </c>
      <c r="V87" s="9">
        <v>0</v>
      </c>
      <c r="W87" s="9">
        <f t="shared" si="32"/>
        <v>1616.604</v>
      </c>
      <c r="X87" s="9">
        <v>269.43399999999997</v>
      </c>
      <c r="Y87" s="9">
        <v>0</v>
      </c>
      <c r="Z87" s="9">
        <v>1886.038</v>
      </c>
      <c r="AA87" s="9">
        <v>0</v>
      </c>
      <c r="AB87" s="9">
        <f t="shared" si="33"/>
        <v>1886.038</v>
      </c>
      <c r="AC87" s="9">
        <v>1886.038</v>
      </c>
      <c r="AD87" s="9">
        <v>0</v>
      </c>
      <c r="AE87" s="9">
        <v>1616.604</v>
      </c>
      <c r="AF87" s="9">
        <v>88.643786000000006</v>
      </c>
      <c r="AG87" s="9">
        <v>450.50961815999989</v>
      </c>
      <c r="AH87" s="9">
        <v>29.233588999999998</v>
      </c>
      <c r="AI87" s="9">
        <v>104.99164829999998</v>
      </c>
      <c r="AJ87" s="9">
        <v>3.8178781199999996</v>
      </c>
      <c r="AK87" s="9">
        <v>1.8860380000000001</v>
      </c>
      <c r="AL87" s="9">
        <v>11.453634359999999</v>
      </c>
      <c r="AM87" s="9">
        <v>2.8290570000000002</v>
      </c>
      <c r="AN87" s="9">
        <v>14.317042949999998</v>
      </c>
      <c r="AO87" s="9">
        <v>28.634085899999995</v>
      </c>
      <c r="AP87" s="9">
        <v>0</v>
      </c>
      <c r="AQ87" s="25">
        <v>0</v>
      </c>
      <c r="AR87" s="9">
        <f t="shared" si="34"/>
        <v>0</v>
      </c>
      <c r="AS87" s="25">
        <v>0</v>
      </c>
      <c r="AT87" s="9">
        <f t="shared" si="35"/>
        <v>0</v>
      </c>
      <c r="AU87" s="9">
        <v>0</v>
      </c>
      <c r="AV87" s="25">
        <v>0</v>
      </c>
      <c r="AW87" s="9">
        <f t="shared" si="36"/>
        <v>0</v>
      </c>
      <c r="AX87" s="25">
        <v>0</v>
      </c>
      <c r="AY87" s="9">
        <f t="shared" si="37"/>
        <v>0</v>
      </c>
      <c r="AZ87" s="9">
        <v>0</v>
      </c>
      <c r="BA87" s="25">
        <v>0</v>
      </c>
      <c r="BB87" s="9">
        <f t="shared" si="38"/>
        <v>0</v>
      </c>
      <c r="BC87" s="25">
        <v>0</v>
      </c>
      <c r="BD87" s="9">
        <f t="shared" si="39"/>
        <v>0</v>
      </c>
      <c r="BE87" s="9">
        <v>0</v>
      </c>
      <c r="BF87" s="9">
        <v>0</v>
      </c>
      <c r="BG87" s="9">
        <f t="shared" si="40"/>
        <v>0</v>
      </c>
      <c r="BH87" s="9">
        <v>0</v>
      </c>
      <c r="BI87" s="9">
        <f t="shared" si="41"/>
        <v>0</v>
      </c>
      <c r="BJ87" s="9">
        <v>0</v>
      </c>
      <c r="BK87" s="9">
        <v>0</v>
      </c>
      <c r="BL87" s="9">
        <f t="shared" si="42"/>
        <v>0</v>
      </c>
      <c r="BM87" s="9">
        <v>0</v>
      </c>
      <c r="BN87" s="9">
        <f t="shared" si="43"/>
        <v>0</v>
      </c>
      <c r="BO87" s="9">
        <v>0</v>
      </c>
      <c r="BP87" s="9">
        <v>0</v>
      </c>
      <c r="BQ87" s="9">
        <f t="shared" si="44"/>
        <v>0</v>
      </c>
      <c r="BR87" s="9">
        <v>0</v>
      </c>
      <c r="BS87" s="9">
        <f t="shared" si="45"/>
        <v>0</v>
      </c>
      <c r="BT87" s="9">
        <f t="shared" si="46"/>
        <v>0</v>
      </c>
      <c r="BU87" s="9">
        <f t="shared" si="47"/>
        <v>0</v>
      </c>
      <c r="BV87" s="9">
        <f t="shared" si="48"/>
        <v>122.59247000000001</v>
      </c>
      <c r="BW87">
        <f t="shared" si="49"/>
        <v>122.59247000000001</v>
      </c>
      <c r="BX87">
        <v>0</v>
      </c>
      <c r="BY87">
        <f t="shared" si="50"/>
        <v>613.72390778999988</v>
      </c>
      <c r="BZ87">
        <v>126.64447135199998</v>
      </c>
      <c r="CA87">
        <f t="shared" si="51"/>
        <v>1367.367058648</v>
      </c>
      <c r="CB87">
        <f t="shared" si="52"/>
        <v>2230.3279077899997</v>
      </c>
      <c r="CC87">
        <v>0</v>
      </c>
      <c r="CD87">
        <v>0</v>
      </c>
      <c r="CE87">
        <f t="shared" si="53"/>
        <v>0</v>
      </c>
      <c r="CF87">
        <f t="shared" si="54"/>
        <v>1616.604</v>
      </c>
      <c r="CG87">
        <f t="shared" si="55"/>
        <v>1367.367058648</v>
      </c>
      <c r="CH87">
        <f t="shared" si="56"/>
        <v>0</v>
      </c>
      <c r="CJ87" t="s">
        <v>278</v>
      </c>
      <c r="CL87" t="str">
        <f t="shared" si="57"/>
        <v/>
      </c>
    </row>
    <row r="88" spans="1:90" x14ac:dyDescent="0.25">
      <c r="A88" t="s">
        <v>106</v>
      </c>
      <c r="B88" t="s">
        <v>173</v>
      </c>
      <c r="C88" s="1">
        <v>46023</v>
      </c>
      <c r="D88" t="s">
        <v>174</v>
      </c>
      <c r="E88" t="s">
        <v>175</v>
      </c>
      <c r="F88" s="4">
        <v>1</v>
      </c>
      <c r="G88" s="4">
        <v>0.1</v>
      </c>
      <c r="H88" s="9">
        <v>3915.8240000000005</v>
      </c>
      <c r="I88" s="9">
        <v>652.63733333333334</v>
      </c>
      <c r="J88" s="9">
        <f t="shared" si="29"/>
        <v>4568.4613333333336</v>
      </c>
      <c r="K88" s="9">
        <v>0</v>
      </c>
      <c r="L88" s="9">
        <f t="shared" si="30"/>
        <v>0</v>
      </c>
      <c r="M88">
        <v>0</v>
      </c>
      <c r="N88" s="4">
        <f t="shared" si="31"/>
        <v>0</v>
      </c>
      <c r="O88" s="9">
        <v>3559.84</v>
      </c>
      <c r="P88" s="9">
        <v>355.98400000000004</v>
      </c>
      <c r="Q88" s="9">
        <v>0</v>
      </c>
      <c r="R88" s="9">
        <v>0</v>
      </c>
      <c r="S88" s="9">
        <v>0</v>
      </c>
      <c r="T88" s="9">
        <v>0</v>
      </c>
      <c r="U88" s="9">
        <v>0</v>
      </c>
      <c r="V88" s="9">
        <v>0</v>
      </c>
      <c r="W88" s="9">
        <f t="shared" si="32"/>
        <v>3915.8240000000001</v>
      </c>
      <c r="X88" s="9">
        <v>652.63733333333334</v>
      </c>
      <c r="Y88" s="9">
        <v>0</v>
      </c>
      <c r="Z88" s="9">
        <v>4568.4613333333336</v>
      </c>
      <c r="AA88" s="9">
        <v>0</v>
      </c>
      <c r="AB88" s="9">
        <f t="shared" si="33"/>
        <v>4568.4613333333336</v>
      </c>
      <c r="AC88" s="9">
        <v>4568.4613333333336</v>
      </c>
      <c r="AD88" s="9">
        <v>0</v>
      </c>
      <c r="AE88" s="9">
        <v>3915.8240000000001</v>
      </c>
      <c r="AF88" s="9">
        <v>214.71768266666669</v>
      </c>
      <c r="AG88" s="9">
        <v>1097.5321281399997</v>
      </c>
      <c r="AH88" s="9">
        <v>70.811150666666677</v>
      </c>
      <c r="AI88" s="9">
        <v>255.78079257499996</v>
      </c>
      <c r="AJ88" s="9">
        <v>9.3011197299999981</v>
      </c>
      <c r="AK88" s="9">
        <v>4.5684613333333335</v>
      </c>
      <c r="AL88" s="9">
        <v>27.903359189999996</v>
      </c>
      <c r="AM88" s="9">
        <v>6.8526920000000002</v>
      </c>
      <c r="AN88" s="9">
        <v>34.87919898749999</v>
      </c>
      <c r="AO88" s="9">
        <v>69.75839797499998</v>
      </c>
      <c r="AP88" s="9">
        <v>0</v>
      </c>
      <c r="AQ88" s="25">
        <v>0</v>
      </c>
      <c r="AR88" s="9">
        <f t="shared" si="34"/>
        <v>0</v>
      </c>
      <c r="AS88" s="25">
        <v>0</v>
      </c>
      <c r="AT88" s="9">
        <f t="shared" si="35"/>
        <v>0</v>
      </c>
      <c r="AU88" s="9">
        <v>0</v>
      </c>
      <c r="AV88" s="25">
        <v>0</v>
      </c>
      <c r="AW88" s="9">
        <f t="shared" si="36"/>
        <v>0</v>
      </c>
      <c r="AX88" s="25">
        <v>0</v>
      </c>
      <c r="AY88" s="9">
        <f t="shared" si="37"/>
        <v>0</v>
      </c>
      <c r="AZ88" s="9">
        <v>0</v>
      </c>
      <c r="BA88" s="25">
        <v>0</v>
      </c>
      <c r="BB88" s="9">
        <f t="shared" si="38"/>
        <v>0</v>
      </c>
      <c r="BC88" s="25">
        <v>0</v>
      </c>
      <c r="BD88" s="9">
        <f t="shared" si="39"/>
        <v>0</v>
      </c>
      <c r="BE88" s="9">
        <v>0</v>
      </c>
      <c r="BF88" s="9">
        <v>0</v>
      </c>
      <c r="BG88" s="9">
        <f t="shared" si="40"/>
        <v>0</v>
      </c>
      <c r="BH88" s="9">
        <v>0</v>
      </c>
      <c r="BI88" s="9">
        <f t="shared" si="41"/>
        <v>0</v>
      </c>
      <c r="BJ88" s="9">
        <v>0</v>
      </c>
      <c r="BK88" s="9">
        <v>0</v>
      </c>
      <c r="BL88" s="9">
        <f t="shared" si="42"/>
        <v>0</v>
      </c>
      <c r="BM88" s="9">
        <v>0</v>
      </c>
      <c r="BN88" s="9">
        <f t="shared" si="43"/>
        <v>0</v>
      </c>
      <c r="BO88" s="9">
        <v>0</v>
      </c>
      <c r="BP88" s="9">
        <v>0</v>
      </c>
      <c r="BQ88" s="9">
        <f t="shared" si="44"/>
        <v>0</v>
      </c>
      <c r="BR88" s="9">
        <v>0</v>
      </c>
      <c r="BS88" s="9">
        <f t="shared" si="45"/>
        <v>0</v>
      </c>
      <c r="BT88" s="9">
        <f t="shared" si="46"/>
        <v>0</v>
      </c>
      <c r="BU88" s="9">
        <f t="shared" si="47"/>
        <v>0</v>
      </c>
      <c r="BV88" s="9">
        <f t="shared" si="48"/>
        <v>296.94998666666669</v>
      </c>
      <c r="BW88">
        <f t="shared" si="49"/>
        <v>296.94998666666669</v>
      </c>
      <c r="BX88">
        <v>0</v>
      </c>
      <c r="BY88">
        <f t="shared" si="50"/>
        <v>1495.1549965974993</v>
      </c>
      <c r="BZ88">
        <v>1025.2491405239998</v>
      </c>
      <c r="CA88">
        <f t="shared" si="51"/>
        <v>2593.6248728093337</v>
      </c>
      <c r="CB88">
        <f t="shared" si="52"/>
        <v>5410.9789965974996</v>
      </c>
      <c r="CC88">
        <v>0</v>
      </c>
      <c r="CD88">
        <v>0</v>
      </c>
      <c r="CE88">
        <f t="shared" si="53"/>
        <v>0</v>
      </c>
      <c r="CF88">
        <f t="shared" si="54"/>
        <v>3915.8240000000001</v>
      </c>
      <c r="CG88">
        <f t="shared" si="55"/>
        <v>2593.6248728093337</v>
      </c>
      <c r="CH88">
        <f t="shared" si="56"/>
        <v>0</v>
      </c>
      <c r="CJ88" t="s">
        <v>278</v>
      </c>
      <c r="CL88" t="str">
        <f t="shared" si="57"/>
        <v/>
      </c>
    </row>
    <row r="89" spans="1:90" x14ac:dyDescent="0.25">
      <c r="A89" t="s">
        <v>106</v>
      </c>
      <c r="B89" t="s">
        <v>176</v>
      </c>
      <c r="C89" s="1">
        <v>46054</v>
      </c>
      <c r="D89" t="s">
        <v>174</v>
      </c>
      <c r="E89" t="s">
        <v>175</v>
      </c>
      <c r="F89" s="4">
        <v>1</v>
      </c>
      <c r="G89" s="4">
        <v>0.1</v>
      </c>
      <c r="H89" s="9">
        <v>3915.8240000000005</v>
      </c>
      <c r="I89" s="9">
        <v>652.63733333333334</v>
      </c>
      <c r="J89" s="9">
        <f t="shared" si="29"/>
        <v>4568.4613333333336</v>
      </c>
      <c r="K89" s="9">
        <v>0</v>
      </c>
      <c r="L89" s="9">
        <f t="shared" si="30"/>
        <v>0</v>
      </c>
      <c r="M89">
        <v>0</v>
      </c>
      <c r="N89" s="4">
        <f t="shared" si="31"/>
        <v>0</v>
      </c>
      <c r="O89" s="9">
        <v>3559.84</v>
      </c>
      <c r="P89" s="9">
        <v>355.98400000000004</v>
      </c>
      <c r="Q89" s="9">
        <v>0</v>
      </c>
      <c r="R89" s="9">
        <v>0</v>
      </c>
      <c r="S89" s="9">
        <v>0</v>
      </c>
      <c r="T89" s="9">
        <v>0</v>
      </c>
      <c r="U89" s="9">
        <v>0</v>
      </c>
      <c r="V89" s="9">
        <v>0</v>
      </c>
      <c r="W89" s="9">
        <f t="shared" si="32"/>
        <v>3915.8240000000001</v>
      </c>
      <c r="X89" s="9">
        <v>652.63733333333334</v>
      </c>
      <c r="Y89" s="9">
        <v>0</v>
      </c>
      <c r="Z89" s="9">
        <v>4568.4613333333336</v>
      </c>
      <c r="AA89" s="9">
        <v>0</v>
      </c>
      <c r="AB89" s="9">
        <f t="shared" si="33"/>
        <v>4568.4613333333336</v>
      </c>
      <c r="AC89" s="9">
        <v>4568.4613333333336</v>
      </c>
      <c r="AD89" s="9">
        <v>0</v>
      </c>
      <c r="AE89" s="9">
        <v>3915.8240000000001</v>
      </c>
      <c r="AF89" s="9">
        <v>214.71768266666669</v>
      </c>
      <c r="AG89" s="9">
        <v>1097.5321281399997</v>
      </c>
      <c r="AH89" s="9">
        <v>70.811150666666677</v>
      </c>
      <c r="AI89" s="9">
        <v>255.78079257499996</v>
      </c>
      <c r="AJ89" s="9">
        <v>9.3011197299999981</v>
      </c>
      <c r="AK89" s="9">
        <v>4.5684613333333335</v>
      </c>
      <c r="AL89" s="9">
        <v>27.903359189999996</v>
      </c>
      <c r="AM89" s="9">
        <v>6.8526920000000002</v>
      </c>
      <c r="AN89" s="9">
        <v>34.87919898749999</v>
      </c>
      <c r="AO89" s="9">
        <v>69.75839797499998</v>
      </c>
      <c r="AP89" s="9">
        <v>0</v>
      </c>
      <c r="AQ89" s="25">
        <v>0</v>
      </c>
      <c r="AR89" s="9">
        <f t="shared" si="34"/>
        <v>0</v>
      </c>
      <c r="AS89" s="25">
        <v>0</v>
      </c>
      <c r="AT89" s="9">
        <f t="shared" si="35"/>
        <v>0</v>
      </c>
      <c r="AU89" s="9">
        <v>0</v>
      </c>
      <c r="AV89" s="25">
        <v>0</v>
      </c>
      <c r="AW89" s="9">
        <f t="shared" si="36"/>
        <v>0</v>
      </c>
      <c r="AX89" s="25">
        <v>0</v>
      </c>
      <c r="AY89" s="9">
        <f t="shared" si="37"/>
        <v>0</v>
      </c>
      <c r="AZ89" s="9">
        <v>0</v>
      </c>
      <c r="BA89" s="25">
        <v>0</v>
      </c>
      <c r="BB89" s="9">
        <f t="shared" si="38"/>
        <v>0</v>
      </c>
      <c r="BC89" s="25">
        <v>0</v>
      </c>
      <c r="BD89" s="9">
        <f t="shared" si="39"/>
        <v>0</v>
      </c>
      <c r="BE89" s="9">
        <v>0</v>
      </c>
      <c r="BF89" s="9">
        <v>0</v>
      </c>
      <c r="BG89" s="9">
        <f t="shared" si="40"/>
        <v>0</v>
      </c>
      <c r="BH89" s="9">
        <v>0</v>
      </c>
      <c r="BI89" s="9">
        <f t="shared" si="41"/>
        <v>0</v>
      </c>
      <c r="BJ89" s="9">
        <v>0</v>
      </c>
      <c r="BK89" s="9">
        <v>0</v>
      </c>
      <c r="BL89" s="9">
        <f t="shared" si="42"/>
        <v>0</v>
      </c>
      <c r="BM89" s="9">
        <v>0</v>
      </c>
      <c r="BN89" s="9">
        <f t="shared" si="43"/>
        <v>0</v>
      </c>
      <c r="BO89" s="9">
        <v>0</v>
      </c>
      <c r="BP89" s="9">
        <v>0</v>
      </c>
      <c r="BQ89" s="9">
        <f t="shared" si="44"/>
        <v>0</v>
      </c>
      <c r="BR89" s="9">
        <v>0</v>
      </c>
      <c r="BS89" s="9">
        <f t="shared" si="45"/>
        <v>0</v>
      </c>
      <c r="BT89" s="9">
        <f t="shared" si="46"/>
        <v>0</v>
      </c>
      <c r="BU89" s="9">
        <f t="shared" si="47"/>
        <v>0</v>
      </c>
      <c r="BV89" s="9">
        <f t="shared" si="48"/>
        <v>296.94998666666669</v>
      </c>
      <c r="BW89">
        <f t="shared" si="49"/>
        <v>296.94998666666669</v>
      </c>
      <c r="BX89">
        <v>0</v>
      </c>
      <c r="BY89">
        <f t="shared" si="50"/>
        <v>1495.1549965974993</v>
      </c>
      <c r="BZ89">
        <v>1025.2491405239998</v>
      </c>
      <c r="CA89">
        <f t="shared" si="51"/>
        <v>2593.6248728093337</v>
      </c>
      <c r="CB89">
        <f t="shared" si="52"/>
        <v>5410.9789965974996</v>
      </c>
      <c r="CC89">
        <v>0</v>
      </c>
      <c r="CD89">
        <v>0</v>
      </c>
      <c r="CE89">
        <f t="shared" si="53"/>
        <v>0</v>
      </c>
      <c r="CF89">
        <f t="shared" si="54"/>
        <v>3915.8240000000001</v>
      </c>
      <c r="CG89">
        <f t="shared" si="55"/>
        <v>2593.6248728093337</v>
      </c>
      <c r="CH89">
        <f t="shared" si="56"/>
        <v>0</v>
      </c>
      <c r="CJ89" t="s">
        <v>278</v>
      </c>
      <c r="CL89" t="str">
        <f t="shared" si="57"/>
        <v/>
      </c>
    </row>
    <row r="90" spans="1:90" x14ac:dyDescent="0.25">
      <c r="A90" t="s">
        <v>106</v>
      </c>
      <c r="B90" t="s">
        <v>177</v>
      </c>
      <c r="C90" s="1">
        <v>46082</v>
      </c>
      <c r="D90" t="s">
        <v>174</v>
      </c>
      <c r="E90" t="s">
        <v>175</v>
      </c>
      <c r="F90" s="4">
        <v>1</v>
      </c>
      <c r="G90" s="4">
        <v>0.1</v>
      </c>
      <c r="H90" s="9">
        <v>3915.8240000000005</v>
      </c>
      <c r="I90" s="9">
        <v>652.63733333333334</v>
      </c>
      <c r="J90" s="9">
        <f t="shared" si="29"/>
        <v>4568.4613333333336</v>
      </c>
      <c r="K90" s="9">
        <v>0</v>
      </c>
      <c r="L90" s="9">
        <f t="shared" si="30"/>
        <v>0</v>
      </c>
      <c r="M90">
        <v>0</v>
      </c>
      <c r="N90" s="4">
        <f t="shared" si="31"/>
        <v>0</v>
      </c>
      <c r="O90" s="9">
        <v>3559.84</v>
      </c>
      <c r="P90" s="9">
        <v>355.98400000000004</v>
      </c>
      <c r="Q90" s="9">
        <v>0</v>
      </c>
      <c r="R90" s="9">
        <v>0</v>
      </c>
      <c r="S90" s="9">
        <v>0</v>
      </c>
      <c r="T90" s="9">
        <v>0</v>
      </c>
      <c r="U90" s="9">
        <v>0</v>
      </c>
      <c r="V90" s="9">
        <v>0</v>
      </c>
      <c r="W90" s="9">
        <f t="shared" si="32"/>
        <v>3915.8240000000001</v>
      </c>
      <c r="X90" s="9">
        <v>652.63733333333334</v>
      </c>
      <c r="Y90" s="9">
        <v>0</v>
      </c>
      <c r="Z90" s="9">
        <v>4568.4613333333336</v>
      </c>
      <c r="AA90" s="9">
        <v>0</v>
      </c>
      <c r="AB90" s="9">
        <f t="shared" si="33"/>
        <v>4568.4613333333336</v>
      </c>
      <c r="AC90" s="9">
        <v>4568.4613333333336</v>
      </c>
      <c r="AD90" s="9">
        <v>0</v>
      </c>
      <c r="AE90" s="9">
        <v>3915.8240000000001</v>
      </c>
      <c r="AF90" s="9">
        <v>214.71768266666669</v>
      </c>
      <c r="AG90" s="9">
        <v>1097.5321281399997</v>
      </c>
      <c r="AH90" s="9">
        <v>70.811150666666677</v>
      </c>
      <c r="AI90" s="9">
        <v>255.78079257499996</v>
      </c>
      <c r="AJ90" s="9">
        <v>9.3011197299999981</v>
      </c>
      <c r="AK90" s="9">
        <v>4.5684613333333335</v>
      </c>
      <c r="AL90" s="9">
        <v>27.903359189999996</v>
      </c>
      <c r="AM90" s="9">
        <v>6.8526920000000002</v>
      </c>
      <c r="AN90" s="9">
        <v>34.87919898749999</v>
      </c>
      <c r="AO90" s="9">
        <v>69.75839797499998</v>
      </c>
      <c r="AP90" s="9">
        <v>0</v>
      </c>
      <c r="AQ90" s="25">
        <v>0</v>
      </c>
      <c r="AR90" s="9">
        <f t="shared" si="34"/>
        <v>0</v>
      </c>
      <c r="AS90" s="25">
        <v>0</v>
      </c>
      <c r="AT90" s="9">
        <f t="shared" si="35"/>
        <v>0</v>
      </c>
      <c r="AU90" s="9">
        <v>0</v>
      </c>
      <c r="AV90" s="25">
        <v>0</v>
      </c>
      <c r="AW90" s="9">
        <f t="shared" si="36"/>
        <v>0</v>
      </c>
      <c r="AX90" s="25">
        <v>0</v>
      </c>
      <c r="AY90" s="9">
        <f t="shared" si="37"/>
        <v>0</v>
      </c>
      <c r="AZ90" s="9">
        <v>0</v>
      </c>
      <c r="BA90" s="25">
        <v>0</v>
      </c>
      <c r="BB90" s="9">
        <f t="shared" si="38"/>
        <v>0</v>
      </c>
      <c r="BC90" s="25">
        <v>0</v>
      </c>
      <c r="BD90" s="9">
        <f t="shared" si="39"/>
        <v>0</v>
      </c>
      <c r="BE90" s="9">
        <v>0</v>
      </c>
      <c r="BF90" s="9">
        <v>0</v>
      </c>
      <c r="BG90" s="9">
        <f t="shared" si="40"/>
        <v>0</v>
      </c>
      <c r="BH90" s="9">
        <v>0</v>
      </c>
      <c r="BI90" s="9">
        <f t="shared" si="41"/>
        <v>0</v>
      </c>
      <c r="BJ90" s="9">
        <v>0</v>
      </c>
      <c r="BK90" s="9">
        <v>0</v>
      </c>
      <c r="BL90" s="9">
        <f t="shared" si="42"/>
        <v>0</v>
      </c>
      <c r="BM90" s="9">
        <v>0</v>
      </c>
      <c r="BN90" s="9">
        <f t="shared" si="43"/>
        <v>0</v>
      </c>
      <c r="BO90" s="9">
        <v>0</v>
      </c>
      <c r="BP90" s="9">
        <v>0</v>
      </c>
      <c r="BQ90" s="9">
        <f t="shared" si="44"/>
        <v>0</v>
      </c>
      <c r="BR90" s="9">
        <v>0</v>
      </c>
      <c r="BS90" s="9">
        <f t="shared" si="45"/>
        <v>0</v>
      </c>
      <c r="BT90" s="9">
        <f t="shared" si="46"/>
        <v>0</v>
      </c>
      <c r="BU90" s="9">
        <f t="shared" si="47"/>
        <v>0</v>
      </c>
      <c r="BV90" s="9">
        <f t="shared" si="48"/>
        <v>296.94998666666669</v>
      </c>
      <c r="BW90">
        <f t="shared" si="49"/>
        <v>296.94998666666669</v>
      </c>
      <c r="BX90">
        <v>0</v>
      </c>
      <c r="BY90">
        <f t="shared" si="50"/>
        <v>1495.1549965974993</v>
      </c>
      <c r="BZ90">
        <v>1025.2491405239998</v>
      </c>
      <c r="CA90">
        <f t="shared" si="51"/>
        <v>2593.6248728093337</v>
      </c>
      <c r="CB90">
        <f t="shared" si="52"/>
        <v>5410.9789965974996</v>
      </c>
      <c r="CC90">
        <v>0</v>
      </c>
      <c r="CD90">
        <v>0</v>
      </c>
      <c r="CE90">
        <f t="shared" si="53"/>
        <v>0</v>
      </c>
      <c r="CF90">
        <f t="shared" si="54"/>
        <v>3915.8240000000001</v>
      </c>
      <c r="CG90">
        <f t="shared" si="55"/>
        <v>2593.6248728093337</v>
      </c>
      <c r="CH90">
        <f t="shared" si="56"/>
        <v>0</v>
      </c>
      <c r="CJ90" t="s">
        <v>278</v>
      </c>
      <c r="CL90" t="str">
        <f t="shared" si="57"/>
        <v/>
      </c>
    </row>
    <row r="91" spans="1:90" x14ac:dyDescent="0.25">
      <c r="A91" t="s">
        <v>106</v>
      </c>
      <c r="B91" t="s">
        <v>178</v>
      </c>
      <c r="C91" s="1">
        <v>46113</v>
      </c>
      <c r="D91" t="s">
        <v>174</v>
      </c>
      <c r="E91" t="s">
        <v>175</v>
      </c>
      <c r="F91" s="4">
        <v>1</v>
      </c>
      <c r="G91" s="4">
        <v>0.1</v>
      </c>
      <c r="H91" s="9">
        <v>3915.8240000000005</v>
      </c>
      <c r="I91" s="9">
        <v>652.63733333333334</v>
      </c>
      <c r="J91" s="9">
        <f t="shared" si="29"/>
        <v>4568.4613333333336</v>
      </c>
      <c r="K91" s="9">
        <v>0</v>
      </c>
      <c r="L91" s="9">
        <f t="shared" si="30"/>
        <v>0</v>
      </c>
      <c r="M91">
        <v>0</v>
      </c>
      <c r="N91" s="4">
        <f t="shared" si="31"/>
        <v>0</v>
      </c>
      <c r="O91" s="9">
        <v>3559.84</v>
      </c>
      <c r="P91" s="9">
        <v>355.98400000000004</v>
      </c>
      <c r="Q91" s="9">
        <v>0</v>
      </c>
      <c r="R91" s="9">
        <v>0</v>
      </c>
      <c r="S91" s="9">
        <v>0</v>
      </c>
      <c r="T91" s="9">
        <v>0</v>
      </c>
      <c r="U91" s="9">
        <v>0</v>
      </c>
      <c r="V91" s="9">
        <v>0</v>
      </c>
      <c r="W91" s="9">
        <f t="shared" si="32"/>
        <v>3915.8240000000001</v>
      </c>
      <c r="X91" s="9">
        <v>652.63733333333334</v>
      </c>
      <c r="Y91" s="9">
        <v>0</v>
      </c>
      <c r="Z91" s="9">
        <v>4568.4613333333336</v>
      </c>
      <c r="AA91" s="9">
        <v>0</v>
      </c>
      <c r="AB91" s="9">
        <f t="shared" si="33"/>
        <v>4568.4613333333336</v>
      </c>
      <c r="AC91" s="9">
        <v>4568.4613333333336</v>
      </c>
      <c r="AD91" s="9">
        <v>0</v>
      </c>
      <c r="AE91" s="9">
        <v>3915.8240000000001</v>
      </c>
      <c r="AF91" s="9">
        <v>214.71768266666669</v>
      </c>
      <c r="AG91" s="9">
        <v>1097.5321281399997</v>
      </c>
      <c r="AH91" s="9">
        <v>70.811150666666677</v>
      </c>
      <c r="AI91" s="9">
        <v>255.78079257499996</v>
      </c>
      <c r="AJ91" s="9">
        <v>9.3011197299999981</v>
      </c>
      <c r="AK91" s="9">
        <v>4.5684613333333335</v>
      </c>
      <c r="AL91" s="9">
        <v>27.903359189999996</v>
      </c>
      <c r="AM91" s="9">
        <v>6.8526920000000002</v>
      </c>
      <c r="AN91" s="9">
        <v>34.87919898749999</v>
      </c>
      <c r="AO91" s="9">
        <v>69.75839797499998</v>
      </c>
      <c r="AP91" s="9">
        <v>0</v>
      </c>
      <c r="AQ91" s="25">
        <v>0</v>
      </c>
      <c r="AR91" s="9">
        <f t="shared" si="34"/>
        <v>0</v>
      </c>
      <c r="AS91" s="25">
        <v>0</v>
      </c>
      <c r="AT91" s="9">
        <f t="shared" si="35"/>
        <v>0</v>
      </c>
      <c r="AU91" s="9">
        <v>0</v>
      </c>
      <c r="AV91" s="25">
        <v>0</v>
      </c>
      <c r="AW91" s="9">
        <f t="shared" si="36"/>
        <v>0</v>
      </c>
      <c r="AX91" s="25">
        <v>0</v>
      </c>
      <c r="AY91" s="9">
        <f t="shared" si="37"/>
        <v>0</v>
      </c>
      <c r="AZ91" s="9">
        <v>0</v>
      </c>
      <c r="BA91" s="25">
        <v>0</v>
      </c>
      <c r="BB91" s="9">
        <f t="shared" si="38"/>
        <v>0</v>
      </c>
      <c r="BC91" s="25">
        <v>0</v>
      </c>
      <c r="BD91" s="9">
        <f t="shared" si="39"/>
        <v>0</v>
      </c>
      <c r="BE91" s="9">
        <v>0</v>
      </c>
      <c r="BF91" s="9">
        <v>0</v>
      </c>
      <c r="BG91" s="9">
        <f t="shared" si="40"/>
        <v>0</v>
      </c>
      <c r="BH91" s="9">
        <v>0</v>
      </c>
      <c r="BI91" s="9">
        <f t="shared" si="41"/>
        <v>0</v>
      </c>
      <c r="BJ91" s="9">
        <v>0</v>
      </c>
      <c r="BK91" s="9">
        <v>0</v>
      </c>
      <c r="BL91" s="9">
        <f t="shared" si="42"/>
        <v>0</v>
      </c>
      <c r="BM91" s="9">
        <v>0</v>
      </c>
      <c r="BN91" s="9">
        <f t="shared" si="43"/>
        <v>0</v>
      </c>
      <c r="BO91" s="9">
        <v>0</v>
      </c>
      <c r="BP91" s="9">
        <v>0</v>
      </c>
      <c r="BQ91" s="9">
        <f t="shared" si="44"/>
        <v>0</v>
      </c>
      <c r="BR91" s="9">
        <v>0</v>
      </c>
      <c r="BS91" s="9">
        <f t="shared" si="45"/>
        <v>0</v>
      </c>
      <c r="BT91" s="9">
        <f t="shared" si="46"/>
        <v>0</v>
      </c>
      <c r="BU91" s="9">
        <f t="shared" si="47"/>
        <v>0</v>
      </c>
      <c r="BV91" s="9">
        <f t="shared" si="48"/>
        <v>296.94998666666669</v>
      </c>
      <c r="BW91">
        <f t="shared" si="49"/>
        <v>296.94998666666669</v>
      </c>
      <c r="BX91">
        <v>0</v>
      </c>
      <c r="BY91">
        <f t="shared" si="50"/>
        <v>1495.1549965974993</v>
      </c>
      <c r="BZ91">
        <v>1025.2491405239998</v>
      </c>
      <c r="CA91">
        <f t="shared" si="51"/>
        <v>2593.6248728093337</v>
      </c>
      <c r="CB91">
        <f t="shared" si="52"/>
        <v>5410.9789965974996</v>
      </c>
      <c r="CC91">
        <v>0</v>
      </c>
      <c r="CD91">
        <v>0</v>
      </c>
      <c r="CE91">
        <f t="shared" si="53"/>
        <v>0</v>
      </c>
      <c r="CF91">
        <f t="shared" si="54"/>
        <v>3915.8240000000001</v>
      </c>
      <c r="CG91">
        <f t="shared" si="55"/>
        <v>2593.6248728093337</v>
      </c>
      <c r="CH91">
        <f t="shared" si="56"/>
        <v>0</v>
      </c>
      <c r="CJ91" t="s">
        <v>278</v>
      </c>
      <c r="CL91" t="str">
        <f t="shared" si="57"/>
        <v/>
      </c>
    </row>
    <row r="92" spans="1:90" x14ac:dyDescent="0.25">
      <c r="A92" t="s">
        <v>106</v>
      </c>
      <c r="B92" t="s">
        <v>179</v>
      </c>
      <c r="C92" s="1">
        <v>46143</v>
      </c>
      <c r="D92" t="s">
        <v>174</v>
      </c>
      <c r="E92" t="s">
        <v>175</v>
      </c>
      <c r="F92" s="4">
        <v>1</v>
      </c>
      <c r="G92" s="4">
        <v>0.1</v>
      </c>
      <c r="H92" s="9">
        <v>3915.8240000000005</v>
      </c>
      <c r="I92" s="9">
        <v>652.63733333333334</v>
      </c>
      <c r="J92" s="9">
        <f t="shared" si="29"/>
        <v>4568.4613333333336</v>
      </c>
      <c r="K92" s="9">
        <v>0</v>
      </c>
      <c r="L92" s="9">
        <f t="shared" si="30"/>
        <v>0</v>
      </c>
      <c r="M92">
        <v>0</v>
      </c>
      <c r="N92" s="4">
        <f t="shared" si="31"/>
        <v>0</v>
      </c>
      <c r="O92" s="9">
        <v>3559.84</v>
      </c>
      <c r="P92" s="9">
        <v>355.98400000000004</v>
      </c>
      <c r="Q92" s="9">
        <v>0</v>
      </c>
      <c r="R92" s="9">
        <v>0</v>
      </c>
      <c r="S92" s="9">
        <v>0</v>
      </c>
      <c r="T92" s="9">
        <v>0</v>
      </c>
      <c r="U92" s="9">
        <v>0</v>
      </c>
      <c r="V92" s="9">
        <v>0</v>
      </c>
      <c r="W92" s="9">
        <f t="shared" si="32"/>
        <v>3915.8240000000001</v>
      </c>
      <c r="X92" s="9">
        <v>652.63733333333334</v>
      </c>
      <c r="Y92" s="9">
        <v>0</v>
      </c>
      <c r="Z92" s="9">
        <v>4568.4613333333336</v>
      </c>
      <c r="AA92" s="9">
        <v>0</v>
      </c>
      <c r="AB92" s="9">
        <f t="shared" si="33"/>
        <v>4568.4613333333336</v>
      </c>
      <c r="AC92" s="9">
        <v>4568.4613333333336</v>
      </c>
      <c r="AD92" s="9">
        <v>0</v>
      </c>
      <c r="AE92" s="9">
        <v>3915.8240000000001</v>
      </c>
      <c r="AF92" s="9">
        <v>214.71768266666669</v>
      </c>
      <c r="AG92" s="9">
        <v>1097.5321281399997</v>
      </c>
      <c r="AH92" s="9">
        <v>70.811150666666677</v>
      </c>
      <c r="AI92" s="9">
        <v>255.78079257499996</v>
      </c>
      <c r="AJ92" s="9">
        <v>9.3011197299999981</v>
      </c>
      <c r="AK92" s="9">
        <v>4.5684613333333335</v>
      </c>
      <c r="AL92" s="9">
        <v>27.903359189999996</v>
      </c>
      <c r="AM92" s="9">
        <v>6.8526920000000002</v>
      </c>
      <c r="AN92" s="9">
        <v>34.87919898749999</v>
      </c>
      <c r="AO92" s="9">
        <v>69.75839797499998</v>
      </c>
      <c r="AP92" s="9">
        <v>0</v>
      </c>
      <c r="AQ92" s="25">
        <v>0</v>
      </c>
      <c r="AR92" s="9">
        <f t="shared" si="34"/>
        <v>0</v>
      </c>
      <c r="AS92" s="25">
        <v>0</v>
      </c>
      <c r="AT92" s="9">
        <f t="shared" si="35"/>
        <v>0</v>
      </c>
      <c r="AU92" s="9">
        <v>0</v>
      </c>
      <c r="AV92" s="25">
        <v>0</v>
      </c>
      <c r="AW92" s="9">
        <f t="shared" si="36"/>
        <v>0</v>
      </c>
      <c r="AX92" s="25">
        <v>0</v>
      </c>
      <c r="AY92" s="9">
        <f t="shared" si="37"/>
        <v>0</v>
      </c>
      <c r="AZ92" s="9">
        <v>0</v>
      </c>
      <c r="BA92" s="25">
        <v>0</v>
      </c>
      <c r="BB92" s="9">
        <f t="shared" si="38"/>
        <v>0</v>
      </c>
      <c r="BC92" s="25">
        <v>0</v>
      </c>
      <c r="BD92" s="9">
        <f t="shared" si="39"/>
        <v>0</v>
      </c>
      <c r="BE92" s="9">
        <v>0</v>
      </c>
      <c r="BF92" s="9">
        <v>0</v>
      </c>
      <c r="BG92" s="9">
        <f t="shared" si="40"/>
        <v>0</v>
      </c>
      <c r="BH92" s="9">
        <v>0</v>
      </c>
      <c r="BI92" s="9">
        <f t="shared" si="41"/>
        <v>0</v>
      </c>
      <c r="BJ92" s="9">
        <v>0</v>
      </c>
      <c r="BK92" s="9">
        <v>0</v>
      </c>
      <c r="BL92" s="9">
        <f t="shared" si="42"/>
        <v>0</v>
      </c>
      <c r="BM92" s="9">
        <v>0</v>
      </c>
      <c r="BN92" s="9">
        <f t="shared" si="43"/>
        <v>0</v>
      </c>
      <c r="BO92" s="9">
        <v>0</v>
      </c>
      <c r="BP92" s="9">
        <v>0</v>
      </c>
      <c r="BQ92" s="9">
        <f t="shared" si="44"/>
        <v>0</v>
      </c>
      <c r="BR92" s="9">
        <v>0</v>
      </c>
      <c r="BS92" s="9">
        <f t="shared" si="45"/>
        <v>0</v>
      </c>
      <c r="BT92" s="9">
        <f t="shared" si="46"/>
        <v>0</v>
      </c>
      <c r="BU92" s="9">
        <f t="shared" si="47"/>
        <v>0</v>
      </c>
      <c r="BV92" s="9">
        <f t="shared" si="48"/>
        <v>296.94998666666669</v>
      </c>
      <c r="BW92">
        <f t="shared" si="49"/>
        <v>296.94998666666669</v>
      </c>
      <c r="BX92">
        <v>0</v>
      </c>
      <c r="BY92">
        <f t="shared" si="50"/>
        <v>1495.1549965974993</v>
      </c>
      <c r="BZ92">
        <v>1025.2491405239998</v>
      </c>
      <c r="CA92">
        <f t="shared" si="51"/>
        <v>2593.6248728093337</v>
      </c>
      <c r="CB92">
        <f t="shared" si="52"/>
        <v>5410.9789965974996</v>
      </c>
      <c r="CC92">
        <v>0</v>
      </c>
      <c r="CD92">
        <v>0</v>
      </c>
      <c r="CE92">
        <f t="shared" si="53"/>
        <v>0</v>
      </c>
      <c r="CF92">
        <f t="shared" si="54"/>
        <v>3915.8240000000001</v>
      </c>
      <c r="CG92">
        <f t="shared" si="55"/>
        <v>2593.6248728093337</v>
      </c>
      <c r="CH92">
        <f t="shared" si="56"/>
        <v>0</v>
      </c>
      <c r="CJ92" t="s">
        <v>278</v>
      </c>
      <c r="CL92" t="str">
        <f t="shared" si="57"/>
        <v/>
      </c>
    </row>
    <row r="93" spans="1:90" x14ac:dyDescent="0.25">
      <c r="A93" t="s">
        <v>106</v>
      </c>
      <c r="B93" t="s">
        <v>180</v>
      </c>
      <c r="C93" s="1">
        <v>46174</v>
      </c>
      <c r="D93" t="s">
        <v>174</v>
      </c>
      <c r="E93" t="s">
        <v>175</v>
      </c>
      <c r="F93" s="4">
        <v>1</v>
      </c>
      <c r="G93" s="4">
        <v>0.1</v>
      </c>
      <c r="H93" s="9">
        <v>3915.8240000000005</v>
      </c>
      <c r="I93" s="9">
        <v>652.63733333333334</v>
      </c>
      <c r="J93" s="9">
        <f t="shared" si="29"/>
        <v>4568.4613333333336</v>
      </c>
      <c r="K93" s="9">
        <v>0</v>
      </c>
      <c r="L93" s="9">
        <f t="shared" si="30"/>
        <v>0</v>
      </c>
      <c r="M93">
        <v>0</v>
      </c>
      <c r="N93" s="4">
        <f t="shared" si="31"/>
        <v>0</v>
      </c>
      <c r="O93" s="9">
        <v>3559.84</v>
      </c>
      <c r="P93" s="9">
        <v>355.98400000000004</v>
      </c>
      <c r="Q93" s="9">
        <v>0</v>
      </c>
      <c r="R93" s="9">
        <v>0</v>
      </c>
      <c r="S93" s="9">
        <v>0</v>
      </c>
      <c r="T93" s="9">
        <v>0</v>
      </c>
      <c r="U93" s="9">
        <v>0</v>
      </c>
      <c r="V93" s="9">
        <v>0</v>
      </c>
      <c r="W93" s="9">
        <f t="shared" si="32"/>
        <v>3915.8240000000001</v>
      </c>
      <c r="X93" s="9">
        <v>652.63733333333334</v>
      </c>
      <c r="Y93" s="9">
        <v>0</v>
      </c>
      <c r="Z93" s="9">
        <v>4568.4613333333336</v>
      </c>
      <c r="AA93" s="9">
        <v>0</v>
      </c>
      <c r="AB93" s="9">
        <f t="shared" si="33"/>
        <v>4568.4613333333336</v>
      </c>
      <c r="AC93" s="9">
        <v>4568.4613333333336</v>
      </c>
      <c r="AD93" s="9">
        <v>0</v>
      </c>
      <c r="AE93" s="9">
        <v>3915.8240000000001</v>
      </c>
      <c r="AF93" s="9">
        <v>214.71768266666669</v>
      </c>
      <c r="AG93" s="9">
        <v>1097.5321281399997</v>
      </c>
      <c r="AH93" s="9">
        <v>70.811150666666677</v>
      </c>
      <c r="AI93" s="9">
        <v>255.78079257499996</v>
      </c>
      <c r="AJ93" s="9">
        <v>9.3011197299999981</v>
      </c>
      <c r="AK93" s="9">
        <v>4.5684613333333335</v>
      </c>
      <c r="AL93" s="9">
        <v>27.903359189999996</v>
      </c>
      <c r="AM93" s="9">
        <v>6.8526920000000002</v>
      </c>
      <c r="AN93" s="9">
        <v>34.87919898749999</v>
      </c>
      <c r="AO93" s="9">
        <v>69.75839797499998</v>
      </c>
      <c r="AP93" s="9">
        <v>0</v>
      </c>
      <c r="AQ93" s="25">
        <v>0</v>
      </c>
      <c r="AR93" s="9">
        <f t="shared" si="34"/>
        <v>0</v>
      </c>
      <c r="AS93" s="25">
        <v>0</v>
      </c>
      <c r="AT93" s="9">
        <f t="shared" si="35"/>
        <v>0</v>
      </c>
      <c r="AU93" s="9">
        <v>0</v>
      </c>
      <c r="AV93" s="25">
        <v>0</v>
      </c>
      <c r="AW93" s="9">
        <f t="shared" si="36"/>
        <v>0</v>
      </c>
      <c r="AX93" s="25">
        <v>0</v>
      </c>
      <c r="AY93" s="9">
        <f t="shared" si="37"/>
        <v>0</v>
      </c>
      <c r="AZ93" s="9">
        <v>0</v>
      </c>
      <c r="BA93" s="25">
        <v>0</v>
      </c>
      <c r="BB93" s="9">
        <f t="shared" si="38"/>
        <v>0</v>
      </c>
      <c r="BC93" s="25">
        <v>0</v>
      </c>
      <c r="BD93" s="9">
        <f t="shared" si="39"/>
        <v>0</v>
      </c>
      <c r="BE93" s="9">
        <v>0</v>
      </c>
      <c r="BF93" s="9">
        <v>0</v>
      </c>
      <c r="BG93" s="9">
        <f t="shared" si="40"/>
        <v>0</v>
      </c>
      <c r="BH93" s="9">
        <v>0</v>
      </c>
      <c r="BI93" s="9">
        <f t="shared" si="41"/>
        <v>0</v>
      </c>
      <c r="BJ93" s="9">
        <v>0</v>
      </c>
      <c r="BK93" s="9">
        <v>0</v>
      </c>
      <c r="BL93" s="9">
        <f t="shared" si="42"/>
        <v>0</v>
      </c>
      <c r="BM93" s="9">
        <v>0</v>
      </c>
      <c r="BN93" s="9">
        <f t="shared" si="43"/>
        <v>0</v>
      </c>
      <c r="BO93" s="9">
        <v>0</v>
      </c>
      <c r="BP93" s="9">
        <v>0</v>
      </c>
      <c r="BQ93" s="9">
        <f t="shared" si="44"/>
        <v>0</v>
      </c>
      <c r="BR93" s="9">
        <v>0</v>
      </c>
      <c r="BS93" s="9">
        <f t="shared" si="45"/>
        <v>0</v>
      </c>
      <c r="BT93" s="9">
        <f t="shared" si="46"/>
        <v>0</v>
      </c>
      <c r="BU93" s="9">
        <f t="shared" si="47"/>
        <v>0</v>
      </c>
      <c r="BV93" s="9">
        <f t="shared" si="48"/>
        <v>296.94998666666669</v>
      </c>
      <c r="BW93">
        <f t="shared" si="49"/>
        <v>296.94998666666669</v>
      </c>
      <c r="BX93">
        <v>0</v>
      </c>
      <c r="BY93">
        <f t="shared" si="50"/>
        <v>1495.1549965974993</v>
      </c>
      <c r="BZ93">
        <v>1025.2491405239998</v>
      </c>
      <c r="CA93">
        <f t="shared" si="51"/>
        <v>2593.6248728093337</v>
      </c>
      <c r="CB93">
        <f t="shared" si="52"/>
        <v>5410.9789965974996</v>
      </c>
      <c r="CC93">
        <v>0</v>
      </c>
      <c r="CD93">
        <v>0</v>
      </c>
      <c r="CE93">
        <f t="shared" si="53"/>
        <v>0</v>
      </c>
      <c r="CF93">
        <f t="shared" si="54"/>
        <v>3915.8240000000001</v>
      </c>
      <c r="CG93">
        <f t="shared" si="55"/>
        <v>2593.6248728093337</v>
      </c>
      <c r="CH93">
        <f t="shared" si="56"/>
        <v>0</v>
      </c>
      <c r="CJ93" t="s">
        <v>278</v>
      </c>
      <c r="CL93" t="str">
        <f t="shared" si="57"/>
        <v/>
      </c>
    </row>
    <row r="94" spans="1:90" x14ac:dyDescent="0.25">
      <c r="A94" t="s">
        <v>106</v>
      </c>
      <c r="B94" t="s">
        <v>181</v>
      </c>
      <c r="C94" s="1">
        <v>46204</v>
      </c>
      <c r="D94" t="s">
        <v>182</v>
      </c>
      <c r="E94" t="s">
        <v>175</v>
      </c>
      <c r="F94" s="4">
        <v>1</v>
      </c>
      <c r="G94" s="4">
        <v>0.1</v>
      </c>
      <c r="H94" s="9">
        <v>3915.8240000000005</v>
      </c>
      <c r="I94" s="9">
        <v>652.63733333333334</v>
      </c>
      <c r="J94" s="9">
        <f t="shared" si="29"/>
        <v>4568.4613333333336</v>
      </c>
      <c r="K94" s="9">
        <v>0</v>
      </c>
      <c r="L94" s="9">
        <f t="shared" si="30"/>
        <v>0</v>
      </c>
      <c r="M94">
        <v>0</v>
      </c>
      <c r="N94" s="4">
        <f t="shared" si="31"/>
        <v>0</v>
      </c>
      <c r="O94" s="9">
        <v>3559.84</v>
      </c>
      <c r="P94" s="9">
        <v>355.98400000000004</v>
      </c>
      <c r="Q94" s="9">
        <v>0</v>
      </c>
      <c r="R94" s="9">
        <v>0</v>
      </c>
      <c r="S94" s="9">
        <v>0</v>
      </c>
      <c r="T94" s="9">
        <v>0</v>
      </c>
      <c r="U94" s="9">
        <v>0</v>
      </c>
      <c r="V94" s="9">
        <v>0</v>
      </c>
      <c r="W94" s="9">
        <f t="shared" si="32"/>
        <v>3915.8240000000001</v>
      </c>
      <c r="X94" s="9">
        <v>0</v>
      </c>
      <c r="Y94" s="9">
        <v>0</v>
      </c>
      <c r="Z94" s="9">
        <v>0</v>
      </c>
      <c r="AA94" s="9">
        <v>0</v>
      </c>
      <c r="AB94" s="9">
        <f t="shared" si="33"/>
        <v>0</v>
      </c>
      <c r="AC94" s="9">
        <v>0</v>
      </c>
      <c r="AD94" s="9">
        <v>0</v>
      </c>
      <c r="AE94" s="9">
        <v>3915.8240000000001</v>
      </c>
      <c r="AF94" s="9">
        <v>0</v>
      </c>
      <c r="AG94" s="9">
        <v>0</v>
      </c>
      <c r="AH94" s="9">
        <v>0</v>
      </c>
      <c r="AI94" s="9">
        <v>0</v>
      </c>
      <c r="AJ94" s="9">
        <v>0</v>
      </c>
      <c r="AK94" s="9">
        <v>0</v>
      </c>
      <c r="AL94" s="9">
        <v>0</v>
      </c>
      <c r="AM94" s="9">
        <v>0</v>
      </c>
      <c r="AN94" s="9">
        <v>0</v>
      </c>
      <c r="AO94" s="9">
        <v>0</v>
      </c>
      <c r="AP94" s="9">
        <v>0</v>
      </c>
      <c r="AQ94" s="25">
        <v>0</v>
      </c>
      <c r="AR94" s="9">
        <f t="shared" si="34"/>
        <v>0</v>
      </c>
      <c r="AS94" s="25">
        <v>0</v>
      </c>
      <c r="AT94" s="9">
        <f t="shared" si="35"/>
        <v>0</v>
      </c>
      <c r="AU94" s="9">
        <v>0</v>
      </c>
      <c r="AV94" s="25">
        <v>0</v>
      </c>
      <c r="AW94" s="9">
        <f t="shared" si="36"/>
        <v>0</v>
      </c>
      <c r="AX94" s="25">
        <v>0</v>
      </c>
      <c r="AY94" s="9">
        <f t="shared" si="37"/>
        <v>0</v>
      </c>
      <c r="AZ94" s="9">
        <v>0</v>
      </c>
      <c r="BA94" s="25">
        <v>0</v>
      </c>
      <c r="BB94" s="9">
        <f t="shared" si="38"/>
        <v>0</v>
      </c>
      <c r="BC94" s="25">
        <v>0</v>
      </c>
      <c r="BD94" s="9">
        <f t="shared" si="39"/>
        <v>0</v>
      </c>
      <c r="BE94" s="9">
        <v>0</v>
      </c>
      <c r="BF94" s="9">
        <v>0</v>
      </c>
      <c r="BG94" s="9">
        <f t="shared" si="40"/>
        <v>0</v>
      </c>
      <c r="BH94" s="9">
        <v>0</v>
      </c>
      <c r="BI94" s="9">
        <f t="shared" si="41"/>
        <v>0</v>
      </c>
      <c r="BJ94" s="9">
        <v>0</v>
      </c>
      <c r="BK94" s="9">
        <v>0</v>
      </c>
      <c r="BL94" s="9">
        <f t="shared" si="42"/>
        <v>0</v>
      </c>
      <c r="BM94" s="9">
        <v>0</v>
      </c>
      <c r="BN94" s="9">
        <f t="shared" si="43"/>
        <v>0</v>
      </c>
      <c r="BO94" s="9">
        <v>0</v>
      </c>
      <c r="BP94" s="9">
        <v>0</v>
      </c>
      <c r="BQ94" s="9">
        <f t="shared" si="44"/>
        <v>0</v>
      </c>
      <c r="BR94" s="9">
        <v>0</v>
      </c>
      <c r="BS94" s="9">
        <f t="shared" si="45"/>
        <v>0</v>
      </c>
      <c r="BT94" s="9">
        <f t="shared" si="46"/>
        <v>0</v>
      </c>
      <c r="BU94" s="9">
        <f t="shared" si="47"/>
        <v>0</v>
      </c>
      <c r="BV94" s="9">
        <f t="shared" si="48"/>
        <v>0</v>
      </c>
      <c r="BW94">
        <f t="shared" si="49"/>
        <v>0</v>
      </c>
      <c r="BX94">
        <v>0</v>
      </c>
      <c r="BY94">
        <f t="shared" si="50"/>
        <v>0</v>
      </c>
      <c r="BZ94">
        <v>1025.2491405239998</v>
      </c>
      <c r="CA94">
        <f t="shared" si="51"/>
        <v>2890.5748594760003</v>
      </c>
      <c r="CB94">
        <f t="shared" si="52"/>
        <v>3915.8240000000001</v>
      </c>
      <c r="CC94">
        <v>0</v>
      </c>
      <c r="CD94">
        <v>0</v>
      </c>
      <c r="CE94">
        <f t="shared" si="53"/>
        <v>0</v>
      </c>
      <c r="CF94">
        <f t="shared" si="54"/>
        <v>3915.8240000000001</v>
      </c>
      <c r="CG94">
        <f t="shared" si="55"/>
        <v>2890.5748594760003</v>
      </c>
      <c r="CH94">
        <f t="shared" si="56"/>
        <v>0</v>
      </c>
      <c r="CJ94" t="s">
        <v>278</v>
      </c>
      <c r="CL94" t="str">
        <f t="shared" si="57"/>
        <v/>
      </c>
    </row>
    <row r="95" spans="1:90" x14ac:dyDescent="0.25">
      <c r="A95" t="s">
        <v>106</v>
      </c>
      <c r="B95" t="s">
        <v>183</v>
      </c>
      <c r="C95" s="1">
        <v>46204</v>
      </c>
      <c r="D95" t="s">
        <v>174</v>
      </c>
      <c r="E95" t="s">
        <v>175</v>
      </c>
      <c r="F95" s="4">
        <v>1</v>
      </c>
      <c r="G95" s="4">
        <v>0.1</v>
      </c>
      <c r="H95" s="9">
        <v>3915.8240000000005</v>
      </c>
      <c r="I95" s="9">
        <v>652.63733333333334</v>
      </c>
      <c r="J95" s="9">
        <f t="shared" si="29"/>
        <v>4568.4613333333336</v>
      </c>
      <c r="K95" s="9">
        <v>0</v>
      </c>
      <c r="L95" s="9">
        <f t="shared" si="30"/>
        <v>0</v>
      </c>
      <c r="M95">
        <v>0</v>
      </c>
      <c r="N95" s="4">
        <f t="shared" si="31"/>
        <v>0</v>
      </c>
      <c r="O95" s="9">
        <v>3559.84</v>
      </c>
      <c r="P95" s="9">
        <v>355.98400000000004</v>
      </c>
      <c r="Q95" s="9">
        <v>0</v>
      </c>
      <c r="R95" s="9">
        <v>0</v>
      </c>
      <c r="S95" s="9">
        <v>0</v>
      </c>
      <c r="T95" s="9">
        <v>0</v>
      </c>
      <c r="U95" s="9">
        <v>0</v>
      </c>
      <c r="V95" s="9">
        <v>0</v>
      </c>
      <c r="W95" s="9">
        <f t="shared" si="32"/>
        <v>3915.8240000000001</v>
      </c>
      <c r="X95" s="9">
        <v>652.63733333333334</v>
      </c>
      <c r="Y95" s="9">
        <v>0</v>
      </c>
      <c r="Z95" s="9">
        <v>4568.4613333333336</v>
      </c>
      <c r="AA95" s="9">
        <v>0</v>
      </c>
      <c r="AB95" s="9">
        <f t="shared" si="33"/>
        <v>4568.4613333333336</v>
      </c>
      <c r="AC95" s="9">
        <v>4568.4613333333336</v>
      </c>
      <c r="AD95" s="9">
        <v>0</v>
      </c>
      <c r="AE95" s="9">
        <v>3915.8240000000001</v>
      </c>
      <c r="AF95" s="9">
        <v>214.71768266666669</v>
      </c>
      <c r="AG95" s="9">
        <v>1097.5321281399997</v>
      </c>
      <c r="AH95" s="9">
        <v>70.811150666666677</v>
      </c>
      <c r="AI95" s="9">
        <v>255.78079257499996</v>
      </c>
      <c r="AJ95" s="9">
        <v>9.3011197299999981</v>
      </c>
      <c r="AK95" s="9">
        <v>4.5684613333333335</v>
      </c>
      <c r="AL95" s="9">
        <v>27.903359189999996</v>
      </c>
      <c r="AM95" s="9">
        <v>6.8526920000000002</v>
      </c>
      <c r="AN95" s="9">
        <v>34.87919898749999</v>
      </c>
      <c r="AO95" s="9">
        <v>69.75839797499998</v>
      </c>
      <c r="AP95" s="9">
        <v>0</v>
      </c>
      <c r="AQ95" s="25">
        <v>0</v>
      </c>
      <c r="AR95" s="9">
        <f t="shared" si="34"/>
        <v>0</v>
      </c>
      <c r="AS95" s="25">
        <v>0</v>
      </c>
      <c r="AT95" s="9">
        <f t="shared" si="35"/>
        <v>0</v>
      </c>
      <c r="AU95" s="9">
        <v>0</v>
      </c>
      <c r="AV95" s="25">
        <v>0</v>
      </c>
      <c r="AW95" s="9">
        <f t="shared" si="36"/>
        <v>0</v>
      </c>
      <c r="AX95" s="25">
        <v>0</v>
      </c>
      <c r="AY95" s="9">
        <f t="shared" si="37"/>
        <v>0</v>
      </c>
      <c r="AZ95" s="9">
        <v>0</v>
      </c>
      <c r="BA95" s="25">
        <v>0</v>
      </c>
      <c r="BB95" s="9">
        <f t="shared" si="38"/>
        <v>0</v>
      </c>
      <c r="BC95" s="25">
        <v>0</v>
      </c>
      <c r="BD95" s="9">
        <f t="shared" si="39"/>
        <v>0</v>
      </c>
      <c r="BE95" s="9">
        <v>0</v>
      </c>
      <c r="BF95" s="9">
        <v>0</v>
      </c>
      <c r="BG95" s="9">
        <f t="shared" si="40"/>
        <v>0</v>
      </c>
      <c r="BH95" s="9">
        <v>0</v>
      </c>
      <c r="BI95" s="9">
        <f t="shared" si="41"/>
        <v>0</v>
      </c>
      <c r="BJ95" s="9">
        <v>0</v>
      </c>
      <c r="BK95" s="9">
        <v>0</v>
      </c>
      <c r="BL95" s="9">
        <f t="shared" si="42"/>
        <v>0</v>
      </c>
      <c r="BM95" s="9">
        <v>0</v>
      </c>
      <c r="BN95" s="9">
        <f t="shared" si="43"/>
        <v>0</v>
      </c>
      <c r="BO95" s="9">
        <v>0</v>
      </c>
      <c r="BP95" s="9">
        <v>0</v>
      </c>
      <c r="BQ95" s="9">
        <f t="shared" si="44"/>
        <v>0</v>
      </c>
      <c r="BR95" s="9">
        <v>0</v>
      </c>
      <c r="BS95" s="9">
        <f t="shared" si="45"/>
        <v>0</v>
      </c>
      <c r="BT95" s="9">
        <f t="shared" si="46"/>
        <v>0</v>
      </c>
      <c r="BU95" s="9">
        <f t="shared" si="47"/>
        <v>0</v>
      </c>
      <c r="BV95" s="9">
        <f t="shared" si="48"/>
        <v>296.94998666666669</v>
      </c>
      <c r="BW95">
        <f t="shared" si="49"/>
        <v>296.94998666666669</v>
      </c>
      <c r="BX95">
        <v>0</v>
      </c>
      <c r="BY95">
        <f t="shared" si="50"/>
        <v>1495.1549965974993</v>
      </c>
      <c r="BZ95">
        <v>1025.2491405239998</v>
      </c>
      <c r="CA95">
        <f t="shared" si="51"/>
        <v>2593.6248728093337</v>
      </c>
      <c r="CB95">
        <f t="shared" si="52"/>
        <v>5410.9789965974996</v>
      </c>
      <c r="CC95">
        <v>0</v>
      </c>
      <c r="CD95">
        <v>0</v>
      </c>
      <c r="CE95">
        <f t="shared" si="53"/>
        <v>0</v>
      </c>
      <c r="CF95">
        <f t="shared" si="54"/>
        <v>3915.8240000000001</v>
      </c>
      <c r="CG95">
        <f t="shared" si="55"/>
        <v>2593.6248728093337</v>
      </c>
      <c r="CH95">
        <f t="shared" si="56"/>
        <v>0</v>
      </c>
      <c r="CJ95" t="s">
        <v>278</v>
      </c>
      <c r="CL95" t="str">
        <f t="shared" si="57"/>
        <v/>
      </c>
    </row>
    <row r="96" spans="1:90" x14ac:dyDescent="0.25">
      <c r="A96" t="s">
        <v>106</v>
      </c>
      <c r="B96" t="s">
        <v>184</v>
      </c>
      <c r="C96" s="1">
        <v>46235</v>
      </c>
      <c r="D96" t="s">
        <v>174</v>
      </c>
      <c r="E96" t="s">
        <v>175</v>
      </c>
      <c r="F96" s="4">
        <v>1</v>
      </c>
      <c r="G96" s="4">
        <v>0.15000000000000002</v>
      </c>
      <c r="H96" s="9">
        <v>4093.8159999999998</v>
      </c>
      <c r="I96" s="9">
        <v>682.3026666666666</v>
      </c>
      <c r="J96" s="9">
        <f t="shared" si="29"/>
        <v>4776.1186666666663</v>
      </c>
      <c r="K96" s="9">
        <v>0</v>
      </c>
      <c r="L96" s="9">
        <f t="shared" si="30"/>
        <v>0</v>
      </c>
      <c r="M96">
        <v>0</v>
      </c>
      <c r="N96" s="4">
        <f t="shared" si="31"/>
        <v>0</v>
      </c>
      <c r="O96" s="9">
        <v>3559.84</v>
      </c>
      <c r="P96" s="9">
        <v>533.97600000000011</v>
      </c>
      <c r="Q96" s="9">
        <v>0</v>
      </c>
      <c r="R96" s="9">
        <v>0</v>
      </c>
      <c r="S96" s="9">
        <v>0</v>
      </c>
      <c r="T96" s="9">
        <v>0</v>
      </c>
      <c r="U96" s="9">
        <v>0</v>
      </c>
      <c r="V96" s="9">
        <v>0</v>
      </c>
      <c r="W96" s="9">
        <f t="shared" si="32"/>
        <v>4093.8160000000003</v>
      </c>
      <c r="X96" s="9">
        <v>682.3026666666666</v>
      </c>
      <c r="Y96" s="9">
        <v>0</v>
      </c>
      <c r="Z96" s="9">
        <v>4776.1186666666672</v>
      </c>
      <c r="AA96" s="9">
        <v>0</v>
      </c>
      <c r="AB96" s="9">
        <f t="shared" si="33"/>
        <v>4776.1186666666672</v>
      </c>
      <c r="AC96" s="9">
        <v>4776.1186666666672</v>
      </c>
      <c r="AD96" s="9">
        <v>0</v>
      </c>
      <c r="AE96" s="9">
        <v>4093.8160000000003</v>
      </c>
      <c r="AF96" s="9">
        <v>224.47757733333336</v>
      </c>
      <c r="AG96" s="9">
        <v>1097.5321281399997</v>
      </c>
      <c r="AH96" s="9">
        <v>74.029839333333342</v>
      </c>
      <c r="AI96" s="9">
        <v>255.78079257499996</v>
      </c>
      <c r="AJ96" s="9">
        <v>9.3011197299999981</v>
      </c>
      <c r="AK96" s="9">
        <v>4.7761186666666671</v>
      </c>
      <c r="AL96" s="9">
        <v>27.903359189999996</v>
      </c>
      <c r="AM96" s="9">
        <v>7.1641780000000006</v>
      </c>
      <c r="AN96" s="9">
        <v>34.87919898749999</v>
      </c>
      <c r="AO96" s="9">
        <v>69.75839797499998</v>
      </c>
      <c r="AP96" s="9">
        <v>0</v>
      </c>
      <c r="AQ96" s="25">
        <v>0</v>
      </c>
      <c r="AR96" s="9">
        <f t="shared" si="34"/>
        <v>0</v>
      </c>
      <c r="AS96" s="25">
        <v>0</v>
      </c>
      <c r="AT96" s="9">
        <f t="shared" si="35"/>
        <v>0</v>
      </c>
      <c r="AU96" s="9">
        <v>0</v>
      </c>
      <c r="AV96" s="25">
        <v>0</v>
      </c>
      <c r="AW96" s="9">
        <f t="shared" si="36"/>
        <v>0</v>
      </c>
      <c r="AX96" s="25">
        <v>0</v>
      </c>
      <c r="AY96" s="9">
        <f t="shared" si="37"/>
        <v>0</v>
      </c>
      <c r="AZ96" s="9">
        <v>0</v>
      </c>
      <c r="BA96" s="25">
        <v>0</v>
      </c>
      <c r="BB96" s="9">
        <f t="shared" si="38"/>
        <v>0</v>
      </c>
      <c r="BC96" s="25">
        <v>0</v>
      </c>
      <c r="BD96" s="9">
        <f t="shared" si="39"/>
        <v>0</v>
      </c>
      <c r="BE96" s="9">
        <v>0</v>
      </c>
      <c r="BF96" s="9">
        <v>0</v>
      </c>
      <c r="BG96" s="9">
        <f t="shared" si="40"/>
        <v>0</v>
      </c>
      <c r="BH96" s="9">
        <v>0</v>
      </c>
      <c r="BI96" s="9">
        <f t="shared" si="41"/>
        <v>0</v>
      </c>
      <c r="BJ96" s="9">
        <v>0</v>
      </c>
      <c r="BK96" s="9">
        <v>0</v>
      </c>
      <c r="BL96" s="9">
        <f t="shared" si="42"/>
        <v>0</v>
      </c>
      <c r="BM96" s="9">
        <v>0</v>
      </c>
      <c r="BN96" s="9">
        <f t="shared" si="43"/>
        <v>0</v>
      </c>
      <c r="BO96" s="9">
        <v>0</v>
      </c>
      <c r="BP96" s="9">
        <v>0</v>
      </c>
      <c r="BQ96" s="9">
        <f t="shared" si="44"/>
        <v>0</v>
      </c>
      <c r="BR96" s="9">
        <v>0</v>
      </c>
      <c r="BS96" s="9">
        <f t="shared" si="45"/>
        <v>0</v>
      </c>
      <c r="BT96" s="9">
        <f t="shared" si="46"/>
        <v>0</v>
      </c>
      <c r="BU96" s="9">
        <f t="shared" si="47"/>
        <v>0</v>
      </c>
      <c r="BV96" s="9">
        <f t="shared" si="48"/>
        <v>310.44771333333335</v>
      </c>
      <c r="BW96">
        <f t="shared" si="49"/>
        <v>310.44771333333335</v>
      </c>
      <c r="BX96">
        <v>0</v>
      </c>
      <c r="BY96">
        <f t="shared" si="50"/>
        <v>1495.1549965974993</v>
      </c>
      <c r="BZ96">
        <v>1025.2491405239998</v>
      </c>
      <c r="CA96">
        <f t="shared" si="51"/>
        <v>2758.119146142667</v>
      </c>
      <c r="CB96">
        <f t="shared" si="52"/>
        <v>5588.9709965974998</v>
      </c>
      <c r="CC96">
        <v>0</v>
      </c>
      <c r="CD96">
        <v>0</v>
      </c>
      <c r="CE96">
        <f t="shared" si="53"/>
        <v>0</v>
      </c>
      <c r="CF96">
        <f t="shared" si="54"/>
        <v>4093.8160000000003</v>
      </c>
      <c r="CG96">
        <f t="shared" si="55"/>
        <v>2758.119146142667</v>
      </c>
      <c r="CH96">
        <f t="shared" si="56"/>
        <v>0</v>
      </c>
      <c r="CJ96" t="s">
        <v>278</v>
      </c>
      <c r="CL96" t="str">
        <f t="shared" si="57"/>
        <v/>
      </c>
    </row>
    <row r="97" spans="1:90" x14ac:dyDescent="0.25">
      <c r="A97" t="s">
        <v>106</v>
      </c>
      <c r="B97" t="s">
        <v>185</v>
      </c>
      <c r="C97" s="1">
        <v>46266</v>
      </c>
      <c r="D97" t="s">
        <v>174</v>
      </c>
      <c r="E97" t="s">
        <v>175</v>
      </c>
      <c r="F97" s="4">
        <v>1</v>
      </c>
      <c r="G97" s="4">
        <v>0.15000000000000002</v>
      </c>
      <c r="H97" s="9">
        <v>4093.8159999999998</v>
      </c>
      <c r="I97" s="9">
        <v>682.3026666666666</v>
      </c>
      <c r="J97" s="9">
        <f t="shared" si="29"/>
        <v>4776.1186666666663</v>
      </c>
      <c r="K97" s="9">
        <v>0</v>
      </c>
      <c r="L97" s="9">
        <f t="shared" si="30"/>
        <v>0</v>
      </c>
      <c r="M97">
        <v>0</v>
      </c>
      <c r="N97" s="4">
        <f t="shared" si="31"/>
        <v>0</v>
      </c>
      <c r="O97" s="9">
        <v>3559.84</v>
      </c>
      <c r="P97" s="9">
        <v>533.97600000000011</v>
      </c>
      <c r="Q97" s="9">
        <v>0</v>
      </c>
      <c r="R97" s="9">
        <v>0</v>
      </c>
      <c r="S97" s="9">
        <v>0</v>
      </c>
      <c r="T97" s="9">
        <v>0</v>
      </c>
      <c r="U97" s="9">
        <v>0</v>
      </c>
      <c r="V97" s="9">
        <v>0</v>
      </c>
      <c r="W97" s="9">
        <f t="shared" si="32"/>
        <v>4093.8160000000003</v>
      </c>
      <c r="X97" s="9">
        <v>682.3026666666666</v>
      </c>
      <c r="Y97" s="9">
        <v>0</v>
      </c>
      <c r="Z97" s="9">
        <v>4776.1186666666672</v>
      </c>
      <c r="AA97" s="9">
        <v>0</v>
      </c>
      <c r="AB97" s="9">
        <f t="shared" si="33"/>
        <v>4776.1186666666672</v>
      </c>
      <c r="AC97" s="9">
        <v>4776.1186666666672</v>
      </c>
      <c r="AD97" s="9">
        <v>0</v>
      </c>
      <c r="AE97" s="9">
        <v>4093.8160000000003</v>
      </c>
      <c r="AF97" s="9">
        <v>224.47757733333336</v>
      </c>
      <c r="AG97" s="9">
        <v>1097.5321281399997</v>
      </c>
      <c r="AH97" s="9">
        <v>74.029839333333342</v>
      </c>
      <c r="AI97" s="9">
        <v>255.78079257499996</v>
      </c>
      <c r="AJ97" s="9">
        <v>9.3011197299999981</v>
      </c>
      <c r="AK97" s="9">
        <v>4.7761186666666671</v>
      </c>
      <c r="AL97" s="9">
        <v>27.903359189999996</v>
      </c>
      <c r="AM97" s="9">
        <v>7.1641780000000006</v>
      </c>
      <c r="AN97" s="9">
        <v>34.87919898749999</v>
      </c>
      <c r="AO97" s="9">
        <v>69.75839797499998</v>
      </c>
      <c r="AP97" s="9">
        <v>0</v>
      </c>
      <c r="AQ97" s="25">
        <v>0</v>
      </c>
      <c r="AR97" s="9">
        <f t="shared" si="34"/>
        <v>0</v>
      </c>
      <c r="AS97" s="25">
        <v>0</v>
      </c>
      <c r="AT97" s="9">
        <f t="shared" si="35"/>
        <v>0</v>
      </c>
      <c r="AU97" s="9">
        <v>0</v>
      </c>
      <c r="AV97" s="25">
        <v>0</v>
      </c>
      <c r="AW97" s="9">
        <f t="shared" si="36"/>
        <v>0</v>
      </c>
      <c r="AX97" s="25">
        <v>0</v>
      </c>
      <c r="AY97" s="9">
        <f t="shared" si="37"/>
        <v>0</v>
      </c>
      <c r="AZ97" s="9">
        <v>0</v>
      </c>
      <c r="BA97" s="25">
        <v>0</v>
      </c>
      <c r="BB97" s="9">
        <f t="shared" si="38"/>
        <v>0</v>
      </c>
      <c r="BC97" s="25">
        <v>0</v>
      </c>
      <c r="BD97" s="9">
        <f t="shared" si="39"/>
        <v>0</v>
      </c>
      <c r="BE97" s="9">
        <v>0</v>
      </c>
      <c r="BF97" s="9">
        <v>0</v>
      </c>
      <c r="BG97" s="9">
        <f t="shared" si="40"/>
        <v>0</v>
      </c>
      <c r="BH97" s="9">
        <v>0</v>
      </c>
      <c r="BI97" s="9">
        <f t="shared" si="41"/>
        <v>0</v>
      </c>
      <c r="BJ97" s="9">
        <v>0</v>
      </c>
      <c r="BK97" s="9">
        <v>0</v>
      </c>
      <c r="BL97" s="9">
        <f t="shared" si="42"/>
        <v>0</v>
      </c>
      <c r="BM97" s="9">
        <v>0</v>
      </c>
      <c r="BN97" s="9">
        <f t="shared" si="43"/>
        <v>0</v>
      </c>
      <c r="BO97" s="9">
        <v>0</v>
      </c>
      <c r="BP97" s="9">
        <v>0</v>
      </c>
      <c r="BQ97" s="9">
        <f t="shared" si="44"/>
        <v>0</v>
      </c>
      <c r="BR97" s="9">
        <v>0</v>
      </c>
      <c r="BS97" s="9">
        <f t="shared" si="45"/>
        <v>0</v>
      </c>
      <c r="BT97" s="9">
        <f t="shared" si="46"/>
        <v>0</v>
      </c>
      <c r="BU97" s="9">
        <f t="shared" si="47"/>
        <v>0</v>
      </c>
      <c r="BV97" s="9">
        <f t="shared" si="48"/>
        <v>310.44771333333335</v>
      </c>
      <c r="BW97">
        <f t="shared" si="49"/>
        <v>310.44771333333335</v>
      </c>
      <c r="BX97">
        <v>0</v>
      </c>
      <c r="BY97">
        <f t="shared" si="50"/>
        <v>1495.1549965974993</v>
      </c>
      <c r="BZ97">
        <v>1025.2491405239998</v>
      </c>
      <c r="CA97">
        <f t="shared" si="51"/>
        <v>2758.119146142667</v>
      </c>
      <c r="CB97">
        <f t="shared" si="52"/>
        <v>5588.9709965974998</v>
      </c>
      <c r="CC97">
        <v>0</v>
      </c>
      <c r="CD97">
        <v>0</v>
      </c>
      <c r="CE97">
        <f t="shared" si="53"/>
        <v>0</v>
      </c>
      <c r="CF97">
        <f t="shared" si="54"/>
        <v>4093.8160000000003</v>
      </c>
      <c r="CG97">
        <f t="shared" si="55"/>
        <v>2758.119146142667</v>
      </c>
      <c r="CH97">
        <f t="shared" si="56"/>
        <v>0</v>
      </c>
      <c r="CJ97" t="s">
        <v>278</v>
      </c>
      <c r="CL97" t="str">
        <f t="shared" si="57"/>
        <v/>
      </c>
    </row>
    <row r="98" spans="1:90" x14ac:dyDescent="0.25">
      <c r="A98" t="s">
        <v>106</v>
      </c>
      <c r="B98" t="s">
        <v>186</v>
      </c>
      <c r="C98" s="1">
        <v>46296</v>
      </c>
      <c r="D98" t="s">
        <v>174</v>
      </c>
      <c r="E98" t="s">
        <v>175</v>
      </c>
      <c r="F98" s="4">
        <v>1</v>
      </c>
      <c r="G98" s="4">
        <v>0.15000000000000002</v>
      </c>
      <c r="H98" s="9">
        <v>4093.8159999999998</v>
      </c>
      <c r="I98" s="9">
        <v>682.3026666666666</v>
      </c>
      <c r="J98" s="9">
        <f t="shared" si="29"/>
        <v>4776.1186666666663</v>
      </c>
      <c r="K98" s="9">
        <v>0</v>
      </c>
      <c r="L98" s="9">
        <f t="shared" si="30"/>
        <v>0</v>
      </c>
      <c r="M98">
        <v>0</v>
      </c>
      <c r="N98" s="4">
        <f t="shared" si="31"/>
        <v>0</v>
      </c>
      <c r="O98" s="9">
        <v>3559.84</v>
      </c>
      <c r="P98" s="9">
        <v>533.97600000000011</v>
      </c>
      <c r="Q98" s="9">
        <v>0</v>
      </c>
      <c r="R98" s="9">
        <v>0</v>
      </c>
      <c r="S98" s="9">
        <v>0</v>
      </c>
      <c r="T98" s="9">
        <v>0</v>
      </c>
      <c r="U98" s="9">
        <v>0</v>
      </c>
      <c r="V98" s="9">
        <v>0</v>
      </c>
      <c r="W98" s="9">
        <f t="shared" si="32"/>
        <v>4093.8160000000003</v>
      </c>
      <c r="X98" s="9">
        <v>682.3026666666666</v>
      </c>
      <c r="Y98" s="9">
        <v>0</v>
      </c>
      <c r="Z98" s="9">
        <v>4776.1186666666672</v>
      </c>
      <c r="AA98" s="9">
        <v>0</v>
      </c>
      <c r="AB98" s="9">
        <f t="shared" si="33"/>
        <v>4776.1186666666672</v>
      </c>
      <c r="AC98" s="9">
        <v>4776.1186666666672</v>
      </c>
      <c r="AD98" s="9">
        <v>0</v>
      </c>
      <c r="AE98" s="9">
        <v>4093.8160000000003</v>
      </c>
      <c r="AF98" s="9">
        <v>224.47757733333336</v>
      </c>
      <c r="AG98" s="9">
        <v>1097.5321281399997</v>
      </c>
      <c r="AH98" s="9">
        <v>74.029839333333342</v>
      </c>
      <c r="AI98" s="9">
        <v>255.78079257499996</v>
      </c>
      <c r="AJ98" s="9">
        <v>9.3011197299999981</v>
      </c>
      <c r="AK98" s="9">
        <v>4.7761186666666671</v>
      </c>
      <c r="AL98" s="9">
        <v>27.903359189999996</v>
      </c>
      <c r="AM98" s="9">
        <v>7.1641780000000006</v>
      </c>
      <c r="AN98" s="9">
        <v>34.87919898749999</v>
      </c>
      <c r="AO98" s="9">
        <v>69.75839797499998</v>
      </c>
      <c r="AP98" s="9">
        <v>0</v>
      </c>
      <c r="AQ98" s="25">
        <v>0</v>
      </c>
      <c r="AR98" s="9">
        <f t="shared" si="34"/>
        <v>0</v>
      </c>
      <c r="AS98" s="25">
        <v>0</v>
      </c>
      <c r="AT98" s="9">
        <f t="shared" si="35"/>
        <v>0</v>
      </c>
      <c r="AU98" s="9">
        <v>0</v>
      </c>
      <c r="AV98" s="25">
        <v>0</v>
      </c>
      <c r="AW98" s="9">
        <f t="shared" si="36"/>
        <v>0</v>
      </c>
      <c r="AX98" s="25">
        <v>0</v>
      </c>
      <c r="AY98" s="9">
        <f t="shared" si="37"/>
        <v>0</v>
      </c>
      <c r="AZ98" s="9">
        <v>0</v>
      </c>
      <c r="BA98" s="25">
        <v>0</v>
      </c>
      <c r="BB98" s="9">
        <f t="shared" si="38"/>
        <v>0</v>
      </c>
      <c r="BC98" s="25">
        <v>0</v>
      </c>
      <c r="BD98" s="9">
        <f t="shared" si="39"/>
        <v>0</v>
      </c>
      <c r="BE98" s="9">
        <v>0</v>
      </c>
      <c r="BF98" s="9">
        <v>0</v>
      </c>
      <c r="BG98" s="9">
        <f t="shared" si="40"/>
        <v>0</v>
      </c>
      <c r="BH98" s="9">
        <v>0</v>
      </c>
      <c r="BI98" s="9">
        <f t="shared" si="41"/>
        <v>0</v>
      </c>
      <c r="BJ98" s="9">
        <v>0</v>
      </c>
      <c r="BK98" s="9">
        <v>0</v>
      </c>
      <c r="BL98" s="9">
        <f t="shared" si="42"/>
        <v>0</v>
      </c>
      <c r="BM98" s="9">
        <v>0</v>
      </c>
      <c r="BN98" s="9">
        <f t="shared" si="43"/>
        <v>0</v>
      </c>
      <c r="BO98" s="9">
        <v>0</v>
      </c>
      <c r="BP98" s="9">
        <v>0</v>
      </c>
      <c r="BQ98" s="9">
        <f t="shared" si="44"/>
        <v>0</v>
      </c>
      <c r="BR98" s="9">
        <v>0</v>
      </c>
      <c r="BS98" s="9">
        <f t="shared" si="45"/>
        <v>0</v>
      </c>
      <c r="BT98" s="9">
        <f t="shared" si="46"/>
        <v>0</v>
      </c>
      <c r="BU98" s="9">
        <f t="shared" si="47"/>
        <v>0</v>
      </c>
      <c r="BV98" s="9">
        <f t="shared" si="48"/>
        <v>310.44771333333335</v>
      </c>
      <c r="BW98">
        <f t="shared" si="49"/>
        <v>310.44771333333335</v>
      </c>
      <c r="BX98">
        <v>0</v>
      </c>
      <c r="BY98">
        <f t="shared" si="50"/>
        <v>1495.1549965974993</v>
      </c>
      <c r="BZ98">
        <v>1025.2491405239998</v>
      </c>
      <c r="CA98">
        <f t="shared" si="51"/>
        <v>2758.119146142667</v>
      </c>
      <c r="CB98">
        <f t="shared" si="52"/>
        <v>5588.9709965974998</v>
      </c>
      <c r="CC98">
        <v>0</v>
      </c>
      <c r="CD98">
        <v>0</v>
      </c>
      <c r="CE98">
        <f t="shared" si="53"/>
        <v>0</v>
      </c>
      <c r="CF98">
        <f t="shared" si="54"/>
        <v>4093.8160000000003</v>
      </c>
      <c r="CG98">
        <f t="shared" si="55"/>
        <v>2758.119146142667</v>
      </c>
      <c r="CH98">
        <f t="shared" si="56"/>
        <v>0</v>
      </c>
      <c r="CJ98" t="s">
        <v>278</v>
      </c>
      <c r="CL98" t="str">
        <f t="shared" si="57"/>
        <v/>
      </c>
    </row>
    <row r="99" spans="1:90" x14ac:dyDescent="0.25">
      <c r="A99" t="s">
        <v>106</v>
      </c>
      <c r="B99" t="s">
        <v>187</v>
      </c>
      <c r="C99" s="1">
        <v>46327</v>
      </c>
      <c r="D99" t="s">
        <v>174</v>
      </c>
      <c r="E99" t="s">
        <v>175</v>
      </c>
      <c r="F99" s="4">
        <v>1</v>
      </c>
      <c r="G99" s="4">
        <v>0.15000000000000002</v>
      </c>
      <c r="H99" s="9">
        <v>4093.8159999999998</v>
      </c>
      <c r="I99" s="9">
        <v>682.3026666666666</v>
      </c>
      <c r="J99" s="9">
        <f t="shared" si="29"/>
        <v>4776.1186666666663</v>
      </c>
      <c r="K99" s="9">
        <v>0</v>
      </c>
      <c r="L99" s="9">
        <f t="shared" si="30"/>
        <v>0</v>
      </c>
      <c r="M99">
        <v>0</v>
      </c>
      <c r="N99" s="4">
        <f t="shared" si="31"/>
        <v>0</v>
      </c>
      <c r="O99" s="9">
        <v>3559.84</v>
      </c>
      <c r="P99" s="9">
        <v>533.97600000000011</v>
      </c>
      <c r="Q99" s="9">
        <v>0</v>
      </c>
      <c r="R99" s="9">
        <v>0</v>
      </c>
      <c r="S99" s="9">
        <v>0</v>
      </c>
      <c r="T99" s="9">
        <v>0</v>
      </c>
      <c r="U99" s="9">
        <v>0</v>
      </c>
      <c r="V99" s="9">
        <v>0</v>
      </c>
      <c r="W99" s="9">
        <f t="shared" si="32"/>
        <v>4093.8160000000003</v>
      </c>
      <c r="X99" s="9">
        <v>682.3026666666666</v>
      </c>
      <c r="Y99" s="9">
        <v>0</v>
      </c>
      <c r="Z99" s="9">
        <v>4776.1186666666672</v>
      </c>
      <c r="AA99" s="9">
        <v>0</v>
      </c>
      <c r="AB99" s="9">
        <f t="shared" si="33"/>
        <v>4776.1186666666672</v>
      </c>
      <c r="AC99" s="9">
        <v>4776.1186666666672</v>
      </c>
      <c r="AD99" s="9">
        <v>0</v>
      </c>
      <c r="AE99" s="9">
        <v>4093.8160000000003</v>
      </c>
      <c r="AF99" s="9">
        <v>224.47757733333336</v>
      </c>
      <c r="AG99" s="9">
        <v>1097.5321281399997</v>
      </c>
      <c r="AH99" s="9">
        <v>74.029839333333342</v>
      </c>
      <c r="AI99" s="9">
        <v>255.78079257499996</v>
      </c>
      <c r="AJ99" s="9">
        <v>9.3011197299999981</v>
      </c>
      <c r="AK99" s="9">
        <v>4.7761186666666671</v>
      </c>
      <c r="AL99" s="9">
        <v>27.903359189999996</v>
      </c>
      <c r="AM99" s="9">
        <v>7.1641780000000006</v>
      </c>
      <c r="AN99" s="9">
        <v>34.87919898749999</v>
      </c>
      <c r="AO99" s="9">
        <v>69.75839797499998</v>
      </c>
      <c r="AP99" s="9">
        <v>0</v>
      </c>
      <c r="AQ99" s="25">
        <v>0</v>
      </c>
      <c r="AR99" s="9">
        <f t="shared" si="34"/>
        <v>0</v>
      </c>
      <c r="AS99" s="25">
        <v>0</v>
      </c>
      <c r="AT99" s="9">
        <f t="shared" si="35"/>
        <v>0</v>
      </c>
      <c r="AU99" s="9">
        <v>0</v>
      </c>
      <c r="AV99" s="25">
        <v>0</v>
      </c>
      <c r="AW99" s="9">
        <f t="shared" si="36"/>
        <v>0</v>
      </c>
      <c r="AX99" s="25">
        <v>0</v>
      </c>
      <c r="AY99" s="9">
        <f t="shared" si="37"/>
        <v>0</v>
      </c>
      <c r="AZ99" s="9">
        <v>0</v>
      </c>
      <c r="BA99" s="25">
        <v>0</v>
      </c>
      <c r="BB99" s="9">
        <f t="shared" si="38"/>
        <v>0</v>
      </c>
      <c r="BC99" s="25">
        <v>0</v>
      </c>
      <c r="BD99" s="9">
        <f t="shared" si="39"/>
        <v>0</v>
      </c>
      <c r="BE99" s="9">
        <v>0</v>
      </c>
      <c r="BF99" s="9">
        <v>0</v>
      </c>
      <c r="BG99" s="9">
        <f t="shared" si="40"/>
        <v>0</v>
      </c>
      <c r="BH99" s="9">
        <v>0</v>
      </c>
      <c r="BI99" s="9">
        <f t="shared" si="41"/>
        <v>0</v>
      </c>
      <c r="BJ99" s="9">
        <v>0</v>
      </c>
      <c r="BK99" s="9">
        <v>0</v>
      </c>
      <c r="BL99" s="9">
        <f t="shared" si="42"/>
        <v>0</v>
      </c>
      <c r="BM99" s="9">
        <v>0</v>
      </c>
      <c r="BN99" s="9">
        <f t="shared" si="43"/>
        <v>0</v>
      </c>
      <c r="BO99" s="9">
        <v>0</v>
      </c>
      <c r="BP99" s="9">
        <v>0</v>
      </c>
      <c r="BQ99" s="9">
        <f t="shared" si="44"/>
        <v>0</v>
      </c>
      <c r="BR99" s="9">
        <v>0</v>
      </c>
      <c r="BS99" s="9">
        <f t="shared" si="45"/>
        <v>0</v>
      </c>
      <c r="BT99" s="9">
        <f t="shared" si="46"/>
        <v>0</v>
      </c>
      <c r="BU99" s="9">
        <f t="shared" si="47"/>
        <v>0</v>
      </c>
      <c r="BV99" s="9">
        <f t="shared" si="48"/>
        <v>310.44771333333335</v>
      </c>
      <c r="BW99">
        <f t="shared" si="49"/>
        <v>310.44771333333335</v>
      </c>
      <c r="BX99">
        <v>0</v>
      </c>
      <c r="BY99">
        <f t="shared" si="50"/>
        <v>1495.1549965974993</v>
      </c>
      <c r="BZ99">
        <v>1025.2491405239998</v>
      </c>
      <c r="CA99">
        <f t="shared" si="51"/>
        <v>2758.119146142667</v>
      </c>
      <c r="CB99">
        <f t="shared" si="52"/>
        <v>5588.9709965974998</v>
      </c>
      <c r="CC99">
        <v>0</v>
      </c>
      <c r="CD99">
        <v>0</v>
      </c>
      <c r="CE99">
        <f t="shared" si="53"/>
        <v>0</v>
      </c>
      <c r="CF99">
        <f t="shared" si="54"/>
        <v>4093.8160000000003</v>
      </c>
      <c r="CG99">
        <f t="shared" si="55"/>
        <v>2758.119146142667</v>
      </c>
      <c r="CH99">
        <f t="shared" si="56"/>
        <v>0</v>
      </c>
      <c r="CJ99" t="s">
        <v>278</v>
      </c>
      <c r="CL99" t="str">
        <f t="shared" si="57"/>
        <v/>
      </c>
    </row>
    <row r="100" spans="1:90" x14ac:dyDescent="0.25">
      <c r="A100" t="s">
        <v>106</v>
      </c>
      <c r="B100" t="s">
        <v>188</v>
      </c>
      <c r="C100" s="1">
        <v>46357</v>
      </c>
      <c r="D100" t="s">
        <v>182</v>
      </c>
      <c r="E100" t="s">
        <v>175</v>
      </c>
      <c r="F100" s="4">
        <v>1</v>
      </c>
      <c r="G100" s="4">
        <v>0.15000000000000002</v>
      </c>
      <c r="H100" s="9">
        <v>4093.8159999999998</v>
      </c>
      <c r="I100" s="9">
        <v>682.3026666666666</v>
      </c>
      <c r="J100" s="9">
        <f t="shared" si="29"/>
        <v>4776.1186666666663</v>
      </c>
      <c r="K100" s="9">
        <v>0</v>
      </c>
      <c r="L100" s="9">
        <f t="shared" si="30"/>
        <v>0</v>
      </c>
      <c r="M100">
        <v>0</v>
      </c>
      <c r="N100" s="4">
        <f t="shared" si="31"/>
        <v>0</v>
      </c>
      <c r="O100" s="9">
        <v>3559.84</v>
      </c>
      <c r="P100" s="9">
        <v>533.97600000000011</v>
      </c>
      <c r="Q100" s="9">
        <v>0</v>
      </c>
      <c r="R100" s="9">
        <v>0</v>
      </c>
      <c r="S100" s="9">
        <v>0</v>
      </c>
      <c r="T100" s="9">
        <v>0</v>
      </c>
      <c r="U100" s="9">
        <v>0</v>
      </c>
      <c r="V100" s="9">
        <v>0</v>
      </c>
      <c r="W100" s="9">
        <f t="shared" si="32"/>
        <v>4093.8160000000003</v>
      </c>
      <c r="X100" s="9">
        <v>0</v>
      </c>
      <c r="Y100" s="9">
        <v>0</v>
      </c>
      <c r="Z100" s="9">
        <v>0</v>
      </c>
      <c r="AA100" s="9">
        <v>0</v>
      </c>
      <c r="AB100" s="9">
        <f t="shared" si="33"/>
        <v>0</v>
      </c>
      <c r="AC100" s="9">
        <v>0</v>
      </c>
      <c r="AD100" s="9">
        <v>0</v>
      </c>
      <c r="AE100" s="9">
        <v>4093.8160000000003</v>
      </c>
      <c r="AF100" s="9">
        <v>0</v>
      </c>
      <c r="AG100" s="9">
        <v>0</v>
      </c>
      <c r="AH100" s="9">
        <v>0</v>
      </c>
      <c r="AI100" s="9">
        <v>0</v>
      </c>
      <c r="AJ100" s="9">
        <v>0</v>
      </c>
      <c r="AK100" s="9">
        <v>0</v>
      </c>
      <c r="AL100" s="9">
        <v>0</v>
      </c>
      <c r="AM100" s="9">
        <v>0</v>
      </c>
      <c r="AN100" s="9">
        <v>0</v>
      </c>
      <c r="AO100" s="9">
        <v>0</v>
      </c>
      <c r="AP100" s="9">
        <v>0</v>
      </c>
      <c r="AQ100" s="25">
        <v>0</v>
      </c>
      <c r="AR100" s="9">
        <f t="shared" si="34"/>
        <v>0</v>
      </c>
      <c r="AS100" s="25">
        <v>0</v>
      </c>
      <c r="AT100" s="9">
        <f t="shared" si="35"/>
        <v>0</v>
      </c>
      <c r="AU100" s="9">
        <v>0</v>
      </c>
      <c r="AV100" s="25">
        <v>0</v>
      </c>
      <c r="AW100" s="9">
        <f t="shared" si="36"/>
        <v>0</v>
      </c>
      <c r="AX100" s="25">
        <v>0</v>
      </c>
      <c r="AY100" s="9">
        <f t="shared" si="37"/>
        <v>0</v>
      </c>
      <c r="AZ100" s="9">
        <v>0</v>
      </c>
      <c r="BA100" s="25">
        <v>0</v>
      </c>
      <c r="BB100" s="9">
        <f t="shared" si="38"/>
        <v>0</v>
      </c>
      <c r="BC100" s="25">
        <v>0</v>
      </c>
      <c r="BD100" s="9">
        <f t="shared" si="39"/>
        <v>0</v>
      </c>
      <c r="BE100" s="9">
        <v>0</v>
      </c>
      <c r="BF100" s="9">
        <v>0</v>
      </c>
      <c r="BG100" s="9">
        <f t="shared" si="40"/>
        <v>0</v>
      </c>
      <c r="BH100" s="9">
        <v>0</v>
      </c>
      <c r="BI100" s="9">
        <f t="shared" si="41"/>
        <v>0</v>
      </c>
      <c r="BJ100" s="9">
        <v>0</v>
      </c>
      <c r="BK100" s="9">
        <v>0</v>
      </c>
      <c r="BL100" s="9">
        <f t="shared" si="42"/>
        <v>0</v>
      </c>
      <c r="BM100" s="9">
        <v>0</v>
      </c>
      <c r="BN100" s="9">
        <f t="shared" si="43"/>
        <v>0</v>
      </c>
      <c r="BO100" s="9">
        <v>0</v>
      </c>
      <c r="BP100" s="9">
        <v>0</v>
      </c>
      <c r="BQ100" s="9">
        <f t="shared" si="44"/>
        <v>0</v>
      </c>
      <c r="BR100" s="9">
        <v>0</v>
      </c>
      <c r="BS100" s="9">
        <f t="shared" si="45"/>
        <v>0</v>
      </c>
      <c r="BT100" s="9">
        <f t="shared" si="46"/>
        <v>0</v>
      </c>
      <c r="BU100" s="9">
        <f t="shared" si="47"/>
        <v>0</v>
      </c>
      <c r="BV100" s="9">
        <f t="shared" si="48"/>
        <v>0</v>
      </c>
      <c r="BW100">
        <f t="shared" si="49"/>
        <v>0</v>
      </c>
      <c r="BX100">
        <v>0</v>
      </c>
      <c r="BY100">
        <f t="shared" si="50"/>
        <v>0</v>
      </c>
      <c r="BZ100">
        <v>1025.2491405239998</v>
      </c>
      <c r="CA100">
        <f t="shared" si="51"/>
        <v>3068.5668594760004</v>
      </c>
      <c r="CB100">
        <f t="shared" si="52"/>
        <v>4093.8160000000003</v>
      </c>
      <c r="CC100">
        <v>0</v>
      </c>
      <c r="CD100">
        <v>0</v>
      </c>
      <c r="CE100">
        <f t="shared" si="53"/>
        <v>0</v>
      </c>
      <c r="CF100">
        <f t="shared" si="54"/>
        <v>4093.8160000000003</v>
      </c>
      <c r="CG100">
        <f t="shared" si="55"/>
        <v>3068.5668594760004</v>
      </c>
      <c r="CH100">
        <f t="shared" si="56"/>
        <v>0</v>
      </c>
      <c r="CJ100" t="s">
        <v>278</v>
      </c>
      <c r="CL100" t="str">
        <f t="shared" si="57"/>
        <v/>
      </c>
    </row>
    <row r="101" spans="1:90" x14ac:dyDescent="0.25">
      <c r="A101" t="s">
        <v>106</v>
      </c>
      <c r="B101" t="s">
        <v>189</v>
      </c>
      <c r="C101" s="1">
        <v>46357</v>
      </c>
      <c r="D101" t="s">
        <v>174</v>
      </c>
      <c r="E101" t="s">
        <v>175</v>
      </c>
      <c r="F101" s="4">
        <v>1</v>
      </c>
      <c r="G101" s="4">
        <v>0.15000000000000002</v>
      </c>
      <c r="H101" s="9">
        <v>4093.8159999999998</v>
      </c>
      <c r="I101" s="9">
        <v>682.3026666666666</v>
      </c>
      <c r="J101" s="9">
        <f t="shared" si="29"/>
        <v>4776.1186666666663</v>
      </c>
      <c r="K101" s="9">
        <v>0</v>
      </c>
      <c r="L101" s="9">
        <f t="shared" si="30"/>
        <v>0</v>
      </c>
      <c r="M101">
        <v>0</v>
      </c>
      <c r="N101" s="4">
        <f t="shared" si="31"/>
        <v>0</v>
      </c>
      <c r="O101" s="9">
        <v>3559.84</v>
      </c>
      <c r="P101" s="9">
        <v>533.97600000000011</v>
      </c>
      <c r="Q101" s="9">
        <v>0</v>
      </c>
      <c r="R101" s="9">
        <v>0</v>
      </c>
      <c r="S101" s="9">
        <v>0</v>
      </c>
      <c r="T101" s="9">
        <v>0</v>
      </c>
      <c r="U101" s="9">
        <v>0</v>
      </c>
      <c r="V101" s="9">
        <v>0</v>
      </c>
      <c r="W101" s="9">
        <f t="shared" si="32"/>
        <v>4093.8160000000003</v>
      </c>
      <c r="X101" s="9">
        <v>682.3026666666666</v>
      </c>
      <c r="Y101" s="9">
        <v>0</v>
      </c>
      <c r="Z101" s="9">
        <v>4776.1186666666672</v>
      </c>
      <c r="AA101" s="9">
        <v>0</v>
      </c>
      <c r="AB101" s="9">
        <f t="shared" si="33"/>
        <v>4776.1186666666672</v>
      </c>
      <c r="AC101" s="9">
        <v>4776.1186666666672</v>
      </c>
      <c r="AD101" s="9">
        <v>0</v>
      </c>
      <c r="AE101" s="9">
        <v>4093.8160000000003</v>
      </c>
      <c r="AF101" s="9">
        <v>224.47757733333336</v>
      </c>
      <c r="AG101" s="9">
        <v>1097.5321281399997</v>
      </c>
      <c r="AH101" s="9">
        <v>74.029839333333342</v>
      </c>
      <c r="AI101" s="9">
        <v>255.78079257499996</v>
      </c>
      <c r="AJ101" s="9">
        <v>9.3011197299999981</v>
      </c>
      <c r="AK101" s="9">
        <v>4.7761186666666671</v>
      </c>
      <c r="AL101" s="9">
        <v>27.903359189999996</v>
      </c>
      <c r="AM101" s="9">
        <v>7.1641780000000006</v>
      </c>
      <c r="AN101" s="9">
        <v>34.87919898749999</v>
      </c>
      <c r="AO101" s="9">
        <v>69.75839797499998</v>
      </c>
      <c r="AP101" s="9">
        <v>0</v>
      </c>
      <c r="AQ101" s="25">
        <v>0</v>
      </c>
      <c r="AR101" s="9">
        <f t="shared" si="34"/>
        <v>0</v>
      </c>
      <c r="AS101" s="25">
        <v>0</v>
      </c>
      <c r="AT101" s="9">
        <f t="shared" si="35"/>
        <v>0</v>
      </c>
      <c r="AU101" s="9">
        <v>0</v>
      </c>
      <c r="AV101" s="25">
        <v>0</v>
      </c>
      <c r="AW101" s="9">
        <f t="shared" si="36"/>
        <v>0</v>
      </c>
      <c r="AX101" s="25">
        <v>0</v>
      </c>
      <c r="AY101" s="9">
        <f t="shared" si="37"/>
        <v>0</v>
      </c>
      <c r="AZ101" s="9">
        <v>0</v>
      </c>
      <c r="BA101" s="25">
        <v>0</v>
      </c>
      <c r="BB101" s="9">
        <f t="shared" si="38"/>
        <v>0</v>
      </c>
      <c r="BC101" s="25">
        <v>0</v>
      </c>
      <c r="BD101" s="9">
        <f t="shared" si="39"/>
        <v>0</v>
      </c>
      <c r="BE101" s="9">
        <v>0</v>
      </c>
      <c r="BF101" s="9">
        <v>0</v>
      </c>
      <c r="BG101" s="9">
        <f t="shared" si="40"/>
        <v>0</v>
      </c>
      <c r="BH101" s="9">
        <v>0</v>
      </c>
      <c r="BI101" s="9">
        <f t="shared" si="41"/>
        <v>0</v>
      </c>
      <c r="BJ101" s="9">
        <v>0</v>
      </c>
      <c r="BK101" s="9">
        <v>0</v>
      </c>
      <c r="BL101" s="9">
        <f t="shared" si="42"/>
        <v>0</v>
      </c>
      <c r="BM101" s="9">
        <v>0</v>
      </c>
      <c r="BN101" s="9">
        <f t="shared" si="43"/>
        <v>0</v>
      </c>
      <c r="BO101" s="9">
        <v>0</v>
      </c>
      <c r="BP101" s="9">
        <v>0</v>
      </c>
      <c r="BQ101" s="9">
        <f t="shared" si="44"/>
        <v>0</v>
      </c>
      <c r="BR101" s="9">
        <v>0</v>
      </c>
      <c r="BS101" s="9">
        <f t="shared" si="45"/>
        <v>0</v>
      </c>
      <c r="BT101" s="9">
        <f t="shared" si="46"/>
        <v>0</v>
      </c>
      <c r="BU101" s="9">
        <f t="shared" si="47"/>
        <v>0</v>
      </c>
      <c r="BV101" s="9">
        <f t="shared" si="48"/>
        <v>310.44771333333335</v>
      </c>
      <c r="BW101">
        <f t="shared" si="49"/>
        <v>310.44771333333335</v>
      </c>
      <c r="BX101">
        <v>0</v>
      </c>
      <c r="BY101">
        <f t="shared" si="50"/>
        <v>1495.1549965974993</v>
      </c>
      <c r="BZ101">
        <v>1025.2491405239998</v>
      </c>
      <c r="CA101">
        <f t="shared" si="51"/>
        <v>2758.119146142667</v>
      </c>
      <c r="CB101">
        <f t="shared" si="52"/>
        <v>5588.9709965974998</v>
      </c>
      <c r="CC101">
        <v>0</v>
      </c>
      <c r="CD101">
        <v>0</v>
      </c>
      <c r="CE101">
        <f t="shared" si="53"/>
        <v>0</v>
      </c>
      <c r="CF101">
        <f t="shared" si="54"/>
        <v>4093.8160000000003</v>
      </c>
      <c r="CG101">
        <f t="shared" si="55"/>
        <v>2758.119146142667</v>
      </c>
      <c r="CH101">
        <f t="shared" si="56"/>
        <v>0</v>
      </c>
      <c r="CJ101" t="s">
        <v>278</v>
      </c>
      <c r="CL101" t="str">
        <f t="shared" si="57"/>
        <v/>
      </c>
    </row>
    <row r="102" spans="1:90" x14ac:dyDescent="0.25">
      <c r="A102" t="s">
        <v>108</v>
      </c>
      <c r="B102" t="s">
        <v>173</v>
      </c>
      <c r="C102" s="1">
        <v>46023</v>
      </c>
      <c r="D102" t="s">
        <v>174</v>
      </c>
      <c r="E102" t="s">
        <v>175</v>
      </c>
      <c r="F102" s="4">
        <v>1</v>
      </c>
      <c r="G102" s="4">
        <v>0.05</v>
      </c>
      <c r="H102" s="9">
        <v>2279.6865000000003</v>
      </c>
      <c r="I102" s="9">
        <v>379.94775000000004</v>
      </c>
      <c r="J102" s="9">
        <f t="shared" si="29"/>
        <v>2659.6342500000001</v>
      </c>
      <c r="K102" s="9">
        <v>0</v>
      </c>
      <c r="L102" s="9">
        <f t="shared" si="30"/>
        <v>0</v>
      </c>
      <c r="M102">
        <v>0</v>
      </c>
      <c r="N102" s="4">
        <f t="shared" si="31"/>
        <v>0</v>
      </c>
      <c r="O102" s="9">
        <v>2171.13</v>
      </c>
      <c r="P102" s="9">
        <v>108.55650000000001</v>
      </c>
      <c r="Q102" s="9">
        <v>0</v>
      </c>
      <c r="R102" s="9">
        <v>0</v>
      </c>
      <c r="S102" s="9">
        <v>0</v>
      </c>
      <c r="T102" s="9">
        <v>0</v>
      </c>
      <c r="U102" s="9">
        <v>0</v>
      </c>
      <c r="V102" s="9">
        <v>0</v>
      </c>
      <c r="W102" s="9">
        <f t="shared" si="32"/>
        <v>2279.6865000000003</v>
      </c>
      <c r="X102" s="9">
        <v>379.94775000000004</v>
      </c>
      <c r="Y102" s="9">
        <v>0</v>
      </c>
      <c r="Z102" s="9">
        <v>2659.6342500000001</v>
      </c>
      <c r="AA102" s="9">
        <v>0</v>
      </c>
      <c r="AB102" s="9">
        <f t="shared" si="33"/>
        <v>2659.6342500000001</v>
      </c>
      <c r="AC102" s="9">
        <v>2659.6342500000001</v>
      </c>
      <c r="AD102" s="9">
        <v>0</v>
      </c>
      <c r="AE102" s="9">
        <v>2279.6865000000003</v>
      </c>
      <c r="AF102" s="9">
        <v>125.00280975</v>
      </c>
      <c r="AG102" s="9">
        <v>641.13730127999986</v>
      </c>
      <c r="AH102" s="9">
        <v>41.224330875</v>
      </c>
      <c r="AI102" s="9">
        <v>149.41759139999999</v>
      </c>
      <c r="AJ102" s="9">
        <v>5.4333669599999999</v>
      </c>
      <c r="AK102" s="9">
        <v>2.6596342500000003</v>
      </c>
      <c r="AL102" s="9">
        <v>16.300100879999999</v>
      </c>
      <c r="AM102" s="9">
        <v>3.9894513750000002</v>
      </c>
      <c r="AN102" s="9">
        <v>20.375126099999996</v>
      </c>
      <c r="AO102" s="9">
        <v>40.750252199999991</v>
      </c>
      <c r="AP102" s="9">
        <v>0</v>
      </c>
      <c r="AQ102" s="25">
        <v>0</v>
      </c>
      <c r="AR102" s="9">
        <f t="shared" si="34"/>
        <v>0</v>
      </c>
      <c r="AS102" s="25">
        <v>0</v>
      </c>
      <c r="AT102" s="9">
        <f t="shared" si="35"/>
        <v>0</v>
      </c>
      <c r="AU102" s="9">
        <v>0</v>
      </c>
      <c r="AV102" s="25">
        <v>0</v>
      </c>
      <c r="AW102" s="9">
        <f t="shared" si="36"/>
        <v>0</v>
      </c>
      <c r="AX102" s="25">
        <v>0</v>
      </c>
      <c r="AY102" s="9">
        <f t="shared" si="37"/>
        <v>0</v>
      </c>
      <c r="AZ102" s="9">
        <v>0</v>
      </c>
      <c r="BA102" s="25">
        <v>0</v>
      </c>
      <c r="BB102" s="9">
        <f t="shared" si="38"/>
        <v>0</v>
      </c>
      <c r="BC102" s="25">
        <v>0</v>
      </c>
      <c r="BD102" s="9">
        <f t="shared" si="39"/>
        <v>0</v>
      </c>
      <c r="BE102" s="9">
        <v>0</v>
      </c>
      <c r="BF102" s="9">
        <v>0</v>
      </c>
      <c r="BG102" s="9">
        <f t="shared" si="40"/>
        <v>0</v>
      </c>
      <c r="BH102" s="9">
        <v>0</v>
      </c>
      <c r="BI102" s="9">
        <f t="shared" si="41"/>
        <v>0</v>
      </c>
      <c r="BJ102" s="9">
        <v>0</v>
      </c>
      <c r="BK102" s="9">
        <v>0</v>
      </c>
      <c r="BL102" s="9">
        <f t="shared" si="42"/>
        <v>0</v>
      </c>
      <c r="BM102" s="9">
        <v>0</v>
      </c>
      <c r="BN102" s="9">
        <f t="shared" si="43"/>
        <v>0</v>
      </c>
      <c r="BO102" s="9">
        <v>0</v>
      </c>
      <c r="BP102" s="9">
        <v>0</v>
      </c>
      <c r="BQ102" s="9">
        <f t="shared" si="44"/>
        <v>0</v>
      </c>
      <c r="BR102" s="9">
        <v>0</v>
      </c>
      <c r="BS102" s="9">
        <f t="shared" si="45"/>
        <v>0</v>
      </c>
      <c r="BT102" s="9">
        <f t="shared" si="46"/>
        <v>0</v>
      </c>
      <c r="BU102" s="9">
        <f t="shared" si="47"/>
        <v>0</v>
      </c>
      <c r="BV102" s="9">
        <f t="shared" si="48"/>
        <v>172.87622625</v>
      </c>
      <c r="BW102">
        <f t="shared" si="49"/>
        <v>172.87622625</v>
      </c>
      <c r="BX102">
        <v>0</v>
      </c>
      <c r="BY102">
        <f t="shared" si="50"/>
        <v>873.41373881999971</v>
      </c>
      <c r="BZ102">
        <v>360.23222944799994</v>
      </c>
      <c r="CA102">
        <f t="shared" si="51"/>
        <v>1746.5780443020003</v>
      </c>
      <c r="CB102">
        <f t="shared" si="52"/>
        <v>3153.10023882</v>
      </c>
      <c r="CC102">
        <v>0</v>
      </c>
      <c r="CD102">
        <v>0</v>
      </c>
      <c r="CE102">
        <f t="shared" si="53"/>
        <v>0</v>
      </c>
      <c r="CF102">
        <f t="shared" si="54"/>
        <v>2279.6865000000003</v>
      </c>
      <c r="CG102">
        <f t="shared" si="55"/>
        <v>1746.5780443020003</v>
      </c>
      <c r="CH102">
        <f t="shared" si="56"/>
        <v>0</v>
      </c>
      <c r="CJ102" t="s">
        <v>278</v>
      </c>
      <c r="CL102" t="str">
        <f t="shared" si="57"/>
        <v/>
      </c>
    </row>
    <row r="103" spans="1:90" x14ac:dyDescent="0.25">
      <c r="A103" t="s">
        <v>108</v>
      </c>
      <c r="B103" t="s">
        <v>176</v>
      </c>
      <c r="C103" s="1">
        <v>46054</v>
      </c>
      <c r="D103" t="s">
        <v>174</v>
      </c>
      <c r="E103" t="s">
        <v>175</v>
      </c>
      <c r="F103" s="4">
        <v>1</v>
      </c>
      <c r="G103" s="4">
        <v>0.1</v>
      </c>
      <c r="H103" s="9">
        <v>2388.2430000000004</v>
      </c>
      <c r="I103" s="9">
        <v>398.04050000000007</v>
      </c>
      <c r="J103" s="9">
        <f t="shared" si="29"/>
        <v>2786.2835000000005</v>
      </c>
      <c r="K103" s="9">
        <v>0</v>
      </c>
      <c r="L103" s="9">
        <f t="shared" si="30"/>
        <v>0</v>
      </c>
      <c r="M103">
        <v>0</v>
      </c>
      <c r="N103" s="4">
        <f t="shared" si="31"/>
        <v>0</v>
      </c>
      <c r="O103" s="9">
        <v>2171.13</v>
      </c>
      <c r="P103" s="9">
        <v>217.11300000000003</v>
      </c>
      <c r="Q103" s="9">
        <v>0</v>
      </c>
      <c r="R103" s="9">
        <v>0</v>
      </c>
      <c r="S103" s="9">
        <v>0</v>
      </c>
      <c r="T103" s="9">
        <v>0</v>
      </c>
      <c r="U103" s="9">
        <v>0</v>
      </c>
      <c r="V103" s="9">
        <v>0</v>
      </c>
      <c r="W103" s="9">
        <f t="shared" si="32"/>
        <v>2388.2429999999999</v>
      </c>
      <c r="X103" s="9">
        <v>398.04050000000007</v>
      </c>
      <c r="Y103" s="9">
        <v>0</v>
      </c>
      <c r="Z103" s="9">
        <v>2786.2835</v>
      </c>
      <c r="AA103" s="9">
        <v>0</v>
      </c>
      <c r="AB103" s="9">
        <f t="shared" si="33"/>
        <v>2786.2835</v>
      </c>
      <c r="AC103" s="9">
        <v>2786.2835</v>
      </c>
      <c r="AD103" s="9">
        <v>0</v>
      </c>
      <c r="AE103" s="9">
        <v>2388.2429999999999</v>
      </c>
      <c r="AF103" s="9">
        <v>130.95532449999999</v>
      </c>
      <c r="AG103" s="9">
        <v>641.13730127999986</v>
      </c>
      <c r="AH103" s="9">
        <v>43.187394249999997</v>
      </c>
      <c r="AI103" s="9">
        <v>149.41759139999999</v>
      </c>
      <c r="AJ103" s="9">
        <v>5.4333669599999999</v>
      </c>
      <c r="AK103" s="9">
        <v>2.7862835000000001</v>
      </c>
      <c r="AL103" s="9">
        <v>16.300100879999999</v>
      </c>
      <c r="AM103" s="9">
        <v>4.1794252500000004</v>
      </c>
      <c r="AN103" s="9">
        <v>20.375126099999996</v>
      </c>
      <c r="AO103" s="9">
        <v>40.750252199999991</v>
      </c>
      <c r="AP103" s="9">
        <v>0</v>
      </c>
      <c r="AQ103" s="25">
        <v>0</v>
      </c>
      <c r="AR103" s="9">
        <f t="shared" si="34"/>
        <v>0</v>
      </c>
      <c r="AS103" s="25">
        <v>0</v>
      </c>
      <c r="AT103" s="9">
        <f t="shared" si="35"/>
        <v>0</v>
      </c>
      <c r="AU103" s="9">
        <v>0</v>
      </c>
      <c r="AV103" s="25">
        <v>0</v>
      </c>
      <c r="AW103" s="9">
        <f t="shared" si="36"/>
        <v>0</v>
      </c>
      <c r="AX103" s="25">
        <v>0</v>
      </c>
      <c r="AY103" s="9">
        <f t="shared" si="37"/>
        <v>0</v>
      </c>
      <c r="AZ103" s="9">
        <v>0</v>
      </c>
      <c r="BA103" s="25">
        <v>0</v>
      </c>
      <c r="BB103" s="9">
        <f t="shared" si="38"/>
        <v>0</v>
      </c>
      <c r="BC103" s="25">
        <v>0</v>
      </c>
      <c r="BD103" s="9">
        <f t="shared" si="39"/>
        <v>0</v>
      </c>
      <c r="BE103" s="9">
        <v>0</v>
      </c>
      <c r="BF103" s="9">
        <v>0</v>
      </c>
      <c r="BG103" s="9">
        <f t="shared" si="40"/>
        <v>0</v>
      </c>
      <c r="BH103" s="9">
        <v>0</v>
      </c>
      <c r="BI103" s="9">
        <f t="shared" si="41"/>
        <v>0</v>
      </c>
      <c r="BJ103" s="9">
        <v>0</v>
      </c>
      <c r="BK103" s="9">
        <v>0</v>
      </c>
      <c r="BL103" s="9">
        <f t="shared" si="42"/>
        <v>0</v>
      </c>
      <c r="BM103" s="9">
        <v>0</v>
      </c>
      <c r="BN103" s="9">
        <f t="shared" si="43"/>
        <v>0</v>
      </c>
      <c r="BO103" s="9">
        <v>0</v>
      </c>
      <c r="BP103" s="9">
        <v>0</v>
      </c>
      <c r="BQ103" s="9">
        <f t="shared" si="44"/>
        <v>0</v>
      </c>
      <c r="BR103" s="9">
        <v>0</v>
      </c>
      <c r="BS103" s="9">
        <f t="shared" si="45"/>
        <v>0</v>
      </c>
      <c r="BT103" s="9">
        <f t="shared" si="46"/>
        <v>0</v>
      </c>
      <c r="BU103" s="9">
        <f t="shared" si="47"/>
        <v>0</v>
      </c>
      <c r="BV103" s="9">
        <f t="shared" si="48"/>
        <v>181.10842749999998</v>
      </c>
      <c r="BW103">
        <f t="shared" si="49"/>
        <v>181.10842749999998</v>
      </c>
      <c r="BX103">
        <v>0</v>
      </c>
      <c r="BY103">
        <f t="shared" si="50"/>
        <v>873.41373881999971</v>
      </c>
      <c r="BZ103">
        <v>360.23222944799994</v>
      </c>
      <c r="CA103">
        <f t="shared" si="51"/>
        <v>1846.9023430520001</v>
      </c>
      <c r="CB103">
        <f t="shared" si="52"/>
        <v>3261.6567388199996</v>
      </c>
      <c r="CC103">
        <v>0</v>
      </c>
      <c r="CD103">
        <v>0</v>
      </c>
      <c r="CE103">
        <f t="shared" si="53"/>
        <v>0</v>
      </c>
      <c r="CF103">
        <f t="shared" si="54"/>
        <v>2388.2429999999999</v>
      </c>
      <c r="CG103">
        <f t="shared" si="55"/>
        <v>1846.9023430520001</v>
      </c>
      <c r="CH103">
        <f t="shared" si="56"/>
        <v>0</v>
      </c>
      <c r="CJ103" t="s">
        <v>278</v>
      </c>
      <c r="CL103" t="str">
        <f t="shared" si="57"/>
        <v/>
      </c>
    </row>
    <row r="104" spans="1:90" x14ac:dyDescent="0.25">
      <c r="A104" t="s">
        <v>108</v>
      </c>
      <c r="B104" t="s">
        <v>177</v>
      </c>
      <c r="C104" s="1">
        <v>46082</v>
      </c>
      <c r="D104" t="s">
        <v>174</v>
      </c>
      <c r="E104" t="s">
        <v>175</v>
      </c>
      <c r="F104" s="4">
        <v>1</v>
      </c>
      <c r="G104" s="4">
        <v>0.1</v>
      </c>
      <c r="H104" s="9">
        <v>2388.2430000000004</v>
      </c>
      <c r="I104" s="9">
        <v>398.04050000000007</v>
      </c>
      <c r="J104" s="9">
        <f t="shared" si="29"/>
        <v>2786.2835000000005</v>
      </c>
      <c r="K104" s="9">
        <v>0</v>
      </c>
      <c r="L104" s="9">
        <f t="shared" si="30"/>
        <v>0</v>
      </c>
      <c r="M104">
        <v>0</v>
      </c>
      <c r="N104" s="4">
        <f t="shared" si="31"/>
        <v>0</v>
      </c>
      <c r="O104" s="9">
        <v>2171.13</v>
      </c>
      <c r="P104" s="9">
        <v>217.11300000000003</v>
      </c>
      <c r="Q104" s="9">
        <v>0</v>
      </c>
      <c r="R104" s="9">
        <v>0</v>
      </c>
      <c r="S104" s="9">
        <v>0</v>
      </c>
      <c r="T104" s="9">
        <v>0</v>
      </c>
      <c r="U104" s="9">
        <v>0</v>
      </c>
      <c r="V104" s="9">
        <v>0</v>
      </c>
      <c r="W104" s="9">
        <f t="shared" si="32"/>
        <v>2388.2429999999999</v>
      </c>
      <c r="X104" s="9">
        <v>398.04050000000007</v>
      </c>
      <c r="Y104" s="9">
        <v>0</v>
      </c>
      <c r="Z104" s="9">
        <v>2786.2835</v>
      </c>
      <c r="AA104" s="9">
        <v>0</v>
      </c>
      <c r="AB104" s="9">
        <f t="shared" si="33"/>
        <v>2786.2835</v>
      </c>
      <c r="AC104" s="9">
        <v>2786.2835</v>
      </c>
      <c r="AD104" s="9">
        <v>0</v>
      </c>
      <c r="AE104" s="9">
        <v>2388.2429999999999</v>
      </c>
      <c r="AF104" s="9">
        <v>130.95532449999999</v>
      </c>
      <c r="AG104" s="9">
        <v>641.13730127999986</v>
      </c>
      <c r="AH104" s="9">
        <v>43.187394249999997</v>
      </c>
      <c r="AI104" s="9">
        <v>149.41759139999999</v>
      </c>
      <c r="AJ104" s="9">
        <v>5.4333669599999999</v>
      </c>
      <c r="AK104" s="9">
        <v>2.7862835000000001</v>
      </c>
      <c r="AL104" s="9">
        <v>16.300100879999999</v>
      </c>
      <c r="AM104" s="9">
        <v>4.1794252500000004</v>
      </c>
      <c r="AN104" s="9">
        <v>20.375126099999996</v>
      </c>
      <c r="AO104" s="9">
        <v>40.750252199999991</v>
      </c>
      <c r="AP104" s="9">
        <v>0</v>
      </c>
      <c r="AQ104" s="25">
        <v>0</v>
      </c>
      <c r="AR104" s="9">
        <f t="shared" si="34"/>
        <v>0</v>
      </c>
      <c r="AS104" s="25">
        <v>0</v>
      </c>
      <c r="AT104" s="9">
        <f t="shared" si="35"/>
        <v>0</v>
      </c>
      <c r="AU104" s="9">
        <v>0</v>
      </c>
      <c r="AV104" s="25">
        <v>0</v>
      </c>
      <c r="AW104" s="9">
        <f t="shared" si="36"/>
        <v>0</v>
      </c>
      <c r="AX104" s="25">
        <v>0</v>
      </c>
      <c r="AY104" s="9">
        <f t="shared" si="37"/>
        <v>0</v>
      </c>
      <c r="AZ104" s="9">
        <v>0</v>
      </c>
      <c r="BA104" s="25">
        <v>0</v>
      </c>
      <c r="BB104" s="9">
        <f t="shared" si="38"/>
        <v>0</v>
      </c>
      <c r="BC104" s="25">
        <v>0</v>
      </c>
      <c r="BD104" s="9">
        <f t="shared" si="39"/>
        <v>0</v>
      </c>
      <c r="BE104" s="9">
        <v>0</v>
      </c>
      <c r="BF104" s="9">
        <v>0</v>
      </c>
      <c r="BG104" s="9">
        <f t="shared" si="40"/>
        <v>0</v>
      </c>
      <c r="BH104" s="9">
        <v>0</v>
      </c>
      <c r="BI104" s="9">
        <f t="shared" si="41"/>
        <v>0</v>
      </c>
      <c r="BJ104" s="9">
        <v>0</v>
      </c>
      <c r="BK104" s="9">
        <v>0</v>
      </c>
      <c r="BL104" s="9">
        <f t="shared" si="42"/>
        <v>0</v>
      </c>
      <c r="BM104" s="9">
        <v>0</v>
      </c>
      <c r="BN104" s="9">
        <f t="shared" si="43"/>
        <v>0</v>
      </c>
      <c r="BO104" s="9">
        <v>0</v>
      </c>
      <c r="BP104" s="9">
        <v>0</v>
      </c>
      <c r="BQ104" s="9">
        <f t="shared" si="44"/>
        <v>0</v>
      </c>
      <c r="BR104" s="9">
        <v>0</v>
      </c>
      <c r="BS104" s="9">
        <f t="shared" si="45"/>
        <v>0</v>
      </c>
      <c r="BT104" s="9">
        <f t="shared" si="46"/>
        <v>0</v>
      </c>
      <c r="BU104" s="9">
        <f t="shared" si="47"/>
        <v>0</v>
      </c>
      <c r="BV104" s="9">
        <f t="shared" si="48"/>
        <v>181.10842749999998</v>
      </c>
      <c r="BW104">
        <f t="shared" si="49"/>
        <v>181.10842749999998</v>
      </c>
      <c r="BX104">
        <v>0</v>
      </c>
      <c r="BY104">
        <f t="shared" si="50"/>
        <v>873.41373881999971</v>
      </c>
      <c r="BZ104">
        <v>360.23222944799994</v>
      </c>
      <c r="CA104">
        <f t="shared" si="51"/>
        <v>1846.9023430520001</v>
      </c>
      <c r="CB104">
        <f t="shared" si="52"/>
        <v>3261.6567388199996</v>
      </c>
      <c r="CC104">
        <v>0</v>
      </c>
      <c r="CD104">
        <v>0</v>
      </c>
      <c r="CE104">
        <f t="shared" si="53"/>
        <v>0</v>
      </c>
      <c r="CF104">
        <f t="shared" si="54"/>
        <v>2388.2429999999999</v>
      </c>
      <c r="CG104">
        <f t="shared" si="55"/>
        <v>1846.9023430520001</v>
      </c>
      <c r="CH104">
        <f t="shared" si="56"/>
        <v>0</v>
      </c>
      <c r="CJ104" t="s">
        <v>278</v>
      </c>
      <c r="CL104" t="str">
        <f t="shared" si="57"/>
        <v/>
      </c>
    </row>
    <row r="105" spans="1:90" x14ac:dyDescent="0.25">
      <c r="A105" t="s">
        <v>108</v>
      </c>
      <c r="B105" t="s">
        <v>178</v>
      </c>
      <c r="C105" s="1">
        <v>46113</v>
      </c>
      <c r="D105" t="s">
        <v>174</v>
      </c>
      <c r="E105" t="s">
        <v>175</v>
      </c>
      <c r="F105" s="4">
        <v>1</v>
      </c>
      <c r="G105" s="4">
        <v>0.1</v>
      </c>
      <c r="H105" s="9">
        <v>2388.2430000000004</v>
      </c>
      <c r="I105" s="9">
        <v>398.04050000000007</v>
      </c>
      <c r="J105" s="9">
        <f t="shared" si="29"/>
        <v>2786.2835000000005</v>
      </c>
      <c r="K105" s="9">
        <v>0</v>
      </c>
      <c r="L105" s="9">
        <f t="shared" si="30"/>
        <v>0</v>
      </c>
      <c r="M105">
        <v>0</v>
      </c>
      <c r="N105" s="4">
        <f t="shared" si="31"/>
        <v>0</v>
      </c>
      <c r="O105" s="9">
        <v>2171.13</v>
      </c>
      <c r="P105" s="9">
        <v>217.11300000000003</v>
      </c>
      <c r="Q105" s="9">
        <v>0</v>
      </c>
      <c r="R105" s="9">
        <v>0</v>
      </c>
      <c r="S105" s="9">
        <v>0</v>
      </c>
      <c r="T105" s="9">
        <v>0</v>
      </c>
      <c r="U105" s="9">
        <v>0</v>
      </c>
      <c r="V105" s="9">
        <v>0</v>
      </c>
      <c r="W105" s="9">
        <f t="shared" si="32"/>
        <v>2388.2429999999999</v>
      </c>
      <c r="X105" s="9">
        <v>398.04050000000007</v>
      </c>
      <c r="Y105" s="9">
        <v>0</v>
      </c>
      <c r="Z105" s="9">
        <v>2786.2835</v>
      </c>
      <c r="AA105" s="9">
        <v>0</v>
      </c>
      <c r="AB105" s="9">
        <f t="shared" si="33"/>
        <v>2786.2835</v>
      </c>
      <c r="AC105" s="9">
        <v>2786.2835</v>
      </c>
      <c r="AD105" s="9">
        <v>0</v>
      </c>
      <c r="AE105" s="9">
        <v>2388.2429999999999</v>
      </c>
      <c r="AF105" s="9">
        <v>130.95532449999999</v>
      </c>
      <c r="AG105" s="9">
        <v>641.13730127999986</v>
      </c>
      <c r="AH105" s="9">
        <v>43.187394249999997</v>
      </c>
      <c r="AI105" s="9">
        <v>149.41759139999999</v>
      </c>
      <c r="AJ105" s="9">
        <v>5.4333669599999999</v>
      </c>
      <c r="AK105" s="9">
        <v>2.7862835000000001</v>
      </c>
      <c r="AL105" s="9">
        <v>16.300100879999999</v>
      </c>
      <c r="AM105" s="9">
        <v>4.1794252500000004</v>
      </c>
      <c r="AN105" s="9">
        <v>20.375126099999996</v>
      </c>
      <c r="AO105" s="9">
        <v>40.750252199999991</v>
      </c>
      <c r="AP105" s="9">
        <v>0</v>
      </c>
      <c r="AQ105" s="25">
        <v>0</v>
      </c>
      <c r="AR105" s="9">
        <f t="shared" si="34"/>
        <v>0</v>
      </c>
      <c r="AS105" s="25">
        <v>0</v>
      </c>
      <c r="AT105" s="9">
        <f t="shared" si="35"/>
        <v>0</v>
      </c>
      <c r="AU105" s="9">
        <v>0</v>
      </c>
      <c r="AV105" s="25">
        <v>0</v>
      </c>
      <c r="AW105" s="9">
        <f t="shared" si="36"/>
        <v>0</v>
      </c>
      <c r="AX105" s="25">
        <v>0</v>
      </c>
      <c r="AY105" s="9">
        <f t="shared" si="37"/>
        <v>0</v>
      </c>
      <c r="AZ105" s="9">
        <v>0</v>
      </c>
      <c r="BA105" s="25">
        <v>0</v>
      </c>
      <c r="BB105" s="9">
        <f t="shared" si="38"/>
        <v>0</v>
      </c>
      <c r="BC105" s="25">
        <v>0</v>
      </c>
      <c r="BD105" s="9">
        <f t="shared" si="39"/>
        <v>0</v>
      </c>
      <c r="BE105" s="9">
        <v>0</v>
      </c>
      <c r="BF105" s="9">
        <v>0</v>
      </c>
      <c r="BG105" s="9">
        <f t="shared" si="40"/>
        <v>0</v>
      </c>
      <c r="BH105" s="9">
        <v>0</v>
      </c>
      <c r="BI105" s="9">
        <f t="shared" si="41"/>
        <v>0</v>
      </c>
      <c r="BJ105" s="9">
        <v>0</v>
      </c>
      <c r="BK105" s="9">
        <v>0</v>
      </c>
      <c r="BL105" s="9">
        <f t="shared" si="42"/>
        <v>0</v>
      </c>
      <c r="BM105" s="9">
        <v>0</v>
      </c>
      <c r="BN105" s="9">
        <f t="shared" si="43"/>
        <v>0</v>
      </c>
      <c r="BO105" s="9">
        <v>0</v>
      </c>
      <c r="BP105" s="9">
        <v>0</v>
      </c>
      <c r="BQ105" s="9">
        <f t="shared" si="44"/>
        <v>0</v>
      </c>
      <c r="BR105" s="9">
        <v>0</v>
      </c>
      <c r="BS105" s="9">
        <f t="shared" si="45"/>
        <v>0</v>
      </c>
      <c r="BT105" s="9">
        <f t="shared" si="46"/>
        <v>0</v>
      </c>
      <c r="BU105" s="9">
        <f t="shared" si="47"/>
        <v>0</v>
      </c>
      <c r="BV105" s="9">
        <f t="shared" si="48"/>
        <v>181.10842749999998</v>
      </c>
      <c r="BW105">
        <f t="shared" si="49"/>
        <v>181.10842749999998</v>
      </c>
      <c r="BX105">
        <v>0</v>
      </c>
      <c r="BY105">
        <f t="shared" si="50"/>
        <v>873.41373881999971</v>
      </c>
      <c r="BZ105">
        <v>360.23222944799994</v>
      </c>
      <c r="CA105">
        <f t="shared" si="51"/>
        <v>1846.9023430520001</v>
      </c>
      <c r="CB105">
        <f t="shared" si="52"/>
        <v>3261.6567388199996</v>
      </c>
      <c r="CC105">
        <v>0</v>
      </c>
      <c r="CD105">
        <v>0</v>
      </c>
      <c r="CE105">
        <f t="shared" si="53"/>
        <v>0</v>
      </c>
      <c r="CF105">
        <f t="shared" si="54"/>
        <v>2388.2429999999999</v>
      </c>
      <c r="CG105">
        <f t="shared" si="55"/>
        <v>1846.9023430520001</v>
      </c>
      <c r="CH105">
        <f t="shared" si="56"/>
        <v>0</v>
      </c>
      <c r="CJ105" t="s">
        <v>278</v>
      </c>
      <c r="CL105" t="str">
        <f t="shared" si="57"/>
        <v/>
      </c>
    </row>
    <row r="106" spans="1:90" x14ac:dyDescent="0.25">
      <c r="A106" t="s">
        <v>108</v>
      </c>
      <c r="B106" t="s">
        <v>179</v>
      </c>
      <c r="C106" s="1">
        <v>46143</v>
      </c>
      <c r="D106" t="s">
        <v>174</v>
      </c>
      <c r="E106" t="s">
        <v>175</v>
      </c>
      <c r="F106" s="4">
        <v>1</v>
      </c>
      <c r="G106" s="4">
        <v>0.1</v>
      </c>
      <c r="H106" s="9">
        <v>2388.2430000000004</v>
      </c>
      <c r="I106" s="9">
        <v>398.04050000000007</v>
      </c>
      <c r="J106" s="9">
        <f t="shared" si="29"/>
        <v>2786.2835000000005</v>
      </c>
      <c r="K106" s="9">
        <v>0</v>
      </c>
      <c r="L106" s="9">
        <f t="shared" si="30"/>
        <v>0</v>
      </c>
      <c r="M106">
        <v>0</v>
      </c>
      <c r="N106" s="4">
        <f t="shared" si="31"/>
        <v>0</v>
      </c>
      <c r="O106" s="9">
        <v>2171.13</v>
      </c>
      <c r="P106" s="9">
        <v>217.11300000000003</v>
      </c>
      <c r="Q106" s="9">
        <v>0</v>
      </c>
      <c r="R106" s="9">
        <v>0</v>
      </c>
      <c r="S106" s="9">
        <v>0</v>
      </c>
      <c r="T106" s="9">
        <v>0</v>
      </c>
      <c r="U106" s="9">
        <v>0</v>
      </c>
      <c r="V106" s="9">
        <v>0</v>
      </c>
      <c r="W106" s="9">
        <f t="shared" si="32"/>
        <v>2388.2429999999999</v>
      </c>
      <c r="X106" s="9">
        <v>398.04050000000007</v>
      </c>
      <c r="Y106" s="9">
        <v>0</v>
      </c>
      <c r="Z106" s="9">
        <v>2786.2835</v>
      </c>
      <c r="AA106" s="9">
        <v>0</v>
      </c>
      <c r="AB106" s="9">
        <f t="shared" si="33"/>
        <v>2786.2835</v>
      </c>
      <c r="AC106" s="9">
        <v>2786.2835</v>
      </c>
      <c r="AD106" s="9">
        <v>0</v>
      </c>
      <c r="AE106" s="9">
        <v>2388.2429999999999</v>
      </c>
      <c r="AF106" s="9">
        <v>130.95532449999999</v>
      </c>
      <c r="AG106" s="9">
        <v>641.13730127999986</v>
      </c>
      <c r="AH106" s="9">
        <v>43.187394249999997</v>
      </c>
      <c r="AI106" s="9">
        <v>149.41759139999999</v>
      </c>
      <c r="AJ106" s="9">
        <v>5.4333669599999999</v>
      </c>
      <c r="AK106" s="9">
        <v>2.7862835000000001</v>
      </c>
      <c r="AL106" s="9">
        <v>16.300100879999999</v>
      </c>
      <c r="AM106" s="9">
        <v>4.1794252500000004</v>
      </c>
      <c r="AN106" s="9">
        <v>20.375126099999996</v>
      </c>
      <c r="AO106" s="9">
        <v>40.750252199999991</v>
      </c>
      <c r="AP106" s="9">
        <v>0</v>
      </c>
      <c r="AQ106" s="25">
        <v>0</v>
      </c>
      <c r="AR106" s="9">
        <f t="shared" si="34"/>
        <v>0</v>
      </c>
      <c r="AS106" s="25">
        <v>0</v>
      </c>
      <c r="AT106" s="9">
        <f t="shared" si="35"/>
        <v>0</v>
      </c>
      <c r="AU106" s="9">
        <v>0</v>
      </c>
      <c r="AV106" s="25">
        <v>0</v>
      </c>
      <c r="AW106" s="9">
        <f t="shared" si="36"/>
        <v>0</v>
      </c>
      <c r="AX106" s="25">
        <v>0</v>
      </c>
      <c r="AY106" s="9">
        <f t="shared" si="37"/>
        <v>0</v>
      </c>
      <c r="AZ106" s="9">
        <v>0</v>
      </c>
      <c r="BA106" s="25">
        <v>0</v>
      </c>
      <c r="BB106" s="9">
        <f t="shared" si="38"/>
        <v>0</v>
      </c>
      <c r="BC106" s="25">
        <v>0</v>
      </c>
      <c r="BD106" s="9">
        <f t="shared" si="39"/>
        <v>0</v>
      </c>
      <c r="BE106" s="9">
        <v>0</v>
      </c>
      <c r="BF106" s="9">
        <v>0</v>
      </c>
      <c r="BG106" s="9">
        <f t="shared" si="40"/>
        <v>0</v>
      </c>
      <c r="BH106" s="9">
        <v>0</v>
      </c>
      <c r="BI106" s="9">
        <f t="shared" si="41"/>
        <v>0</v>
      </c>
      <c r="BJ106" s="9">
        <v>0</v>
      </c>
      <c r="BK106" s="9">
        <v>0</v>
      </c>
      <c r="BL106" s="9">
        <f t="shared" si="42"/>
        <v>0</v>
      </c>
      <c r="BM106" s="9">
        <v>0</v>
      </c>
      <c r="BN106" s="9">
        <f t="shared" si="43"/>
        <v>0</v>
      </c>
      <c r="BO106" s="9">
        <v>0</v>
      </c>
      <c r="BP106" s="9">
        <v>0</v>
      </c>
      <c r="BQ106" s="9">
        <f t="shared" si="44"/>
        <v>0</v>
      </c>
      <c r="BR106" s="9">
        <v>0</v>
      </c>
      <c r="BS106" s="9">
        <f t="shared" si="45"/>
        <v>0</v>
      </c>
      <c r="BT106" s="9">
        <f t="shared" si="46"/>
        <v>0</v>
      </c>
      <c r="BU106" s="9">
        <f t="shared" si="47"/>
        <v>0</v>
      </c>
      <c r="BV106" s="9">
        <f t="shared" si="48"/>
        <v>181.10842749999998</v>
      </c>
      <c r="BW106">
        <f t="shared" si="49"/>
        <v>181.10842749999998</v>
      </c>
      <c r="BX106">
        <v>0</v>
      </c>
      <c r="BY106">
        <f t="shared" si="50"/>
        <v>873.41373881999971</v>
      </c>
      <c r="BZ106">
        <v>360.23222944799994</v>
      </c>
      <c r="CA106">
        <f t="shared" si="51"/>
        <v>1846.9023430520001</v>
      </c>
      <c r="CB106">
        <f t="shared" si="52"/>
        <v>3261.6567388199996</v>
      </c>
      <c r="CC106">
        <v>0</v>
      </c>
      <c r="CD106">
        <v>0</v>
      </c>
      <c r="CE106">
        <f t="shared" si="53"/>
        <v>0</v>
      </c>
      <c r="CF106">
        <f t="shared" si="54"/>
        <v>2388.2429999999999</v>
      </c>
      <c r="CG106">
        <f t="shared" si="55"/>
        <v>1846.9023430520001</v>
      </c>
      <c r="CH106">
        <f t="shared" si="56"/>
        <v>0</v>
      </c>
      <c r="CJ106" t="s">
        <v>278</v>
      </c>
      <c r="CL106" t="str">
        <f t="shared" si="57"/>
        <v/>
      </c>
    </row>
    <row r="107" spans="1:90" x14ac:dyDescent="0.25">
      <c r="A107" t="s">
        <v>108</v>
      </c>
      <c r="B107" t="s">
        <v>180</v>
      </c>
      <c r="C107" s="1">
        <v>46174</v>
      </c>
      <c r="D107" t="s">
        <v>174</v>
      </c>
      <c r="E107" t="s">
        <v>175</v>
      </c>
      <c r="F107" s="4">
        <v>1</v>
      </c>
      <c r="G107" s="4">
        <v>0.1</v>
      </c>
      <c r="H107" s="9">
        <v>2388.2430000000004</v>
      </c>
      <c r="I107" s="9">
        <v>398.04050000000007</v>
      </c>
      <c r="J107" s="9">
        <f t="shared" si="29"/>
        <v>2786.2835000000005</v>
      </c>
      <c r="K107" s="9">
        <v>0</v>
      </c>
      <c r="L107" s="9">
        <f t="shared" si="30"/>
        <v>0</v>
      </c>
      <c r="M107">
        <v>0</v>
      </c>
      <c r="N107" s="4">
        <f t="shared" si="31"/>
        <v>0</v>
      </c>
      <c r="O107" s="9">
        <v>2171.13</v>
      </c>
      <c r="P107" s="9">
        <v>217.11300000000003</v>
      </c>
      <c r="Q107" s="9">
        <v>0</v>
      </c>
      <c r="R107" s="9">
        <v>0</v>
      </c>
      <c r="S107" s="9">
        <v>0</v>
      </c>
      <c r="T107" s="9">
        <v>0</v>
      </c>
      <c r="U107" s="9">
        <v>0</v>
      </c>
      <c r="V107" s="9">
        <v>0</v>
      </c>
      <c r="W107" s="9">
        <f t="shared" si="32"/>
        <v>2388.2429999999999</v>
      </c>
      <c r="X107" s="9">
        <v>398.04050000000007</v>
      </c>
      <c r="Y107" s="9">
        <v>0</v>
      </c>
      <c r="Z107" s="9">
        <v>2786.2835</v>
      </c>
      <c r="AA107" s="9">
        <v>0</v>
      </c>
      <c r="AB107" s="9">
        <f t="shared" si="33"/>
        <v>2786.2835</v>
      </c>
      <c r="AC107" s="9">
        <v>2786.2835</v>
      </c>
      <c r="AD107" s="9">
        <v>0</v>
      </c>
      <c r="AE107" s="9">
        <v>2388.2429999999999</v>
      </c>
      <c r="AF107" s="9">
        <v>130.95532449999999</v>
      </c>
      <c r="AG107" s="9">
        <v>671.66764895999984</v>
      </c>
      <c r="AH107" s="9">
        <v>43.187394249999997</v>
      </c>
      <c r="AI107" s="9">
        <v>156.53271479999998</v>
      </c>
      <c r="AJ107" s="9">
        <v>5.6920987199999988</v>
      </c>
      <c r="AK107" s="9">
        <v>2.7862835000000001</v>
      </c>
      <c r="AL107" s="9">
        <v>17.076296159999998</v>
      </c>
      <c r="AM107" s="9">
        <v>4.1794252500000004</v>
      </c>
      <c r="AN107" s="9">
        <v>21.345370199999994</v>
      </c>
      <c r="AO107" s="9">
        <v>42.690740399999989</v>
      </c>
      <c r="AP107" s="9">
        <v>0</v>
      </c>
      <c r="AQ107" s="25">
        <v>0</v>
      </c>
      <c r="AR107" s="9">
        <f t="shared" si="34"/>
        <v>0</v>
      </c>
      <c r="AS107" s="25">
        <v>0</v>
      </c>
      <c r="AT107" s="9">
        <f t="shared" si="35"/>
        <v>0</v>
      </c>
      <c r="AU107" s="9">
        <v>0</v>
      </c>
      <c r="AV107" s="25">
        <v>0</v>
      </c>
      <c r="AW107" s="9">
        <f t="shared" si="36"/>
        <v>0</v>
      </c>
      <c r="AX107" s="25">
        <v>0</v>
      </c>
      <c r="AY107" s="9">
        <f t="shared" si="37"/>
        <v>0</v>
      </c>
      <c r="AZ107" s="9">
        <v>0</v>
      </c>
      <c r="BA107" s="25">
        <v>0</v>
      </c>
      <c r="BB107" s="9">
        <f t="shared" si="38"/>
        <v>0</v>
      </c>
      <c r="BC107" s="25">
        <v>0</v>
      </c>
      <c r="BD107" s="9">
        <f t="shared" si="39"/>
        <v>0</v>
      </c>
      <c r="BE107" s="9">
        <v>0</v>
      </c>
      <c r="BF107" s="9">
        <v>0</v>
      </c>
      <c r="BG107" s="9">
        <f t="shared" si="40"/>
        <v>0</v>
      </c>
      <c r="BH107" s="9">
        <v>0</v>
      </c>
      <c r="BI107" s="9">
        <f t="shared" si="41"/>
        <v>0</v>
      </c>
      <c r="BJ107" s="9">
        <v>0</v>
      </c>
      <c r="BK107" s="9">
        <v>0</v>
      </c>
      <c r="BL107" s="9">
        <f t="shared" si="42"/>
        <v>0</v>
      </c>
      <c r="BM107" s="9">
        <v>0</v>
      </c>
      <c r="BN107" s="9">
        <f t="shared" si="43"/>
        <v>0</v>
      </c>
      <c r="BO107" s="9">
        <v>0</v>
      </c>
      <c r="BP107" s="9">
        <v>0</v>
      </c>
      <c r="BQ107" s="9">
        <f t="shared" si="44"/>
        <v>0</v>
      </c>
      <c r="BR107" s="9">
        <v>0</v>
      </c>
      <c r="BS107" s="9">
        <f t="shared" si="45"/>
        <v>0</v>
      </c>
      <c r="BT107" s="9">
        <f t="shared" si="46"/>
        <v>0</v>
      </c>
      <c r="BU107" s="9">
        <f t="shared" si="47"/>
        <v>0</v>
      </c>
      <c r="BV107" s="9">
        <f t="shared" si="48"/>
        <v>181.10842749999998</v>
      </c>
      <c r="BW107">
        <f t="shared" si="49"/>
        <v>181.10842749999998</v>
      </c>
      <c r="BX107">
        <v>0</v>
      </c>
      <c r="BY107">
        <f t="shared" si="50"/>
        <v>915.00486923999983</v>
      </c>
      <c r="BZ107">
        <v>377.38614513599993</v>
      </c>
      <c r="CA107">
        <f t="shared" si="51"/>
        <v>1829.7484273640002</v>
      </c>
      <c r="CB107">
        <f t="shared" si="52"/>
        <v>3303.24786924</v>
      </c>
      <c r="CC107">
        <v>0</v>
      </c>
      <c r="CD107">
        <v>0</v>
      </c>
      <c r="CE107">
        <f t="shared" si="53"/>
        <v>0</v>
      </c>
      <c r="CF107">
        <f t="shared" si="54"/>
        <v>2388.2429999999999</v>
      </c>
      <c r="CG107">
        <f t="shared" si="55"/>
        <v>1829.7484273640002</v>
      </c>
      <c r="CH107">
        <f t="shared" si="56"/>
        <v>0</v>
      </c>
      <c r="CJ107" t="s">
        <v>278</v>
      </c>
      <c r="CL107" t="str">
        <f t="shared" si="57"/>
        <v/>
      </c>
    </row>
    <row r="108" spans="1:90" x14ac:dyDescent="0.25">
      <c r="A108" t="s">
        <v>108</v>
      </c>
      <c r="B108" t="s">
        <v>181</v>
      </c>
      <c r="C108" s="1">
        <v>46204</v>
      </c>
      <c r="D108" t="s">
        <v>182</v>
      </c>
      <c r="E108" t="s">
        <v>175</v>
      </c>
      <c r="F108" s="4">
        <v>1</v>
      </c>
      <c r="G108" s="4">
        <v>0.1</v>
      </c>
      <c r="H108" s="9">
        <v>2388.2430000000004</v>
      </c>
      <c r="I108" s="9">
        <v>398.04050000000007</v>
      </c>
      <c r="J108" s="9">
        <f t="shared" si="29"/>
        <v>2786.2835000000005</v>
      </c>
      <c r="K108" s="9">
        <v>0</v>
      </c>
      <c r="L108" s="9">
        <f t="shared" si="30"/>
        <v>0</v>
      </c>
      <c r="M108">
        <v>0</v>
      </c>
      <c r="N108" s="4">
        <f t="shared" si="31"/>
        <v>0</v>
      </c>
      <c r="O108" s="9">
        <v>2171.13</v>
      </c>
      <c r="P108" s="9">
        <v>217.11300000000003</v>
      </c>
      <c r="Q108" s="9">
        <v>0</v>
      </c>
      <c r="R108" s="9">
        <v>0</v>
      </c>
      <c r="S108" s="9">
        <v>0</v>
      </c>
      <c r="T108" s="9">
        <v>0</v>
      </c>
      <c r="U108" s="9">
        <v>0</v>
      </c>
      <c r="V108" s="9">
        <v>0</v>
      </c>
      <c r="W108" s="9">
        <f t="shared" si="32"/>
        <v>2388.2429999999999</v>
      </c>
      <c r="X108" s="9">
        <v>0</v>
      </c>
      <c r="Y108" s="9">
        <v>0</v>
      </c>
      <c r="Z108" s="9">
        <v>0</v>
      </c>
      <c r="AA108" s="9">
        <v>0</v>
      </c>
      <c r="AB108" s="9">
        <f t="shared" si="33"/>
        <v>0</v>
      </c>
      <c r="AC108" s="9">
        <v>0</v>
      </c>
      <c r="AD108" s="9">
        <v>0</v>
      </c>
      <c r="AE108" s="9">
        <v>2388.2429999999999</v>
      </c>
      <c r="AF108" s="9">
        <v>0</v>
      </c>
      <c r="AG108" s="9">
        <v>0</v>
      </c>
      <c r="AH108" s="9">
        <v>0</v>
      </c>
      <c r="AI108" s="9">
        <v>0</v>
      </c>
      <c r="AJ108" s="9">
        <v>0</v>
      </c>
      <c r="AK108" s="9">
        <v>0</v>
      </c>
      <c r="AL108" s="9">
        <v>0</v>
      </c>
      <c r="AM108" s="9">
        <v>0</v>
      </c>
      <c r="AN108" s="9">
        <v>0</v>
      </c>
      <c r="AO108" s="9">
        <v>0</v>
      </c>
      <c r="AP108" s="9">
        <v>0</v>
      </c>
      <c r="AQ108" s="25">
        <v>0</v>
      </c>
      <c r="AR108" s="9">
        <f t="shared" si="34"/>
        <v>0</v>
      </c>
      <c r="AS108" s="25">
        <v>0</v>
      </c>
      <c r="AT108" s="9">
        <f t="shared" si="35"/>
        <v>0</v>
      </c>
      <c r="AU108" s="9">
        <v>0</v>
      </c>
      <c r="AV108" s="25">
        <v>0</v>
      </c>
      <c r="AW108" s="9">
        <f t="shared" si="36"/>
        <v>0</v>
      </c>
      <c r="AX108" s="25">
        <v>0</v>
      </c>
      <c r="AY108" s="9">
        <f t="shared" si="37"/>
        <v>0</v>
      </c>
      <c r="AZ108" s="9">
        <v>0</v>
      </c>
      <c r="BA108" s="25">
        <v>0</v>
      </c>
      <c r="BB108" s="9">
        <f t="shared" si="38"/>
        <v>0</v>
      </c>
      <c r="BC108" s="25">
        <v>0</v>
      </c>
      <c r="BD108" s="9">
        <f t="shared" si="39"/>
        <v>0</v>
      </c>
      <c r="BE108" s="9">
        <v>0</v>
      </c>
      <c r="BF108" s="9">
        <v>0</v>
      </c>
      <c r="BG108" s="9">
        <f t="shared" si="40"/>
        <v>0</v>
      </c>
      <c r="BH108" s="9">
        <v>0</v>
      </c>
      <c r="BI108" s="9">
        <f t="shared" si="41"/>
        <v>0</v>
      </c>
      <c r="BJ108" s="9">
        <v>0</v>
      </c>
      <c r="BK108" s="9">
        <v>0</v>
      </c>
      <c r="BL108" s="9">
        <f t="shared" si="42"/>
        <v>0</v>
      </c>
      <c r="BM108" s="9">
        <v>0</v>
      </c>
      <c r="BN108" s="9">
        <f t="shared" si="43"/>
        <v>0</v>
      </c>
      <c r="BO108" s="9">
        <v>0</v>
      </c>
      <c r="BP108" s="9">
        <v>0</v>
      </c>
      <c r="BQ108" s="9">
        <f t="shared" si="44"/>
        <v>0</v>
      </c>
      <c r="BR108" s="9">
        <v>0</v>
      </c>
      <c r="BS108" s="9">
        <f t="shared" si="45"/>
        <v>0</v>
      </c>
      <c r="BT108" s="9">
        <f t="shared" si="46"/>
        <v>0</v>
      </c>
      <c r="BU108" s="9">
        <f t="shared" si="47"/>
        <v>0</v>
      </c>
      <c r="BV108" s="9">
        <f t="shared" si="48"/>
        <v>0</v>
      </c>
      <c r="BW108">
        <f t="shared" si="49"/>
        <v>0</v>
      </c>
      <c r="BX108">
        <v>0</v>
      </c>
      <c r="BY108">
        <f t="shared" si="50"/>
        <v>0</v>
      </c>
      <c r="BZ108">
        <v>363.09121539599994</v>
      </c>
      <c r="CA108">
        <f t="shared" si="51"/>
        <v>2025.1517846040001</v>
      </c>
      <c r="CB108">
        <f t="shared" si="52"/>
        <v>2388.2429999999999</v>
      </c>
      <c r="CC108">
        <v>0</v>
      </c>
      <c r="CD108">
        <v>0</v>
      </c>
      <c r="CE108">
        <f t="shared" si="53"/>
        <v>0</v>
      </c>
      <c r="CF108">
        <f t="shared" si="54"/>
        <v>2388.2429999999999</v>
      </c>
      <c r="CG108">
        <f t="shared" si="55"/>
        <v>2025.1517846040001</v>
      </c>
      <c r="CH108">
        <f t="shared" si="56"/>
        <v>0</v>
      </c>
      <c r="CJ108" t="s">
        <v>278</v>
      </c>
      <c r="CL108" t="str">
        <f t="shared" si="57"/>
        <v/>
      </c>
    </row>
    <row r="109" spans="1:90" x14ac:dyDescent="0.25">
      <c r="A109" t="s">
        <v>108</v>
      </c>
      <c r="B109" t="s">
        <v>183</v>
      </c>
      <c r="C109" s="1">
        <v>46204</v>
      </c>
      <c r="D109" t="s">
        <v>174</v>
      </c>
      <c r="E109" t="s">
        <v>175</v>
      </c>
      <c r="F109" s="4">
        <v>1</v>
      </c>
      <c r="G109" s="4">
        <v>0.1</v>
      </c>
      <c r="H109" s="9">
        <v>2388.2430000000004</v>
      </c>
      <c r="I109" s="9">
        <v>398.04050000000007</v>
      </c>
      <c r="J109" s="9">
        <f t="shared" si="29"/>
        <v>2786.2835000000005</v>
      </c>
      <c r="K109" s="9">
        <v>0</v>
      </c>
      <c r="L109" s="9">
        <f t="shared" si="30"/>
        <v>0</v>
      </c>
      <c r="M109">
        <v>0</v>
      </c>
      <c r="N109" s="4">
        <f t="shared" si="31"/>
        <v>0</v>
      </c>
      <c r="O109" s="9">
        <v>2171.13</v>
      </c>
      <c r="P109" s="9">
        <v>217.11300000000003</v>
      </c>
      <c r="Q109" s="9">
        <v>0</v>
      </c>
      <c r="R109" s="9">
        <v>0</v>
      </c>
      <c r="S109" s="9">
        <v>0</v>
      </c>
      <c r="T109" s="9">
        <v>0</v>
      </c>
      <c r="U109" s="9">
        <v>0</v>
      </c>
      <c r="V109" s="9">
        <v>0</v>
      </c>
      <c r="W109" s="9">
        <f t="shared" si="32"/>
        <v>2388.2429999999999</v>
      </c>
      <c r="X109" s="9">
        <v>398.04050000000007</v>
      </c>
      <c r="Y109" s="9">
        <v>0</v>
      </c>
      <c r="Z109" s="9">
        <v>2786.2835</v>
      </c>
      <c r="AA109" s="9">
        <v>0</v>
      </c>
      <c r="AB109" s="9">
        <f t="shared" si="33"/>
        <v>2786.2835</v>
      </c>
      <c r="AC109" s="9">
        <v>2786.2835</v>
      </c>
      <c r="AD109" s="9">
        <v>0</v>
      </c>
      <c r="AE109" s="9">
        <v>2388.2429999999999</v>
      </c>
      <c r="AF109" s="9">
        <v>130.95532449999999</v>
      </c>
      <c r="AG109" s="9">
        <v>671.66764895999984</v>
      </c>
      <c r="AH109" s="9">
        <v>43.187394249999997</v>
      </c>
      <c r="AI109" s="9">
        <v>156.53271479999998</v>
      </c>
      <c r="AJ109" s="9">
        <v>5.6920987199999988</v>
      </c>
      <c r="AK109" s="9">
        <v>2.7862835000000001</v>
      </c>
      <c r="AL109" s="9">
        <v>17.076296159999998</v>
      </c>
      <c r="AM109" s="9">
        <v>4.1794252500000004</v>
      </c>
      <c r="AN109" s="9">
        <v>21.345370199999994</v>
      </c>
      <c r="AO109" s="9">
        <v>42.690740399999989</v>
      </c>
      <c r="AP109" s="9">
        <v>0</v>
      </c>
      <c r="AQ109" s="25">
        <v>0</v>
      </c>
      <c r="AR109" s="9">
        <f t="shared" si="34"/>
        <v>0</v>
      </c>
      <c r="AS109" s="25">
        <v>0</v>
      </c>
      <c r="AT109" s="9">
        <f t="shared" si="35"/>
        <v>0</v>
      </c>
      <c r="AU109" s="9">
        <v>0</v>
      </c>
      <c r="AV109" s="25">
        <v>0</v>
      </c>
      <c r="AW109" s="9">
        <f t="shared" si="36"/>
        <v>0</v>
      </c>
      <c r="AX109" s="25">
        <v>0</v>
      </c>
      <c r="AY109" s="9">
        <f t="shared" si="37"/>
        <v>0</v>
      </c>
      <c r="AZ109" s="9">
        <v>0</v>
      </c>
      <c r="BA109" s="25">
        <v>0</v>
      </c>
      <c r="BB109" s="9">
        <f t="shared" si="38"/>
        <v>0</v>
      </c>
      <c r="BC109" s="25">
        <v>0</v>
      </c>
      <c r="BD109" s="9">
        <f t="shared" si="39"/>
        <v>0</v>
      </c>
      <c r="BE109" s="9">
        <v>0</v>
      </c>
      <c r="BF109" s="9">
        <v>0</v>
      </c>
      <c r="BG109" s="9">
        <f t="shared" si="40"/>
        <v>0</v>
      </c>
      <c r="BH109" s="9">
        <v>0</v>
      </c>
      <c r="BI109" s="9">
        <f t="shared" si="41"/>
        <v>0</v>
      </c>
      <c r="BJ109" s="9">
        <v>0</v>
      </c>
      <c r="BK109" s="9">
        <v>0</v>
      </c>
      <c r="BL109" s="9">
        <f t="shared" si="42"/>
        <v>0</v>
      </c>
      <c r="BM109" s="9">
        <v>0</v>
      </c>
      <c r="BN109" s="9">
        <f t="shared" si="43"/>
        <v>0</v>
      </c>
      <c r="BO109" s="9">
        <v>0</v>
      </c>
      <c r="BP109" s="9">
        <v>0</v>
      </c>
      <c r="BQ109" s="9">
        <f t="shared" si="44"/>
        <v>0</v>
      </c>
      <c r="BR109" s="9">
        <v>0</v>
      </c>
      <c r="BS109" s="9">
        <f t="shared" si="45"/>
        <v>0</v>
      </c>
      <c r="BT109" s="9">
        <f t="shared" si="46"/>
        <v>0</v>
      </c>
      <c r="BU109" s="9">
        <f t="shared" si="47"/>
        <v>0</v>
      </c>
      <c r="BV109" s="9">
        <f t="shared" si="48"/>
        <v>181.10842749999998</v>
      </c>
      <c r="BW109">
        <f t="shared" si="49"/>
        <v>181.10842749999998</v>
      </c>
      <c r="BX109">
        <v>0</v>
      </c>
      <c r="BY109">
        <f t="shared" si="50"/>
        <v>915.00486923999983</v>
      </c>
      <c r="BZ109">
        <v>377.38614513599993</v>
      </c>
      <c r="CA109">
        <f t="shared" si="51"/>
        <v>1829.7484273640002</v>
      </c>
      <c r="CB109">
        <f t="shared" si="52"/>
        <v>3303.24786924</v>
      </c>
      <c r="CC109">
        <v>0</v>
      </c>
      <c r="CD109">
        <v>0</v>
      </c>
      <c r="CE109">
        <f t="shared" si="53"/>
        <v>0</v>
      </c>
      <c r="CF109">
        <f t="shared" si="54"/>
        <v>2388.2429999999999</v>
      </c>
      <c r="CG109">
        <f t="shared" si="55"/>
        <v>1829.7484273640002</v>
      </c>
      <c r="CH109">
        <f t="shared" si="56"/>
        <v>0</v>
      </c>
      <c r="CJ109" t="s">
        <v>278</v>
      </c>
      <c r="CL109" t="str">
        <f t="shared" si="57"/>
        <v/>
      </c>
    </row>
    <row r="110" spans="1:90" x14ac:dyDescent="0.25">
      <c r="A110" t="s">
        <v>108</v>
      </c>
      <c r="B110" t="s">
        <v>184</v>
      </c>
      <c r="C110" s="1">
        <v>46235</v>
      </c>
      <c r="D110" t="s">
        <v>174</v>
      </c>
      <c r="E110" t="s">
        <v>175</v>
      </c>
      <c r="F110" s="4">
        <v>1</v>
      </c>
      <c r="G110" s="4">
        <v>0.1</v>
      </c>
      <c r="H110" s="9">
        <v>2388.2430000000004</v>
      </c>
      <c r="I110" s="9">
        <v>398.04050000000007</v>
      </c>
      <c r="J110" s="9">
        <f t="shared" si="29"/>
        <v>2786.2835000000005</v>
      </c>
      <c r="K110" s="9">
        <v>0</v>
      </c>
      <c r="L110" s="9">
        <f t="shared" si="30"/>
        <v>0</v>
      </c>
      <c r="M110">
        <v>0</v>
      </c>
      <c r="N110" s="4">
        <f t="shared" si="31"/>
        <v>0</v>
      </c>
      <c r="O110" s="9">
        <v>2171.13</v>
      </c>
      <c r="P110" s="9">
        <v>217.11300000000003</v>
      </c>
      <c r="Q110" s="9">
        <v>0</v>
      </c>
      <c r="R110" s="9">
        <v>0</v>
      </c>
      <c r="S110" s="9">
        <v>0</v>
      </c>
      <c r="T110" s="9">
        <v>0</v>
      </c>
      <c r="U110" s="9">
        <v>0</v>
      </c>
      <c r="V110" s="9">
        <v>0</v>
      </c>
      <c r="W110" s="9">
        <f t="shared" si="32"/>
        <v>2388.2429999999999</v>
      </c>
      <c r="X110" s="9">
        <v>398.04050000000007</v>
      </c>
      <c r="Y110" s="9">
        <v>0</v>
      </c>
      <c r="Z110" s="9">
        <v>2786.2835</v>
      </c>
      <c r="AA110" s="9">
        <v>0</v>
      </c>
      <c r="AB110" s="9">
        <f t="shared" si="33"/>
        <v>2786.2835</v>
      </c>
      <c r="AC110" s="9">
        <v>2786.2835</v>
      </c>
      <c r="AD110" s="9">
        <v>0</v>
      </c>
      <c r="AE110" s="9">
        <v>2388.2429999999999</v>
      </c>
      <c r="AF110" s="9">
        <v>130.95532449999999</v>
      </c>
      <c r="AG110" s="9">
        <v>671.66764895999984</v>
      </c>
      <c r="AH110" s="9">
        <v>43.187394249999997</v>
      </c>
      <c r="AI110" s="9">
        <v>156.53271479999998</v>
      </c>
      <c r="AJ110" s="9">
        <v>5.6920987199999988</v>
      </c>
      <c r="AK110" s="9">
        <v>2.7862835000000001</v>
      </c>
      <c r="AL110" s="9">
        <v>17.076296159999998</v>
      </c>
      <c r="AM110" s="9">
        <v>4.1794252500000004</v>
      </c>
      <c r="AN110" s="9">
        <v>21.345370199999994</v>
      </c>
      <c r="AO110" s="9">
        <v>42.690740399999989</v>
      </c>
      <c r="AP110" s="9">
        <v>0</v>
      </c>
      <c r="AQ110" s="25">
        <v>0</v>
      </c>
      <c r="AR110" s="9">
        <f t="shared" si="34"/>
        <v>0</v>
      </c>
      <c r="AS110" s="25">
        <v>0</v>
      </c>
      <c r="AT110" s="9">
        <f t="shared" si="35"/>
        <v>0</v>
      </c>
      <c r="AU110" s="9">
        <v>0</v>
      </c>
      <c r="AV110" s="25">
        <v>0</v>
      </c>
      <c r="AW110" s="9">
        <f t="shared" si="36"/>
        <v>0</v>
      </c>
      <c r="AX110" s="25">
        <v>0</v>
      </c>
      <c r="AY110" s="9">
        <f t="shared" si="37"/>
        <v>0</v>
      </c>
      <c r="AZ110" s="9">
        <v>0</v>
      </c>
      <c r="BA110" s="25">
        <v>0</v>
      </c>
      <c r="BB110" s="9">
        <f t="shared" si="38"/>
        <v>0</v>
      </c>
      <c r="BC110" s="25">
        <v>0</v>
      </c>
      <c r="BD110" s="9">
        <f t="shared" si="39"/>
        <v>0</v>
      </c>
      <c r="BE110" s="9">
        <v>0</v>
      </c>
      <c r="BF110" s="9">
        <v>0</v>
      </c>
      <c r="BG110" s="9">
        <f t="shared" si="40"/>
        <v>0</v>
      </c>
      <c r="BH110" s="9">
        <v>0</v>
      </c>
      <c r="BI110" s="9">
        <f t="shared" si="41"/>
        <v>0</v>
      </c>
      <c r="BJ110" s="9">
        <v>0</v>
      </c>
      <c r="BK110" s="9">
        <v>0</v>
      </c>
      <c r="BL110" s="9">
        <f t="shared" si="42"/>
        <v>0</v>
      </c>
      <c r="BM110" s="9">
        <v>0</v>
      </c>
      <c r="BN110" s="9">
        <f t="shared" si="43"/>
        <v>0</v>
      </c>
      <c r="BO110" s="9">
        <v>0</v>
      </c>
      <c r="BP110" s="9">
        <v>0</v>
      </c>
      <c r="BQ110" s="9">
        <f t="shared" si="44"/>
        <v>0</v>
      </c>
      <c r="BR110" s="9">
        <v>0</v>
      </c>
      <c r="BS110" s="9">
        <f t="shared" si="45"/>
        <v>0</v>
      </c>
      <c r="BT110" s="9">
        <f t="shared" si="46"/>
        <v>0</v>
      </c>
      <c r="BU110" s="9">
        <f t="shared" si="47"/>
        <v>0</v>
      </c>
      <c r="BV110" s="9">
        <f t="shared" si="48"/>
        <v>181.10842749999998</v>
      </c>
      <c r="BW110">
        <f t="shared" si="49"/>
        <v>181.10842749999998</v>
      </c>
      <c r="BX110">
        <v>0</v>
      </c>
      <c r="BY110">
        <f t="shared" si="50"/>
        <v>915.00486923999983</v>
      </c>
      <c r="BZ110">
        <v>377.38614513599993</v>
      </c>
      <c r="CA110">
        <f t="shared" si="51"/>
        <v>1829.7484273640002</v>
      </c>
      <c r="CB110">
        <f t="shared" si="52"/>
        <v>3303.24786924</v>
      </c>
      <c r="CC110">
        <v>0</v>
      </c>
      <c r="CD110">
        <v>0</v>
      </c>
      <c r="CE110">
        <f t="shared" si="53"/>
        <v>0</v>
      </c>
      <c r="CF110">
        <f t="shared" si="54"/>
        <v>2388.2429999999999</v>
      </c>
      <c r="CG110">
        <f t="shared" si="55"/>
        <v>1829.7484273640002</v>
      </c>
      <c r="CH110">
        <f t="shared" si="56"/>
        <v>0</v>
      </c>
      <c r="CJ110" t="s">
        <v>278</v>
      </c>
      <c r="CL110" t="str">
        <f t="shared" si="57"/>
        <v/>
      </c>
    </row>
    <row r="111" spans="1:90" x14ac:dyDescent="0.25">
      <c r="A111" t="s">
        <v>108</v>
      </c>
      <c r="B111" t="s">
        <v>185</v>
      </c>
      <c r="C111" s="1">
        <v>46266</v>
      </c>
      <c r="D111" t="s">
        <v>174</v>
      </c>
      <c r="E111" t="s">
        <v>175</v>
      </c>
      <c r="F111" s="4">
        <v>1</v>
      </c>
      <c r="G111" s="4">
        <v>0.1</v>
      </c>
      <c r="H111" s="9">
        <v>2388.2430000000004</v>
      </c>
      <c r="I111" s="9">
        <v>398.04050000000007</v>
      </c>
      <c r="J111" s="9">
        <f t="shared" si="29"/>
        <v>2786.2835000000005</v>
      </c>
      <c r="K111" s="9">
        <v>0</v>
      </c>
      <c r="L111" s="9">
        <f t="shared" si="30"/>
        <v>0</v>
      </c>
      <c r="M111">
        <v>0</v>
      </c>
      <c r="N111" s="4">
        <f t="shared" si="31"/>
        <v>0</v>
      </c>
      <c r="O111" s="9">
        <v>2171.13</v>
      </c>
      <c r="P111" s="9">
        <v>217.11300000000003</v>
      </c>
      <c r="Q111" s="9">
        <v>0</v>
      </c>
      <c r="R111" s="9">
        <v>0</v>
      </c>
      <c r="S111" s="9">
        <v>0</v>
      </c>
      <c r="T111" s="9">
        <v>0</v>
      </c>
      <c r="U111" s="9">
        <v>0</v>
      </c>
      <c r="V111" s="9">
        <v>0</v>
      </c>
      <c r="W111" s="9">
        <f t="shared" si="32"/>
        <v>2388.2429999999999</v>
      </c>
      <c r="X111" s="9">
        <v>398.04050000000007</v>
      </c>
      <c r="Y111" s="9">
        <v>0</v>
      </c>
      <c r="Z111" s="9">
        <v>2786.2835</v>
      </c>
      <c r="AA111" s="9">
        <v>0</v>
      </c>
      <c r="AB111" s="9">
        <f t="shared" si="33"/>
        <v>2786.2835</v>
      </c>
      <c r="AC111" s="9">
        <v>2786.2835</v>
      </c>
      <c r="AD111" s="9">
        <v>0</v>
      </c>
      <c r="AE111" s="9">
        <v>2388.2429999999999</v>
      </c>
      <c r="AF111" s="9">
        <v>130.95532449999999</v>
      </c>
      <c r="AG111" s="9">
        <v>671.66764895999984</v>
      </c>
      <c r="AH111" s="9">
        <v>43.187394249999997</v>
      </c>
      <c r="AI111" s="9">
        <v>156.53271479999998</v>
      </c>
      <c r="AJ111" s="9">
        <v>5.6920987199999988</v>
      </c>
      <c r="AK111" s="9">
        <v>2.7862835000000001</v>
      </c>
      <c r="AL111" s="9">
        <v>17.076296159999998</v>
      </c>
      <c r="AM111" s="9">
        <v>4.1794252500000004</v>
      </c>
      <c r="AN111" s="9">
        <v>21.345370199999994</v>
      </c>
      <c r="AO111" s="9">
        <v>42.690740399999989</v>
      </c>
      <c r="AP111" s="9">
        <v>0</v>
      </c>
      <c r="AQ111" s="25">
        <v>0</v>
      </c>
      <c r="AR111" s="9">
        <f t="shared" si="34"/>
        <v>0</v>
      </c>
      <c r="AS111" s="25">
        <v>0</v>
      </c>
      <c r="AT111" s="9">
        <f t="shared" si="35"/>
        <v>0</v>
      </c>
      <c r="AU111" s="9">
        <v>0</v>
      </c>
      <c r="AV111" s="25">
        <v>0</v>
      </c>
      <c r="AW111" s="9">
        <f t="shared" si="36"/>
        <v>0</v>
      </c>
      <c r="AX111" s="25">
        <v>0</v>
      </c>
      <c r="AY111" s="9">
        <f t="shared" si="37"/>
        <v>0</v>
      </c>
      <c r="AZ111" s="9">
        <v>0</v>
      </c>
      <c r="BA111" s="25">
        <v>0</v>
      </c>
      <c r="BB111" s="9">
        <f t="shared" si="38"/>
        <v>0</v>
      </c>
      <c r="BC111" s="25">
        <v>0</v>
      </c>
      <c r="BD111" s="9">
        <f t="shared" si="39"/>
        <v>0</v>
      </c>
      <c r="BE111" s="9">
        <v>0</v>
      </c>
      <c r="BF111" s="9">
        <v>0</v>
      </c>
      <c r="BG111" s="9">
        <f t="shared" si="40"/>
        <v>0</v>
      </c>
      <c r="BH111" s="9">
        <v>0</v>
      </c>
      <c r="BI111" s="9">
        <f t="shared" si="41"/>
        <v>0</v>
      </c>
      <c r="BJ111" s="9">
        <v>0</v>
      </c>
      <c r="BK111" s="9">
        <v>0</v>
      </c>
      <c r="BL111" s="9">
        <f t="shared" si="42"/>
        <v>0</v>
      </c>
      <c r="BM111" s="9">
        <v>0</v>
      </c>
      <c r="BN111" s="9">
        <f t="shared" si="43"/>
        <v>0</v>
      </c>
      <c r="BO111" s="9">
        <v>0</v>
      </c>
      <c r="BP111" s="9">
        <v>0</v>
      </c>
      <c r="BQ111" s="9">
        <f t="shared" si="44"/>
        <v>0</v>
      </c>
      <c r="BR111" s="9">
        <v>0</v>
      </c>
      <c r="BS111" s="9">
        <f t="shared" si="45"/>
        <v>0</v>
      </c>
      <c r="BT111" s="9">
        <f t="shared" si="46"/>
        <v>0</v>
      </c>
      <c r="BU111" s="9">
        <f t="shared" si="47"/>
        <v>0</v>
      </c>
      <c r="BV111" s="9">
        <f t="shared" si="48"/>
        <v>181.10842749999998</v>
      </c>
      <c r="BW111">
        <f t="shared" si="49"/>
        <v>181.10842749999998</v>
      </c>
      <c r="BX111">
        <v>0</v>
      </c>
      <c r="BY111">
        <f t="shared" si="50"/>
        <v>915.00486923999983</v>
      </c>
      <c r="BZ111">
        <v>377.38614513599993</v>
      </c>
      <c r="CA111">
        <f t="shared" si="51"/>
        <v>1829.7484273640002</v>
      </c>
      <c r="CB111">
        <f t="shared" si="52"/>
        <v>3303.24786924</v>
      </c>
      <c r="CC111">
        <v>0</v>
      </c>
      <c r="CD111">
        <v>0</v>
      </c>
      <c r="CE111">
        <f t="shared" si="53"/>
        <v>0</v>
      </c>
      <c r="CF111">
        <f t="shared" si="54"/>
        <v>2388.2429999999999</v>
      </c>
      <c r="CG111">
        <f t="shared" si="55"/>
        <v>1829.7484273640002</v>
      </c>
      <c r="CH111">
        <f t="shared" si="56"/>
        <v>0</v>
      </c>
      <c r="CJ111" t="s">
        <v>278</v>
      </c>
      <c r="CL111" t="str">
        <f t="shared" si="57"/>
        <v/>
      </c>
    </row>
    <row r="112" spans="1:90" x14ac:dyDescent="0.25">
      <c r="A112" t="s">
        <v>108</v>
      </c>
      <c r="B112" t="s">
        <v>186</v>
      </c>
      <c r="C112" s="1">
        <v>46296</v>
      </c>
      <c r="D112" t="s">
        <v>174</v>
      </c>
      <c r="E112" t="s">
        <v>175</v>
      </c>
      <c r="F112" s="4">
        <v>1</v>
      </c>
      <c r="G112" s="4">
        <v>0.1</v>
      </c>
      <c r="H112" s="9">
        <v>2388.2430000000004</v>
      </c>
      <c r="I112" s="9">
        <v>398.04050000000007</v>
      </c>
      <c r="J112" s="9">
        <f t="shared" si="29"/>
        <v>2786.2835000000005</v>
      </c>
      <c r="K112" s="9">
        <v>0</v>
      </c>
      <c r="L112" s="9">
        <f t="shared" si="30"/>
        <v>0</v>
      </c>
      <c r="M112">
        <v>0</v>
      </c>
      <c r="N112" s="4">
        <f t="shared" si="31"/>
        <v>0</v>
      </c>
      <c r="O112" s="9">
        <v>2171.13</v>
      </c>
      <c r="P112" s="9">
        <v>217.11300000000003</v>
      </c>
      <c r="Q112" s="9">
        <v>0</v>
      </c>
      <c r="R112" s="9">
        <v>0</v>
      </c>
      <c r="S112" s="9">
        <v>0</v>
      </c>
      <c r="T112" s="9">
        <v>0</v>
      </c>
      <c r="U112" s="9">
        <v>0</v>
      </c>
      <c r="V112" s="9">
        <v>0</v>
      </c>
      <c r="W112" s="9">
        <f t="shared" si="32"/>
        <v>2388.2429999999999</v>
      </c>
      <c r="X112" s="9">
        <v>398.04050000000007</v>
      </c>
      <c r="Y112" s="9">
        <v>0</v>
      </c>
      <c r="Z112" s="9">
        <v>2786.2835</v>
      </c>
      <c r="AA112" s="9">
        <v>0</v>
      </c>
      <c r="AB112" s="9">
        <f t="shared" si="33"/>
        <v>2786.2835</v>
      </c>
      <c r="AC112" s="9">
        <v>2786.2835</v>
      </c>
      <c r="AD112" s="9">
        <v>0</v>
      </c>
      <c r="AE112" s="9">
        <v>2388.2429999999999</v>
      </c>
      <c r="AF112" s="9">
        <v>130.95532449999999</v>
      </c>
      <c r="AG112" s="9">
        <v>671.66764895999984</v>
      </c>
      <c r="AH112" s="9">
        <v>43.187394249999997</v>
      </c>
      <c r="AI112" s="9">
        <v>156.53271479999998</v>
      </c>
      <c r="AJ112" s="9">
        <v>5.6920987199999988</v>
      </c>
      <c r="AK112" s="9">
        <v>2.7862835000000001</v>
      </c>
      <c r="AL112" s="9">
        <v>17.076296159999998</v>
      </c>
      <c r="AM112" s="9">
        <v>4.1794252500000004</v>
      </c>
      <c r="AN112" s="9">
        <v>21.345370199999994</v>
      </c>
      <c r="AO112" s="9">
        <v>42.690740399999989</v>
      </c>
      <c r="AP112" s="9">
        <v>0</v>
      </c>
      <c r="AQ112" s="25">
        <v>0</v>
      </c>
      <c r="AR112" s="9">
        <f t="shared" si="34"/>
        <v>0</v>
      </c>
      <c r="AS112" s="25">
        <v>0</v>
      </c>
      <c r="AT112" s="9">
        <f t="shared" si="35"/>
        <v>0</v>
      </c>
      <c r="AU112" s="9">
        <v>0</v>
      </c>
      <c r="AV112" s="25">
        <v>0</v>
      </c>
      <c r="AW112" s="9">
        <f t="shared" si="36"/>
        <v>0</v>
      </c>
      <c r="AX112" s="25">
        <v>0</v>
      </c>
      <c r="AY112" s="9">
        <f t="shared" si="37"/>
        <v>0</v>
      </c>
      <c r="AZ112" s="9">
        <v>0</v>
      </c>
      <c r="BA112" s="25">
        <v>0</v>
      </c>
      <c r="BB112" s="9">
        <f t="shared" si="38"/>
        <v>0</v>
      </c>
      <c r="BC112" s="25">
        <v>0</v>
      </c>
      <c r="BD112" s="9">
        <f t="shared" si="39"/>
        <v>0</v>
      </c>
      <c r="BE112" s="9">
        <v>0</v>
      </c>
      <c r="BF112" s="9">
        <v>0</v>
      </c>
      <c r="BG112" s="9">
        <f t="shared" si="40"/>
        <v>0</v>
      </c>
      <c r="BH112" s="9">
        <v>0</v>
      </c>
      <c r="BI112" s="9">
        <f t="shared" si="41"/>
        <v>0</v>
      </c>
      <c r="BJ112" s="9">
        <v>0</v>
      </c>
      <c r="BK112" s="9">
        <v>0</v>
      </c>
      <c r="BL112" s="9">
        <f t="shared" si="42"/>
        <v>0</v>
      </c>
      <c r="BM112" s="9">
        <v>0</v>
      </c>
      <c r="BN112" s="9">
        <f t="shared" si="43"/>
        <v>0</v>
      </c>
      <c r="BO112" s="9">
        <v>0</v>
      </c>
      <c r="BP112" s="9">
        <v>0</v>
      </c>
      <c r="BQ112" s="9">
        <f t="shared" si="44"/>
        <v>0</v>
      </c>
      <c r="BR112" s="9">
        <v>0</v>
      </c>
      <c r="BS112" s="9">
        <f t="shared" si="45"/>
        <v>0</v>
      </c>
      <c r="BT112" s="9">
        <f t="shared" si="46"/>
        <v>0</v>
      </c>
      <c r="BU112" s="9">
        <f t="shared" si="47"/>
        <v>0</v>
      </c>
      <c r="BV112" s="9">
        <f t="shared" si="48"/>
        <v>181.10842749999998</v>
      </c>
      <c r="BW112">
        <f t="shared" si="49"/>
        <v>181.10842749999998</v>
      </c>
      <c r="BX112">
        <v>0</v>
      </c>
      <c r="BY112">
        <f t="shared" si="50"/>
        <v>915.00486923999983</v>
      </c>
      <c r="BZ112">
        <v>377.38614513599993</v>
      </c>
      <c r="CA112">
        <f t="shared" si="51"/>
        <v>1829.7484273640002</v>
      </c>
      <c r="CB112">
        <f t="shared" si="52"/>
        <v>3303.24786924</v>
      </c>
      <c r="CC112">
        <v>0</v>
      </c>
      <c r="CD112">
        <v>0</v>
      </c>
      <c r="CE112">
        <f t="shared" si="53"/>
        <v>0</v>
      </c>
      <c r="CF112">
        <f t="shared" si="54"/>
        <v>2388.2429999999999</v>
      </c>
      <c r="CG112">
        <f t="shared" si="55"/>
        <v>1829.7484273640002</v>
      </c>
      <c r="CH112">
        <f t="shared" si="56"/>
        <v>0</v>
      </c>
      <c r="CJ112" t="s">
        <v>278</v>
      </c>
      <c r="CL112" t="str">
        <f t="shared" si="57"/>
        <v/>
      </c>
    </row>
    <row r="113" spans="1:90" x14ac:dyDescent="0.25">
      <c r="A113" t="s">
        <v>108</v>
      </c>
      <c r="B113" t="s">
        <v>187</v>
      </c>
      <c r="C113" s="1">
        <v>46327</v>
      </c>
      <c r="D113" t="s">
        <v>174</v>
      </c>
      <c r="E113" t="s">
        <v>175</v>
      </c>
      <c r="F113" s="4">
        <v>1</v>
      </c>
      <c r="G113" s="4">
        <v>0.1</v>
      </c>
      <c r="H113" s="9">
        <v>2388.2430000000004</v>
      </c>
      <c r="I113" s="9">
        <v>398.04050000000007</v>
      </c>
      <c r="J113" s="9">
        <f t="shared" si="29"/>
        <v>2786.2835000000005</v>
      </c>
      <c r="K113" s="9">
        <v>0</v>
      </c>
      <c r="L113" s="9">
        <f t="shared" si="30"/>
        <v>0</v>
      </c>
      <c r="M113">
        <v>0</v>
      </c>
      <c r="N113" s="4">
        <f t="shared" si="31"/>
        <v>0</v>
      </c>
      <c r="O113" s="9">
        <v>2171.13</v>
      </c>
      <c r="P113" s="9">
        <v>217.11300000000003</v>
      </c>
      <c r="Q113" s="9">
        <v>0</v>
      </c>
      <c r="R113" s="9">
        <v>0</v>
      </c>
      <c r="S113" s="9">
        <v>0</v>
      </c>
      <c r="T113" s="9">
        <v>0</v>
      </c>
      <c r="U113" s="9">
        <v>0</v>
      </c>
      <c r="V113" s="9">
        <v>0</v>
      </c>
      <c r="W113" s="9">
        <f t="shared" si="32"/>
        <v>2388.2429999999999</v>
      </c>
      <c r="X113" s="9">
        <v>398.04050000000007</v>
      </c>
      <c r="Y113" s="9">
        <v>0</v>
      </c>
      <c r="Z113" s="9">
        <v>2786.2835</v>
      </c>
      <c r="AA113" s="9">
        <v>0</v>
      </c>
      <c r="AB113" s="9">
        <f t="shared" si="33"/>
        <v>2786.2835</v>
      </c>
      <c r="AC113" s="9">
        <v>2786.2835</v>
      </c>
      <c r="AD113" s="9">
        <v>0</v>
      </c>
      <c r="AE113" s="9">
        <v>2388.2429999999999</v>
      </c>
      <c r="AF113" s="9">
        <v>130.95532449999999</v>
      </c>
      <c r="AG113" s="9">
        <v>671.66764895999984</v>
      </c>
      <c r="AH113" s="9">
        <v>43.187394249999997</v>
      </c>
      <c r="AI113" s="9">
        <v>156.53271479999998</v>
      </c>
      <c r="AJ113" s="9">
        <v>5.6920987199999988</v>
      </c>
      <c r="AK113" s="9">
        <v>2.7862835000000001</v>
      </c>
      <c r="AL113" s="9">
        <v>17.076296159999998</v>
      </c>
      <c r="AM113" s="9">
        <v>4.1794252500000004</v>
      </c>
      <c r="AN113" s="9">
        <v>21.345370199999994</v>
      </c>
      <c r="AO113" s="9">
        <v>42.690740399999989</v>
      </c>
      <c r="AP113" s="9">
        <v>0</v>
      </c>
      <c r="AQ113" s="25">
        <v>0</v>
      </c>
      <c r="AR113" s="9">
        <f t="shared" si="34"/>
        <v>0</v>
      </c>
      <c r="AS113" s="25">
        <v>0</v>
      </c>
      <c r="AT113" s="9">
        <f t="shared" si="35"/>
        <v>0</v>
      </c>
      <c r="AU113" s="9">
        <v>0</v>
      </c>
      <c r="AV113" s="25">
        <v>0</v>
      </c>
      <c r="AW113" s="9">
        <f t="shared" si="36"/>
        <v>0</v>
      </c>
      <c r="AX113" s="25">
        <v>0</v>
      </c>
      <c r="AY113" s="9">
        <f t="shared" si="37"/>
        <v>0</v>
      </c>
      <c r="AZ113" s="9">
        <v>0</v>
      </c>
      <c r="BA113" s="25">
        <v>0</v>
      </c>
      <c r="BB113" s="9">
        <f t="shared" si="38"/>
        <v>0</v>
      </c>
      <c r="BC113" s="25">
        <v>0</v>
      </c>
      <c r="BD113" s="9">
        <f t="shared" si="39"/>
        <v>0</v>
      </c>
      <c r="BE113" s="9">
        <v>0</v>
      </c>
      <c r="BF113" s="9">
        <v>0</v>
      </c>
      <c r="BG113" s="9">
        <f t="shared" si="40"/>
        <v>0</v>
      </c>
      <c r="BH113" s="9">
        <v>0</v>
      </c>
      <c r="BI113" s="9">
        <f t="shared" si="41"/>
        <v>0</v>
      </c>
      <c r="BJ113" s="9">
        <v>0</v>
      </c>
      <c r="BK113" s="9">
        <v>0</v>
      </c>
      <c r="BL113" s="9">
        <f t="shared" si="42"/>
        <v>0</v>
      </c>
      <c r="BM113" s="9">
        <v>0</v>
      </c>
      <c r="BN113" s="9">
        <f t="shared" si="43"/>
        <v>0</v>
      </c>
      <c r="BO113" s="9">
        <v>0</v>
      </c>
      <c r="BP113" s="9">
        <v>0</v>
      </c>
      <c r="BQ113" s="9">
        <f t="shared" si="44"/>
        <v>0</v>
      </c>
      <c r="BR113" s="9">
        <v>0</v>
      </c>
      <c r="BS113" s="9">
        <f t="shared" si="45"/>
        <v>0</v>
      </c>
      <c r="BT113" s="9">
        <f t="shared" si="46"/>
        <v>0</v>
      </c>
      <c r="BU113" s="9">
        <f t="shared" si="47"/>
        <v>0</v>
      </c>
      <c r="BV113" s="9">
        <f t="shared" si="48"/>
        <v>181.10842749999998</v>
      </c>
      <c r="BW113">
        <f t="shared" si="49"/>
        <v>181.10842749999998</v>
      </c>
      <c r="BX113">
        <v>0</v>
      </c>
      <c r="BY113">
        <f t="shared" si="50"/>
        <v>915.00486923999983</v>
      </c>
      <c r="BZ113">
        <v>377.38614513599993</v>
      </c>
      <c r="CA113">
        <f t="shared" si="51"/>
        <v>1829.7484273640002</v>
      </c>
      <c r="CB113">
        <f t="shared" si="52"/>
        <v>3303.24786924</v>
      </c>
      <c r="CC113">
        <v>0</v>
      </c>
      <c r="CD113">
        <v>0</v>
      </c>
      <c r="CE113">
        <f t="shared" si="53"/>
        <v>0</v>
      </c>
      <c r="CF113">
        <f t="shared" si="54"/>
        <v>2388.2429999999999</v>
      </c>
      <c r="CG113">
        <f t="shared" si="55"/>
        <v>1829.7484273640002</v>
      </c>
      <c r="CH113">
        <f t="shared" si="56"/>
        <v>0</v>
      </c>
      <c r="CJ113" t="s">
        <v>278</v>
      </c>
      <c r="CL113" t="str">
        <f t="shared" si="57"/>
        <v/>
      </c>
    </row>
    <row r="114" spans="1:90" x14ac:dyDescent="0.25">
      <c r="A114" t="s">
        <v>108</v>
      </c>
      <c r="B114" t="s">
        <v>188</v>
      </c>
      <c r="C114" s="1">
        <v>46357</v>
      </c>
      <c r="D114" t="s">
        <v>182</v>
      </c>
      <c r="E114" t="s">
        <v>175</v>
      </c>
      <c r="F114" s="4">
        <v>1</v>
      </c>
      <c r="G114" s="4">
        <v>0.1</v>
      </c>
      <c r="H114" s="9">
        <v>2388.2430000000004</v>
      </c>
      <c r="I114" s="9">
        <v>398.04050000000007</v>
      </c>
      <c r="J114" s="9">
        <f t="shared" si="29"/>
        <v>2786.2835000000005</v>
      </c>
      <c r="K114" s="9">
        <v>0</v>
      </c>
      <c r="L114" s="9">
        <f t="shared" si="30"/>
        <v>0</v>
      </c>
      <c r="M114">
        <v>0</v>
      </c>
      <c r="N114" s="4">
        <f t="shared" si="31"/>
        <v>0</v>
      </c>
      <c r="O114" s="9">
        <v>2171.13</v>
      </c>
      <c r="P114" s="9">
        <v>217.11300000000003</v>
      </c>
      <c r="Q114" s="9">
        <v>0</v>
      </c>
      <c r="R114" s="9">
        <v>0</v>
      </c>
      <c r="S114" s="9">
        <v>0</v>
      </c>
      <c r="T114" s="9">
        <v>0</v>
      </c>
      <c r="U114" s="9">
        <v>0</v>
      </c>
      <c r="V114" s="9">
        <v>0</v>
      </c>
      <c r="W114" s="9">
        <f t="shared" si="32"/>
        <v>2388.2429999999999</v>
      </c>
      <c r="X114" s="9">
        <v>0</v>
      </c>
      <c r="Y114" s="9">
        <v>0</v>
      </c>
      <c r="Z114" s="9">
        <v>0</v>
      </c>
      <c r="AA114" s="9">
        <v>0</v>
      </c>
      <c r="AB114" s="9">
        <f t="shared" si="33"/>
        <v>0</v>
      </c>
      <c r="AC114" s="9">
        <v>0</v>
      </c>
      <c r="AD114" s="9">
        <v>0</v>
      </c>
      <c r="AE114" s="9">
        <v>2388.2429999999999</v>
      </c>
      <c r="AF114" s="9">
        <v>0</v>
      </c>
      <c r="AG114" s="9">
        <v>0</v>
      </c>
      <c r="AH114" s="9">
        <v>0</v>
      </c>
      <c r="AI114" s="9">
        <v>0</v>
      </c>
      <c r="AJ114" s="9">
        <v>0</v>
      </c>
      <c r="AK114" s="9">
        <v>0</v>
      </c>
      <c r="AL114" s="9">
        <v>0</v>
      </c>
      <c r="AM114" s="9">
        <v>0</v>
      </c>
      <c r="AN114" s="9">
        <v>0</v>
      </c>
      <c r="AO114" s="9">
        <v>0</v>
      </c>
      <c r="AP114" s="9">
        <v>0</v>
      </c>
      <c r="AQ114" s="25">
        <v>0</v>
      </c>
      <c r="AR114" s="9">
        <f t="shared" si="34"/>
        <v>0</v>
      </c>
      <c r="AS114" s="25">
        <v>0</v>
      </c>
      <c r="AT114" s="9">
        <f t="shared" si="35"/>
        <v>0</v>
      </c>
      <c r="AU114" s="9">
        <v>0</v>
      </c>
      <c r="AV114" s="25">
        <v>0</v>
      </c>
      <c r="AW114" s="9">
        <f t="shared" si="36"/>
        <v>0</v>
      </c>
      <c r="AX114" s="25">
        <v>0</v>
      </c>
      <c r="AY114" s="9">
        <f t="shared" si="37"/>
        <v>0</v>
      </c>
      <c r="AZ114" s="9">
        <v>0</v>
      </c>
      <c r="BA114" s="25">
        <v>0</v>
      </c>
      <c r="BB114" s="9">
        <f t="shared" si="38"/>
        <v>0</v>
      </c>
      <c r="BC114" s="25">
        <v>0</v>
      </c>
      <c r="BD114" s="9">
        <f t="shared" si="39"/>
        <v>0</v>
      </c>
      <c r="BE114" s="9">
        <v>0</v>
      </c>
      <c r="BF114" s="9">
        <v>0</v>
      </c>
      <c r="BG114" s="9">
        <f t="shared" si="40"/>
        <v>0</v>
      </c>
      <c r="BH114" s="9">
        <v>0</v>
      </c>
      <c r="BI114" s="9">
        <f t="shared" si="41"/>
        <v>0</v>
      </c>
      <c r="BJ114" s="9">
        <v>0</v>
      </c>
      <c r="BK114" s="9">
        <v>0</v>
      </c>
      <c r="BL114" s="9">
        <f t="shared" si="42"/>
        <v>0</v>
      </c>
      <c r="BM114" s="9">
        <v>0</v>
      </c>
      <c r="BN114" s="9">
        <f t="shared" si="43"/>
        <v>0</v>
      </c>
      <c r="BO114" s="9">
        <v>0</v>
      </c>
      <c r="BP114" s="9">
        <v>0</v>
      </c>
      <c r="BQ114" s="9">
        <f t="shared" si="44"/>
        <v>0</v>
      </c>
      <c r="BR114" s="9">
        <v>0</v>
      </c>
      <c r="BS114" s="9">
        <f t="shared" si="45"/>
        <v>0</v>
      </c>
      <c r="BT114" s="9">
        <f t="shared" si="46"/>
        <v>0</v>
      </c>
      <c r="BU114" s="9">
        <f t="shared" si="47"/>
        <v>0</v>
      </c>
      <c r="BV114" s="9">
        <f t="shared" si="48"/>
        <v>0</v>
      </c>
      <c r="BW114">
        <f t="shared" si="49"/>
        <v>0</v>
      </c>
      <c r="BX114">
        <v>0</v>
      </c>
      <c r="BY114">
        <f t="shared" si="50"/>
        <v>0</v>
      </c>
      <c r="BZ114">
        <v>377.38614513599993</v>
      </c>
      <c r="CA114">
        <f t="shared" si="51"/>
        <v>2010.8568548640001</v>
      </c>
      <c r="CB114">
        <f t="shared" si="52"/>
        <v>2388.2429999999999</v>
      </c>
      <c r="CC114">
        <v>0</v>
      </c>
      <c r="CD114">
        <v>0</v>
      </c>
      <c r="CE114">
        <f t="shared" si="53"/>
        <v>0</v>
      </c>
      <c r="CF114">
        <f t="shared" si="54"/>
        <v>2388.2429999999999</v>
      </c>
      <c r="CG114">
        <f t="shared" si="55"/>
        <v>2010.8568548640001</v>
      </c>
      <c r="CH114">
        <f t="shared" si="56"/>
        <v>0</v>
      </c>
      <c r="CJ114" t="s">
        <v>278</v>
      </c>
      <c r="CL114" t="str">
        <f t="shared" si="57"/>
        <v/>
      </c>
    </row>
    <row r="115" spans="1:90" x14ac:dyDescent="0.25">
      <c r="A115" t="s">
        <v>108</v>
      </c>
      <c r="B115" t="s">
        <v>189</v>
      </c>
      <c r="C115" s="1">
        <v>46357</v>
      </c>
      <c r="D115" t="s">
        <v>174</v>
      </c>
      <c r="E115" t="s">
        <v>175</v>
      </c>
      <c r="F115" s="4">
        <v>1</v>
      </c>
      <c r="G115" s="4">
        <v>0.1</v>
      </c>
      <c r="H115" s="9">
        <v>2388.2430000000004</v>
      </c>
      <c r="I115" s="9">
        <v>398.04050000000007</v>
      </c>
      <c r="J115" s="9">
        <f t="shared" si="29"/>
        <v>2786.2835000000005</v>
      </c>
      <c r="K115" s="9">
        <v>0</v>
      </c>
      <c r="L115" s="9">
        <f t="shared" si="30"/>
        <v>0</v>
      </c>
      <c r="M115">
        <v>0</v>
      </c>
      <c r="N115" s="4">
        <f t="shared" si="31"/>
        <v>0</v>
      </c>
      <c r="O115" s="9">
        <v>2171.13</v>
      </c>
      <c r="P115" s="9">
        <v>217.11300000000003</v>
      </c>
      <c r="Q115" s="9">
        <v>0</v>
      </c>
      <c r="R115" s="9">
        <v>0</v>
      </c>
      <c r="S115" s="9">
        <v>0</v>
      </c>
      <c r="T115" s="9">
        <v>0</v>
      </c>
      <c r="U115" s="9">
        <v>0</v>
      </c>
      <c r="V115" s="9">
        <v>0</v>
      </c>
      <c r="W115" s="9">
        <f t="shared" si="32"/>
        <v>2388.2429999999999</v>
      </c>
      <c r="X115" s="9">
        <v>398.04050000000007</v>
      </c>
      <c r="Y115" s="9">
        <v>0</v>
      </c>
      <c r="Z115" s="9">
        <v>2786.2835</v>
      </c>
      <c r="AA115" s="9">
        <v>0</v>
      </c>
      <c r="AB115" s="9">
        <f t="shared" si="33"/>
        <v>2786.2835</v>
      </c>
      <c r="AC115" s="9">
        <v>2786.2835</v>
      </c>
      <c r="AD115" s="9">
        <v>0</v>
      </c>
      <c r="AE115" s="9">
        <v>2388.2429999999999</v>
      </c>
      <c r="AF115" s="9">
        <v>130.95532449999999</v>
      </c>
      <c r="AG115" s="9">
        <v>671.66764895999984</v>
      </c>
      <c r="AH115" s="9">
        <v>43.187394249999997</v>
      </c>
      <c r="AI115" s="9">
        <v>156.53271479999998</v>
      </c>
      <c r="AJ115" s="9">
        <v>5.6920987199999988</v>
      </c>
      <c r="AK115" s="9">
        <v>2.7862835000000001</v>
      </c>
      <c r="AL115" s="9">
        <v>17.076296159999998</v>
      </c>
      <c r="AM115" s="9">
        <v>4.1794252500000004</v>
      </c>
      <c r="AN115" s="9">
        <v>21.345370199999994</v>
      </c>
      <c r="AO115" s="9">
        <v>42.690740399999989</v>
      </c>
      <c r="AP115" s="9">
        <v>0</v>
      </c>
      <c r="AQ115" s="25">
        <v>0</v>
      </c>
      <c r="AR115" s="9">
        <f t="shared" si="34"/>
        <v>0</v>
      </c>
      <c r="AS115" s="25">
        <v>0</v>
      </c>
      <c r="AT115" s="9">
        <f t="shared" si="35"/>
        <v>0</v>
      </c>
      <c r="AU115" s="9">
        <v>0</v>
      </c>
      <c r="AV115" s="25">
        <v>0</v>
      </c>
      <c r="AW115" s="9">
        <f t="shared" si="36"/>
        <v>0</v>
      </c>
      <c r="AX115" s="25">
        <v>0</v>
      </c>
      <c r="AY115" s="9">
        <f t="shared" si="37"/>
        <v>0</v>
      </c>
      <c r="AZ115" s="9">
        <v>0</v>
      </c>
      <c r="BA115" s="25">
        <v>0</v>
      </c>
      <c r="BB115" s="9">
        <f t="shared" si="38"/>
        <v>0</v>
      </c>
      <c r="BC115" s="25">
        <v>0</v>
      </c>
      <c r="BD115" s="9">
        <f t="shared" si="39"/>
        <v>0</v>
      </c>
      <c r="BE115" s="9">
        <v>0</v>
      </c>
      <c r="BF115" s="9">
        <v>0</v>
      </c>
      <c r="BG115" s="9">
        <f t="shared" si="40"/>
        <v>0</v>
      </c>
      <c r="BH115" s="9">
        <v>0</v>
      </c>
      <c r="BI115" s="9">
        <f t="shared" si="41"/>
        <v>0</v>
      </c>
      <c r="BJ115" s="9">
        <v>0</v>
      </c>
      <c r="BK115" s="9">
        <v>0</v>
      </c>
      <c r="BL115" s="9">
        <f t="shared" si="42"/>
        <v>0</v>
      </c>
      <c r="BM115" s="9">
        <v>0</v>
      </c>
      <c r="BN115" s="9">
        <f t="shared" si="43"/>
        <v>0</v>
      </c>
      <c r="BO115" s="9">
        <v>0</v>
      </c>
      <c r="BP115" s="9">
        <v>0</v>
      </c>
      <c r="BQ115" s="9">
        <f t="shared" si="44"/>
        <v>0</v>
      </c>
      <c r="BR115" s="9">
        <v>0</v>
      </c>
      <c r="BS115" s="9">
        <f t="shared" si="45"/>
        <v>0</v>
      </c>
      <c r="BT115" s="9">
        <f t="shared" si="46"/>
        <v>0</v>
      </c>
      <c r="BU115" s="9">
        <f t="shared" si="47"/>
        <v>0</v>
      </c>
      <c r="BV115" s="9">
        <f t="shared" si="48"/>
        <v>181.10842749999998</v>
      </c>
      <c r="BW115">
        <f t="shared" si="49"/>
        <v>181.10842749999998</v>
      </c>
      <c r="BX115">
        <v>0</v>
      </c>
      <c r="BY115">
        <f t="shared" si="50"/>
        <v>915.00486923999983</v>
      </c>
      <c r="BZ115">
        <v>377.38614513599993</v>
      </c>
      <c r="CA115">
        <f t="shared" si="51"/>
        <v>1829.7484273640002</v>
      </c>
      <c r="CB115">
        <f t="shared" si="52"/>
        <v>3303.24786924</v>
      </c>
      <c r="CC115">
        <v>0</v>
      </c>
      <c r="CD115">
        <v>0</v>
      </c>
      <c r="CE115">
        <f t="shared" si="53"/>
        <v>0</v>
      </c>
      <c r="CF115">
        <f t="shared" si="54"/>
        <v>2388.2429999999999</v>
      </c>
      <c r="CG115">
        <f t="shared" si="55"/>
        <v>1829.7484273640002</v>
      </c>
      <c r="CH115">
        <f t="shared" si="56"/>
        <v>0</v>
      </c>
      <c r="CJ115" t="s">
        <v>278</v>
      </c>
      <c r="CL115" t="str">
        <f t="shared" si="57"/>
        <v/>
      </c>
    </row>
    <row r="116" spans="1:90" x14ac:dyDescent="0.25">
      <c r="A116" t="s">
        <v>110</v>
      </c>
      <c r="B116" t="s">
        <v>173</v>
      </c>
      <c r="C116" s="1">
        <v>46023</v>
      </c>
      <c r="D116" t="s">
        <v>174</v>
      </c>
      <c r="E116" t="s">
        <v>175</v>
      </c>
      <c r="F116" s="4">
        <v>1</v>
      </c>
      <c r="G116" s="4">
        <v>0.25</v>
      </c>
      <c r="H116" s="9">
        <v>13491.8</v>
      </c>
      <c r="I116" s="9">
        <v>2248.6333333333332</v>
      </c>
      <c r="J116" s="9">
        <f t="shared" si="29"/>
        <v>15740.433333333332</v>
      </c>
      <c r="K116" s="9">
        <v>0</v>
      </c>
      <c r="L116" s="9">
        <f t="shared" si="30"/>
        <v>0</v>
      </c>
      <c r="M116">
        <v>0</v>
      </c>
      <c r="N116" s="4">
        <f t="shared" si="31"/>
        <v>0</v>
      </c>
      <c r="O116" s="9">
        <v>10289.43</v>
      </c>
      <c r="P116" s="9">
        <v>2698.3599999999997</v>
      </c>
      <c r="Q116" s="9">
        <v>42.07</v>
      </c>
      <c r="R116" s="9">
        <v>113</v>
      </c>
      <c r="S116" s="9">
        <v>126.22</v>
      </c>
      <c r="T116" s="9">
        <v>222.72</v>
      </c>
      <c r="U116" s="9">
        <v>0</v>
      </c>
      <c r="V116" s="9">
        <v>0</v>
      </c>
      <c r="W116" s="9">
        <f t="shared" si="32"/>
        <v>13491.8</v>
      </c>
      <c r="X116" s="9">
        <v>2248.6333333333332</v>
      </c>
      <c r="Y116" s="9">
        <v>0</v>
      </c>
      <c r="Z116" s="9">
        <v>15740.433333333332</v>
      </c>
      <c r="AA116" s="9">
        <v>0</v>
      </c>
      <c r="AB116" s="9">
        <f t="shared" si="33"/>
        <v>15740.433333333332</v>
      </c>
      <c r="AC116" s="9">
        <v>5101.2</v>
      </c>
      <c r="AD116" s="9">
        <v>0</v>
      </c>
      <c r="AE116" s="9">
        <v>13323.51</v>
      </c>
      <c r="AF116" s="9">
        <v>239.75639999999999</v>
      </c>
      <c r="AG116" s="9">
        <v>1203.8832</v>
      </c>
      <c r="AH116" s="9">
        <v>79.068600000000004</v>
      </c>
      <c r="AI116" s="9">
        <v>280.56599999999997</v>
      </c>
      <c r="AJ116" s="9">
        <v>10.202399999999999</v>
      </c>
      <c r="AK116" s="9">
        <v>5.1011999999999995</v>
      </c>
      <c r="AL116" s="9">
        <v>30.607199999999999</v>
      </c>
      <c r="AM116" s="9">
        <v>7.6517999999999997</v>
      </c>
      <c r="AN116" s="9">
        <v>38.259</v>
      </c>
      <c r="AO116" s="9">
        <v>76.518000000000001</v>
      </c>
      <c r="AP116" s="9">
        <v>510.11999999999989</v>
      </c>
      <c r="AQ116" s="25">
        <v>1.9E-3</v>
      </c>
      <c r="AR116" s="9">
        <f t="shared" si="34"/>
        <v>0.96922799999999976</v>
      </c>
      <c r="AS116" s="25">
        <v>9.5999999999999992E-3</v>
      </c>
      <c r="AT116" s="9">
        <f t="shared" si="35"/>
        <v>4.8971519999999984</v>
      </c>
      <c r="AU116" s="9">
        <v>2040.4800000000005</v>
      </c>
      <c r="AV116" s="25">
        <v>2.0999999999999999E-3</v>
      </c>
      <c r="AW116" s="9">
        <f t="shared" si="36"/>
        <v>4.2850080000000004</v>
      </c>
      <c r="AX116" s="25">
        <v>1.04E-2</v>
      </c>
      <c r="AY116" s="9">
        <f t="shared" si="37"/>
        <v>21.220992000000003</v>
      </c>
      <c r="AZ116" s="9">
        <v>8088.6333333333323</v>
      </c>
      <c r="BA116" s="25">
        <v>2.3999999999999998E-3</v>
      </c>
      <c r="BB116" s="9">
        <f t="shared" si="38"/>
        <v>19.412719999999997</v>
      </c>
      <c r="BC116" s="25">
        <v>1.2200000000000001E-2</v>
      </c>
      <c r="BD116" s="9">
        <f t="shared" si="39"/>
        <v>98.681326666666664</v>
      </c>
      <c r="BE116" s="9">
        <v>510.11999999999989</v>
      </c>
      <c r="BF116" s="9">
        <v>1.9E-3</v>
      </c>
      <c r="BG116" s="9">
        <f t="shared" si="40"/>
        <v>0.96922799999999976</v>
      </c>
      <c r="BH116" s="9">
        <v>9.5999999999999992E-3</v>
      </c>
      <c r="BI116" s="9">
        <f t="shared" si="41"/>
        <v>4.8971519999999984</v>
      </c>
      <c r="BJ116" s="9">
        <v>2040.4800000000005</v>
      </c>
      <c r="BK116" s="9">
        <v>2.0999999999999999E-3</v>
      </c>
      <c r="BL116" s="9">
        <f t="shared" si="42"/>
        <v>4.2850080000000004</v>
      </c>
      <c r="BM116" s="9">
        <v>1.04E-2</v>
      </c>
      <c r="BN116" s="9">
        <f t="shared" si="43"/>
        <v>21.220992000000003</v>
      </c>
      <c r="BO116" s="9">
        <v>7816.114583333333</v>
      </c>
      <c r="BP116" s="9">
        <v>2.3999999999999998E-3</v>
      </c>
      <c r="BQ116" s="9">
        <f t="shared" si="44"/>
        <v>18.758674999999997</v>
      </c>
      <c r="BR116" s="9">
        <v>1.2200000000000001E-2</v>
      </c>
      <c r="BS116" s="9">
        <f t="shared" si="45"/>
        <v>95.356597916666672</v>
      </c>
      <c r="BT116" s="9">
        <f t="shared" si="46"/>
        <v>24.666955999999999</v>
      </c>
      <c r="BU116" s="9">
        <f t="shared" si="47"/>
        <v>124.79947066666666</v>
      </c>
      <c r="BV116" s="9">
        <f t="shared" si="48"/>
        <v>356.244956</v>
      </c>
      <c r="BW116">
        <f t="shared" si="49"/>
        <v>356.244956</v>
      </c>
      <c r="BX116">
        <v>0</v>
      </c>
      <c r="BY116">
        <f t="shared" si="50"/>
        <v>1764.8352706666665</v>
      </c>
      <c r="BZ116">
        <v>4974.7975500000002</v>
      </c>
      <c r="CA116">
        <f t="shared" si="51"/>
        <v>8160.7574939999986</v>
      </c>
      <c r="CB116">
        <f t="shared" si="52"/>
        <v>15256.635270666666</v>
      </c>
      <c r="CC116">
        <v>0</v>
      </c>
      <c r="CD116">
        <v>0</v>
      </c>
      <c r="CE116">
        <f t="shared" si="53"/>
        <v>0</v>
      </c>
      <c r="CF116">
        <f t="shared" si="54"/>
        <v>13491.8</v>
      </c>
      <c r="CG116">
        <f t="shared" si="55"/>
        <v>8160.7574939999986</v>
      </c>
      <c r="CH116">
        <f t="shared" si="56"/>
        <v>0</v>
      </c>
      <c r="CJ116" t="s">
        <v>278</v>
      </c>
      <c r="CL116" t="str">
        <f t="shared" si="57"/>
        <v/>
      </c>
    </row>
    <row r="117" spans="1:90" x14ac:dyDescent="0.25">
      <c r="A117" t="s">
        <v>110</v>
      </c>
      <c r="B117" t="s">
        <v>176</v>
      </c>
      <c r="C117" s="1">
        <v>46054</v>
      </c>
      <c r="D117" t="s">
        <v>174</v>
      </c>
      <c r="E117" t="s">
        <v>175</v>
      </c>
      <c r="F117" s="4">
        <v>1</v>
      </c>
      <c r="G117" s="4">
        <v>0.25</v>
      </c>
      <c r="H117" s="9">
        <v>13491.8</v>
      </c>
      <c r="I117" s="9">
        <v>2248.6333333333332</v>
      </c>
      <c r="J117" s="9">
        <f t="shared" si="29"/>
        <v>15740.433333333332</v>
      </c>
      <c r="K117" s="9">
        <v>0</v>
      </c>
      <c r="L117" s="9">
        <f t="shared" si="30"/>
        <v>0</v>
      </c>
      <c r="M117">
        <v>0</v>
      </c>
      <c r="N117" s="4">
        <f t="shared" si="31"/>
        <v>0</v>
      </c>
      <c r="O117" s="9">
        <v>10289.43</v>
      </c>
      <c r="P117" s="9">
        <v>2698.3599999999997</v>
      </c>
      <c r="Q117" s="9">
        <v>42.07</v>
      </c>
      <c r="R117" s="9">
        <v>113</v>
      </c>
      <c r="S117" s="9">
        <v>126.22</v>
      </c>
      <c r="T117" s="9">
        <v>222.72</v>
      </c>
      <c r="U117" s="9">
        <v>0</v>
      </c>
      <c r="V117" s="9">
        <v>0</v>
      </c>
      <c r="W117" s="9">
        <f t="shared" si="32"/>
        <v>13491.8</v>
      </c>
      <c r="X117" s="9">
        <v>2248.6333333333332</v>
      </c>
      <c r="Y117" s="9">
        <v>0</v>
      </c>
      <c r="Z117" s="9">
        <v>15740.433333333332</v>
      </c>
      <c r="AA117" s="9">
        <v>0</v>
      </c>
      <c r="AB117" s="9">
        <f t="shared" si="33"/>
        <v>15740.433333333332</v>
      </c>
      <c r="AC117" s="9">
        <v>5101.2</v>
      </c>
      <c r="AD117" s="9">
        <v>0</v>
      </c>
      <c r="AE117" s="9">
        <v>13323.51</v>
      </c>
      <c r="AF117" s="9">
        <v>239.75639999999999</v>
      </c>
      <c r="AG117" s="9">
        <v>1203.8832</v>
      </c>
      <c r="AH117" s="9">
        <v>79.068600000000004</v>
      </c>
      <c r="AI117" s="9">
        <v>280.56599999999997</v>
      </c>
      <c r="AJ117" s="9">
        <v>10.202399999999999</v>
      </c>
      <c r="AK117" s="9">
        <v>5.1011999999999995</v>
      </c>
      <c r="AL117" s="9">
        <v>30.607199999999999</v>
      </c>
      <c r="AM117" s="9">
        <v>7.6517999999999997</v>
      </c>
      <c r="AN117" s="9">
        <v>38.259</v>
      </c>
      <c r="AO117" s="9">
        <v>76.518000000000001</v>
      </c>
      <c r="AP117" s="9">
        <v>510.11999999999989</v>
      </c>
      <c r="AQ117" s="25">
        <v>1.9E-3</v>
      </c>
      <c r="AR117" s="9">
        <f t="shared" si="34"/>
        <v>0.96922799999999976</v>
      </c>
      <c r="AS117" s="25">
        <v>9.5999999999999992E-3</v>
      </c>
      <c r="AT117" s="9">
        <f t="shared" si="35"/>
        <v>4.8971519999999984</v>
      </c>
      <c r="AU117" s="9">
        <v>2040.4800000000005</v>
      </c>
      <c r="AV117" s="25">
        <v>2.0999999999999999E-3</v>
      </c>
      <c r="AW117" s="9">
        <f t="shared" si="36"/>
        <v>4.2850080000000004</v>
      </c>
      <c r="AX117" s="25">
        <v>1.04E-2</v>
      </c>
      <c r="AY117" s="9">
        <f t="shared" si="37"/>
        <v>21.220992000000003</v>
      </c>
      <c r="AZ117" s="9">
        <v>8088.6333333333323</v>
      </c>
      <c r="BA117" s="25">
        <v>2.3999999999999998E-3</v>
      </c>
      <c r="BB117" s="9">
        <f t="shared" si="38"/>
        <v>19.412719999999997</v>
      </c>
      <c r="BC117" s="25">
        <v>1.2200000000000001E-2</v>
      </c>
      <c r="BD117" s="9">
        <f t="shared" si="39"/>
        <v>98.681326666666664</v>
      </c>
      <c r="BE117" s="9">
        <v>510.11999999999989</v>
      </c>
      <c r="BF117" s="9">
        <v>1.9E-3</v>
      </c>
      <c r="BG117" s="9">
        <f t="shared" si="40"/>
        <v>0.96922799999999976</v>
      </c>
      <c r="BH117" s="9">
        <v>9.5999999999999992E-3</v>
      </c>
      <c r="BI117" s="9">
        <f t="shared" si="41"/>
        <v>4.8971519999999984</v>
      </c>
      <c r="BJ117" s="9">
        <v>2040.4800000000005</v>
      </c>
      <c r="BK117" s="9">
        <v>2.0999999999999999E-3</v>
      </c>
      <c r="BL117" s="9">
        <f t="shared" si="42"/>
        <v>4.2850080000000004</v>
      </c>
      <c r="BM117" s="9">
        <v>1.04E-2</v>
      </c>
      <c r="BN117" s="9">
        <f t="shared" si="43"/>
        <v>21.220992000000003</v>
      </c>
      <c r="BO117" s="9">
        <v>7816.114583333333</v>
      </c>
      <c r="BP117" s="9">
        <v>2.3999999999999998E-3</v>
      </c>
      <c r="BQ117" s="9">
        <f t="shared" si="44"/>
        <v>18.758674999999997</v>
      </c>
      <c r="BR117" s="9">
        <v>1.2200000000000001E-2</v>
      </c>
      <c r="BS117" s="9">
        <f t="shared" si="45"/>
        <v>95.356597916666672</v>
      </c>
      <c r="BT117" s="9">
        <f t="shared" si="46"/>
        <v>24.666955999999999</v>
      </c>
      <c r="BU117" s="9">
        <f t="shared" si="47"/>
        <v>124.79947066666666</v>
      </c>
      <c r="BV117" s="9">
        <f t="shared" si="48"/>
        <v>356.244956</v>
      </c>
      <c r="BW117">
        <f t="shared" si="49"/>
        <v>356.244956</v>
      </c>
      <c r="BX117">
        <v>0</v>
      </c>
      <c r="BY117">
        <f t="shared" si="50"/>
        <v>1764.8352706666665</v>
      </c>
      <c r="BZ117">
        <v>4974.7975500000002</v>
      </c>
      <c r="CA117">
        <f t="shared" si="51"/>
        <v>8160.7574939999986</v>
      </c>
      <c r="CB117">
        <f t="shared" si="52"/>
        <v>15256.635270666666</v>
      </c>
      <c r="CC117">
        <v>0</v>
      </c>
      <c r="CD117">
        <v>0</v>
      </c>
      <c r="CE117">
        <f t="shared" si="53"/>
        <v>0</v>
      </c>
      <c r="CF117">
        <f t="shared" si="54"/>
        <v>13491.8</v>
      </c>
      <c r="CG117">
        <f t="shared" si="55"/>
        <v>8160.7574939999986</v>
      </c>
      <c r="CH117">
        <f t="shared" si="56"/>
        <v>0</v>
      </c>
      <c r="CJ117" t="s">
        <v>278</v>
      </c>
      <c r="CL117" t="str">
        <f t="shared" si="57"/>
        <v/>
      </c>
    </row>
    <row r="118" spans="1:90" x14ac:dyDescent="0.25">
      <c r="A118" t="s">
        <v>110</v>
      </c>
      <c r="B118" t="s">
        <v>177</v>
      </c>
      <c r="C118" s="1">
        <v>46082</v>
      </c>
      <c r="D118" t="s">
        <v>174</v>
      </c>
      <c r="E118" t="s">
        <v>175</v>
      </c>
      <c r="F118" s="4">
        <v>1</v>
      </c>
      <c r="G118" s="4">
        <v>0.25</v>
      </c>
      <c r="H118" s="9">
        <v>13491.8</v>
      </c>
      <c r="I118" s="9">
        <v>2248.6333333333332</v>
      </c>
      <c r="J118" s="9">
        <f t="shared" si="29"/>
        <v>15740.433333333332</v>
      </c>
      <c r="K118" s="9">
        <v>0</v>
      </c>
      <c r="L118" s="9">
        <f t="shared" si="30"/>
        <v>0</v>
      </c>
      <c r="M118">
        <v>0</v>
      </c>
      <c r="N118" s="4">
        <f t="shared" si="31"/>
        <v>0</v>
      </c>
      <c r="O118" s="9">
        <v>10289.43</v>
      </c>
      <c r="P118" s="9">
        <v>2698.3599999999997</v>
      </c>
      <c r="Q118" s="9">
        <v>42.07</v>
      </c>
      <c r="R118" s="9">
        <v>113</v>
      </c>
      <c r="S118" s="9">
        <v>126.22</v>
      </c>
      <c r="T118" s="9">
        <v>222.72</v>
      </c>
      <c r="U118" s="9">
        <v>0</v>
      </c>
      <c r="V118" s="9">
        <v>0</v>
      </c>
      <c r="W118" s="9">
        <f t="shared" si="32"/>
        <v>13491.8</v>
      </c>
      <c r="X118" s="9">
        <v>2248.6333333333332</v>
      </c>
      <c r="Y118" s="9">
        <v>0</v>
      </c>
      <c r="Z118" s="9">
        <v>15740.433333333332</v>
      </c>
      <c r="AA118" s="9">
        <v>0</v>
      </c>
      <c r="AB118" s="9">
        <f t="shared" si="33"/>
        <v>15740.433333333332</v>
      </c>
      <c r="AC118" s="9">
        <v>5101.2</v>
      </c>
      <c r="AD118" s="9">
        <v>0</v>
      </c>
      <c r="AE118" s="9">
        <v>13323.51</v>
      </c>
      <c r="AF118" s="9">
        <v>239.75639999999999</v>
      </c>
      <c r="AG118" s="9">
        <v>1203.8832</v>
      </c>
      <c r="AH118" s="9">
        <v>79.068600000000004</v>
      </c>
      <c r="AI118" s="9">
        <v>280.56599999999997</v>
      </c>
      <c r="AJ118" s="9">
        <v>10.202399999999999</v>
      </c>
      <c r="AK118" s="9">
        <v>5.1011999999999995</v>
      </c>
      <c r="AL118" s="9">
        <v>30.607199999999999</v>
      </c>
      <c r="AM118" s="9">
        <v>7.6517999999999997</v>
      </c>
      <c r="AN118" s="9">
        <v>38.259</v>
      </c>
      <c r="AO118" s="9">
        <v>76.518000000000001</v>
      </c>
      <c r="AP118" s="9">
        <v>510.11999999999989</v>
      </c>
      <c r="AQ118" s="25">
        <v>1.9E-3</v>
      </c>
      <c r="AR118" s="9">
        <f t="shared" si="34"/>
        <v>0.96922799999999976</v>
      </c>
      <c r="AS118" s="25">
        <v>9.5999999999999992E-3</v>
      </c>
      <c r="AT118" s="9">
        <f t="shared" si="35"/>
        <v>4.8971519999999984</v>
      </c>
      <c r="AU118" s="9">
        <v>2040.4800000000005</v>
      </c>
      <c r="AV118" s="25">
        <v>2.0999999999999999E-3</v>
      </c>
      <c r="AW118" s="9">
        <f t="shared" si="36"/>
        <v>4.2850080000000004</v>
      </c>
      <c r="AX118" s="25">
        <v>1.04E-2</v>
      </c>
      <c r="AY118" s="9">
        <f t="shared" si="37"/>
        <v>21.220992000000003</v>
      </c>
      <c r="AZ118" s="9">
        <v>8088.6333333333323</v>
      </c>
      <c r="BA118" s="25">
        <v>2.3999999999999998E-3</v>
      </c>
      <c r="BB118" s="9">
        <f t="shared" si="38"/>
        <v>19.412719999999997</v>
      </c>
      <c r="BC118" s="25">
        <v>1.2200000000000001E-2</v>
      </c>
      <c r="BD118" s="9">
        <f t="shared" si="39"/>
        <v>98.681326666666664</v>
      </c>
      <c r="BE118" s="9">
        <v>510.11999999999989</v>
      </c>
      <c r="BF118" s="9">
        <v>1.9E-3</v>
      </c>
      <c r="BG118" s="9">
        <f t="shared" si="40"/>
        <v>0.96922799999999976</v>
      </c>
      <c r="BH118" s="9">
        <v>9.5999999999999992E-3</v>
      </c>
      <c r="BI118" s="9">
        <f t="shared" si="41"/>
        <v>4.8971519999999984</v>
      </c>
      <c r="BJ118" s="9">
        <v>2040.4800000000005</v>
      </c>
      <c r="BK118" s="9">
        <v>2.0999999999999999E-3</v>
      </c>
      <c r="BL118" s="9">
        <f t="shared" si="42"/>
        <v>4.2850080000000004</v>
      </c>
      <c r="BM118" s="9">
        <v>1.04E-2</v>
      </c>
      <c r="BN118" s="9">
        <f t="shared" si="43"/>
        <v>21.220992000000003</v>
      </c>
      <c r="BO118" s="9">
        <v>7816.114583333333</v>
      </c>
      <c r="BP118" s="9">
        <v>2.3999999999999998E-3</v>
      </c>
      <c r="BQ118" s="9">
        <f t="shared" si="44"/>
        <v>18.758674999999997</v>
      </c>
      <c r="BR118" s="9">
        <v>1.2200000000000001E-2</v>
      </c>
      <c r="BS118" s="9">
        <f t="shared" si="45"/>
        <v>95.356597916666672</v>
      </c>
      <c r="BT118" s="9">
        <f t="shared" si="46"/>
        <v>24.666955999999999</v>
      </c>
      <c r="BU118" s="9">
        <f t="shared" si="47"/>
        <v>124.79947066666666</v>
      </c>
      <c r="BV118" s="9">
        <f t="shared" si="48"/>
        <v>356.244956</v>
      </c>
      <c r="BW118">
        <f t="shared" si="49"/>
        <v>356.244956</v>
      </c>
      <c r="BX118">
        <v>0</v>
      </c>
      <c r="BY118">
        <f t="shared" si="50"/>
        <v>1764.8352706666665</v>
      </c>
      <c r="BZ118">
        <v>4974.7975500000002</v>
      </c>
      <c r="CA118">
        <f t="shared" si="51"/>
        <v>8160.7574939999986</v>
      </c>
      <c r="CB118">
        <f t="shared" si="52"/>
        <v>15256.635270666666</v>
      </c>
      <c r="CC118">
        <v>0</v>
      </c>
      <c r="CD118">
        <v>0</v>
      </c>
      <c r="CE118">
        <f t="shared" si="53"/>
        <v>0</v>
      </c>
      <c r="CF118">
        <f t="shared" si="54"/>
        <v>13491.8</v>
      </c>
      <c r="CG118">
        <f t="shared" si="55"/>
        <v>8160.7574939999986</v>
      </c>
      <c r="CH118">
        <f t="shared" si="56"/>
        <v>0</v>
      </c>
      <c r="CJ118" t="s">
        <v>278</v>
      </c>
      <c r="CL118" t="str">
        <f t="shared" si="57"/>
        <v/>
      </c>
    </row>
    <row r="119" spans="1:90" x14ac:dyDescent="0.25">
      <c r="A119" t="s">
        <v>110</v>
      </c>
      <c r="B119" t="s">
        <v>178</v>
      </c>
      <c r="C119" s="1">
        <v>46113</v>
      </c>
      <c r="D119" t="s">
        <v>174</v>
      </c>
      <c r="E119" t="s">
        <v>175</v>
      </c>
      <c r="F119" s="4">
        <v>1</v>
      </c>
      <c r="G119" s="4">
        <v>0.25</v>
      </c>
      <c r="H119" s="9">
        <v>13491.8</v>
      </c>
      <c r="I119" s="9">
        <v>2248.6333333333332</v>
      </c>
      <c r="J119" s="9">
        <f t="shared" si="29"/>
        <v>15740.433333333332</v>
      </c>
      <c r="K119" s="9">
        <v>0</v>
      </c>
      <c r="L119" s="9">
        <f t="shared" si="30"/>
        <v>0</v>
      </c>
      <c r="M119">
        <v>0</v>
      </c>
      <c r="N119" s="4">
        <f t="shared" si="31"/>
        <v>0</v>
      </c>
      <c r="O119" s="9">
        <v>10289.43</v>
      </c>
      <c r="P119" s="9">
        <v>2698.3599999999997</v>
      </c>
      <c r="Q119" s="9">
        <v>42.07</v>
      </c>
      <c r="R119" s="9">
        <v>113</v>
      </c>
      <c r="S119" s="9">
        <v>126.22</v>
      </c>
      <c r="T119" s="9">
        <v>222.72</v>
      </c>
      <c r="U119" s="9">
        <v>0</v>
      </c>
      <c r="V119" s="9">
        <v>0</v>
      </c>
      <c r="W119" s="9">
        <f t="shared" si="32"/>
        <v>13491.8</v>
      </c>
      <c r="X119" s="9">
        <v>2248.6333333333332</v>
      </c>
      <c r="Y119" s="9">
        <v>0</v>
      </c>
      <c r="Z119" s="9">
        <v>15740.433333333332</v>
      </c>
      <c r="AA119" s="9">
        <v>0</v>
      </c>
      <c r="AB119" s="9">
        <f t="shared" si="33"/>
        <v>15740.433333333332</v>
      </c>
      <c r="AC119" s="9">
        <v>5101.2</v>
      </c>
      <c r="AD119" s="9">
        <v>0</v>
      </c>
      <c r="AE119" s="9">
        <v>13323.51</v>
      </c>
      <c r="AF119" s="9">
        <v>239.75639999999999</v>
      </c>
      <c r="AG119" s="9">
        <v>1203.8832</v>
      </c>
      <c r="AH119" s="9">
        <v>79.068600000000004</v>
      </c>
      <c r="AI119" s="9">
        <v>280.56599999999997</v>
      </c>
      <c r="AJ119" s="9">
        <v>10.202399999999999</v>
      </c>
      <c r="AK119" s="9">
        <v>5.1011999999999995</v>
      </c>
      <c r="AL119" s="9">
        <v>30.607199999999999</v>
      </c>
      <c r="AM119" s="9">
        <v>7.6517999999999997</v>
      </c>
      <c r="AN119" s="9">
        <v>38.259</v>
      </c>
      <c r="AO119" s="9">
        <v>76.518000000000001</v>
      </c>
      <c r="AP119" s="9">
        <v>510.11999999999989</v>
      </c>
      <c r="AQ119" s="25">
        <v>1.9E-3</v>
      </c>
      <c r="AR119" s="9">
        <f t="shared" si="34"/>
        <v>0.96922799999999976</v>
      </c>
      <c r="AS119" s="25">
        <v>9.5999999999999992E-3</v>
      </c>
      <c r="AT119" s="9">
        <f t="shared" si="35"/>
        <v>4.8971519999999984</v>
      </c>
      <c r="AU119" s="9">
        <v>2040.4800000000005</v>
      </c>
      <c r="AV119" s="25">
        <v>2.0999999999999999E-3</v>
      </c>
      <c r="AW119" s="9">
        <f t="shared" si="36"/>
        <v>4.2850080000000004</v>
      </c>
      <c r="AX119" s="25">
        <v>1.04E-2</v>
      </c>
      <c r="AY119" s="9">
        <f t="shared" si="37"/>
        <v>21.220992000000003</v>
      </c>
      <c r="AZ119" s="9">
        <v>8088.6333333333323</v>
      </c>
      <c r="BA119" s="25">
        <v>2.3999999999999998E-3</v>
      </c>
      <c r="BB119" s="9">
        <f t="shared" si="38"/>
        <v>19.412719999999997</v>
      </c>
      <c r="BC119" s="25">
        <v>1.2200000000000001E-2</v>
      </c>
      <c r="BD119" s="9">
        <f t="shared" si="39"/>
        <v>98.681326666666664</v>
      </c>
      <c r="BE119" s="9">
        <v>510.11999999999989</v>
      </c>
      <c r="BF119" s="9">
        <v>1.9E-3</v>
      </c>
      <c r="BG119" s="9">
        <f t="shared" si="40"/>
        <v>0.96922799999999976</v>
      </c>
      <c r="BH119" s="9">
        <v>9.5999999999999992E-3</v>
      </c>
      <c r="BI119" s="9">
        <f t="shared" si="41"/>
        <v>4.8971519999999984</v>
      </c>
      <c r="BJ119" s="9">
        <v>2040.4800000000005</v>
      </c>
      <c r="BK119" s="9">
        <v>2.0999999999999999E-3</v>
      </c>
      <c r="BL119" s="9">
        <f t="shared" si="42"/>
        <v>4.2850080000000004</v>
      </c>
      <c r="BM119" s="9">
        <v>1.04E-2</v>
      </c>
      <c r="BN119" s="9">
        <f t="shared" si="43"/>
        <v>21.220992000000003</v>
      </c>
      <c r="BO119" s="9">
        <v>7816.114583333333</v>
      </c>
      <c r="BP119" s="9">
        <v>2.3999999999999998E-3</v>
      </c>
      <c r="BQ119" s="9">
        <f t="shared" si="44"/>
        <v>18.758674999999997</v>
      </c>
      <c r="BR119" s="9">
        <v>1.2200000000000001E-2</v>
      </c>
      <c r="BS119" s="9">
        <f t="shared" si="45"/>
        <v>95.356597916666672</v>
      </c>
      <c r="BT119" s="9">
        <f t="shared" si="46"/>
        <v>24.666955999999999</v>
      </c>
      <c r="BU119" s="9">
        <f t="shared" si="47"/>
        <v>124.79947066666666</v>
      </c>
      <c r="BV119" s="9">
        <f t="shared" si="48"/>
        <v>356.244956</v>
      </c>
      <c r="BW119">
        <f t="shared" si="49"/>
        <v>356.244956</v>
      </c>
      <c r="BX119">
        <v>0</v>
      </c>
      <c r="BY119">
        <f t="shared" si="50"/>
        <v>1764.8352706666665</v>
      </c>
      <c r="BZ119">
        <v>4974.7975500000002</v>
      </c>
      <c r="CA119">
        <f t="shared" si="51"/>
        <v>8160.7574939999986</v>
      </c>
      <c r="CB119">
        <f t="shared" si="52"/>
        <v>15256.635270666666</v>
      </c>
      <c r="CC119">
        <v>0</v>
      </c>
      <c r="CD119">
        <v>0</v>
      </c>
      <c r="CE119">
        <f t="shared" si="53"/>
        <v>0</v>
      </c>
      <c r="CF119">
        <f t="shared" si="54"/>
        <v>13491.8</v>
      </c>
      <c r="CG119">
        <f t="shared" si="55"/>
        <v>8160.7574939999986</v>
      </c>
      <c r="CH119">
        <f t="shared" si="56"/>
        <v>0</v>
      </c>
      <c r="CJ119" t="s">
        <v>278</v>
      </c>
      <c r="CL119" t="str">
        <f t="shared" si="57"/>
        <v/>
      </c>
    </row>
    <row r="120" spans="1:90" x14ac:dyDescent="0.25">
      <c r="A120" t="s">
        <v>110</v>
      </c>
      <c r="B120" t="s">
        <v>179</v>
      </c>
      <c r="C120" s="1">
        <v>46143</v>
      </c>
      <c r="D120" t="s">
        <v>174</v>
      </c>
      <c r="E120" t="s">
        <v>175</v>
      </c>
      <c r="F120" s="4">
        <v>1</v>
      </c>
      <c r="G120" s="4">
        <v>0.25</v>
      </c>
      <c r="H120" s="9">
        <v>13491.8</v>
      </c>
      <c r="I120" s="9">
        <v>2248.6333333333332</v>
      </c>
      <c r="J120" s="9">
        <f t="shared" si="29"/>
        <v>15740.433333333332</v>
      </c>
      <c r="K120" s="9">
        <v>0</v>
      </c>
      <c r="L120" s="9">
        <f t="shared" si="30"/>
        <v>0</v>
      </c>
      <c r="M120">
        <v>0</v>
      </c>
      <c r="N120" s="4">
        <f t="shared" si="31"/>
        <v>0</v>
      </c>
      <c r="O120" s="9">
        <v>10289.43</v>
      </c>
      <c r="P120" s="9">
        <v>2698.3599999999997</v>
      </c>
      <c r="Q120" s="9">
        <v>42.07</v>
      </c>
      <c r="R120" s="9">
        <v>113</v>
      </c>
      <c r="S120" s="9">
        <v>126.22</v>
      </c>
      <c r="T120" s="9">
        <v>222.72</v>
      </c>
      <c r="U120" s="9">
        <v>0</v>
      </c>
      <c r="V120" s="9">
        <v>0</v>
      </c>
      <c r="W120" s="9">
        <f t="shared" si="32"/>
        <v>13491.8</v>
      </c>
      <c r="X120" s="9">
        <v>2248.6333333333332</v>
      </c>
      <c r="Y120" s="9">
        <v>0</v>
      </c>
      <c r="Z120" s="9">
        <v>15740.433333333332</v>
      </c>
      <c r="AA120" s="9">
        <v>0</v>
      </c>
      <c r="AB120" s="9">
        <f t="shared" si="33"/>
        <v>15740.433333333332</v>
      </c>
      <c r="AC120" s="9">
        <v>5101.2</v>
      </c>
      <c r="AD120" s="9">
        <v>0</v>
      </c>
      <c r="AE120" s="9">
        <v>13323.51</v>
      </c>
      <c r="AF120" s="9">
        <v>239.75639999999999</v>
      </c>
      <c r="AG120" s="9">
        <v>1203.8832</v>
      </c>
      <c r="AH120" s="9">
        <v>79.068600000000004</v>
      </c>
      <c r="AI120" s="9">
        <v>280.56599999999997</v>
      </c>
      <c r="AJ120" s="9">
        <v>10.202399999999999</v>
      </c>
      <c r="AK120" s="9">
        <v>5.1011999999999995</v>
      </c>
      <c r="AL120" s="9">
        <v>30.607199999999999</v>
      </c>
      <c r="AM120" s="9">
        <v>7.6517999999999997</v>
      </c>
      <c r="AN120" s="9">
        <v>38.259</v>
      </c>
      <c r="AO120" s="9">
        <v>76.518000000000001</v>
      </c>
      <c r="AP120" s="9">
        <v>510.11999999999989</v>
      </c>
      <c r="AQ120" s="25">
        <v>1.9E-3</v>
      </c>
      <c r="AR120" s="9">
        <f t="shared" si="34"/>
        <v>0.96922799999999976</v>
      </c>
      <c r="AS120" s="25">
        <v>9.5999999999999992E-3</v>
      </c>
      <c r="AT120" s="9">
        <f t="shared" si="35"/>
        <v>4.8971519999999984</v>
      </c>
      <c r="AU120" s="9">
        <v>2040.4800000000005</v>
      </c>
      <c r="AV120" s="25">
        <v>2.0999999999999999E-3</v>
      </c>
      <c r="AW120" s="9">
        <f t="shared" si="36"/>
        <v>4.2850080000000004</v>
      </c>
      <c r="AX120" s="25">
        <v>1.04E-2</v>
      </c>
      <c r="AY120" s="9">
        <f t="shared" si="37"/>
        <v>21.220992000000003</v>
      </c>
      <c r="AZ120" s="9">
        <v>8088.6333333333323</v>
      </c>
      <c r="BA120" s="25">
        <v>2.3999999999999998E-3</v>
      </c>
      <c r="BB120" s="9">
        <f t="shared" si="38"/>
        <v>19.412719999999997</v>
      </c>
      <c r="BC120" s="25">
        <v>1.2200000000000001E-2</v>
      </c>
      <c r="BD120" s="9">
        <f t="shared" si="39"/>
        <v>98.681326666666664</v>
      </c>
      <c r="BE120" s="9">
        <v>510.11999999999989</v>
      </c>
      <c r="BF120" s="9">
        <v>1.9E-3</v>
      </c>
      <c r="BG120" s="9">
        <f t="shared" si="40"/>
        <v>0.96922799999999976</v>
      </c>
      <c r="BH120" s="9">
        <v>9.5999999999999992E-3</v>
      </c>
      <c r="BI120" s="9">
        <f t="shared" si="41"/>
        <v>4.8971519999999984</v>
      </c>
      <c r="BJ120" s="9">
        <v>2040.4800000000005</v>
      </c>
      <c r="BK120" s="9">
        <v>2.0999999999999999E-3</v>
      </c>
      <c r="BL120" s="9">
        <f t="shared" si="42"/>
        <v>4.2850080000000004</v>
      </c>
      <c r="BM120" s="9">
        <v>1.04E-2</v>
      </c>
      <c r="BN120" s="9">
        <f t="shared" si="43"/>
        <v>21.220992000000003</v>
      </c>
      <c r="BO120" s="9">
        <v>7816.114583333333</v>
      </c>
      <c r="BP120" s="9">
        <v>2.3999999999999998E-3</v>
      </c>
      <c r="BQ120" s="9">
        <f t="shared" si="44"/>
        <v>18.758674999999997</v>
      </c>
      <c r="BR120" s="9">
        <v>1.2200000000000001E-2</v>
      </c>
      <c r="BS120" s="9">
        <f t="shared" si="45"/>
        <v>95.356597916666672</v>
      </c>
      <c r="BT120" s="9">
        <f t="shared" si="46"/>
        <v>24.666955999999999</v>
      </c>
      <c r="BU120" s="9">
        <f t="shared" si="47"/>
        <v>124.79947066666666</v>
      </c>
      <c r="BV120" s="9">
        <f t="shared" si="48"/>
        <v>356.244956</v>
      </c>
      <c r="BW120">
        <f t="shared" si="49"/>
        <v>356.244956</v>
      </c>
      <c r="BX120">
        <v>0</v>
      </c>
      <c r="BY120">
        <f t="shared" si="50"/>
        <v>1764.8352706666665</v>
      </c>
      <c r="BZ120">
        <v>4974.7975500000002</v>
      </c>
      <c r="CA120">
        <f t="shared" si="51"/>
        <v>8160.7574939999986</v>
      </c>
      <c r="CB120">
        <f t="shared" si="52"/>
        <v>15256.635270666666</v>
      </c>
      <c r="CC120">
        <v>0</v>
      </c>
      <c r="CD120">
        <v>0</v>
      </c>
      <c r="CE120">
        <f t="shared" si="53"/>
        <v>0</v>
      </c>
      <c r="CF120">
        <f t="shared" si="54"/>
        <v>13491.8</v>
      </c>
      <c r="CG120">
        <f t="shared" si="55"/>
        <v>8160.7574939999986</v>
      </c>
      <c r="CH120">
        <f t="shared" si="56"/>
        <v>0</v>
      </c>
      <c r="CJ120" t="s">
        <v>278</v>
      </c>
      <c r="CL120" t="str">
        <f t="shared" si="57"/>
        <v/>
      </c>
    </row>
    <row r="121" spans="1:90" x14ac:dyDescent="0.25">
      <c r="A121" t="s">
        <v>110</v>
      </c>
      <c r="B121" t="s">
        <v>180</v>
      </c>
      <c r="C121" s="1">
        <v>46174</v>
      </c>
      <c r="D121" t="s">
        <v>174</v>
      </c>
      <c r="E121" t="s">
        <v>175</v>
      </c>
      <c r="F121" s="4">
        <v>1</v>
      </c>
      <c r="G121" s="4">
        <v>0.25</v>
      </c>
      <c r="H121" s="9">
        <v>13491.8</v>
      </c>
      <c r="I121" s="9">
        <v>2248.6333333333332</v>
      </c>
      <c r="J121" s="9">
        <f t="shared" si="29"/>
        <v>15740.433333333332</v>
      </c>
      <c r="K121" s="9">
        <v>0</v>
      </c>
      <c r="L121" s="9">
        <f t="shared" si="30"/>
        <v>0</v>
      </c>
      <c r="M121">
        <v>0</v>
      </c>
      <c r="N121" s="4">
        <f t="shared" si="31"/>
        <v>0</v>
      </c>
      <c r="O121" s="9">
        <v>10289.43</v>
      </c>
      <c r="P121" s="9">
        <v>2698.3599999999997</v>
      </c>
      <c r="Q121" s="9">
        <v>42.07</v>
      </c>
      <c r="R121" s="9">
        <v>113</v>
      </c>
      <c r="S121" s="9">
        <v>126.22</v>
      </c>
      <c r="T121" s="9">
        <v>222.72</v>
      </c>
      <c r="U121" s="9">
        <v>0</v>
      </c>
      <c r="V121" s="9">
        <v>0</v>
      </c>
      <c r="W121" s="9">
        <f t="shared" si="32"/>
        <v>13491.8</v>
      </c>
      <c r="X121" s="9">
        <v>2248.6333333333332</v>
      </c>
      <c r="Y121" s="9">
        <v>0</v>
      </c>
      <c r="Z121" s="9">
        <v>15740.433333333332</v>
      </c>
      <c r="AA121" s="9">
        <v>0</v>
      </c>
      <c r="AB121" s="9">
        <f t="shared" si="33"/>
        <v>15740.433333333332</v>
      </c>
      <c r="AC121" s="9">
        <v>5101.2</v>
      </c>
      <c r="AD121" s="9">
        <v>0</v>
      </c>
      <c r="AE121" s="9">
        <v>13323.51</v>
      </c>
      <c r="AF121" s="9">
        <v>239.75639999999999</v>
      </c>
      <c r="AG121" s="9">
        <v>1203.8832</v>
      </c>
      <c r="AH121" s="9">
        <v>79.068600000000004</v>
      </c>
      <c r="AI121" s="9">
        <v>280.56599999999997</v>
      </c>
      <c r="AJ121" s="9">
        <v>10.202399999999999</v>
      </c>
      <c r="AK121" s="9">
        <v>5.1011999999999995</v>
      </c>
      <c r="AL121" s="9">
        <v>30.607199999999999</v>
      </c>
      <c r="AM121" s="9">
        <v>7.6517999999999997</v>
      </c>
      <c r="AN121" s="9">
        <v>38.259</v>
      </c>
      <c r="AO121" s="9">
        <v>76.518000000000001</v>
      </c>
      <c r="AP121" s="9">
        <v>510.11999999999989</v>
      </c>
      <c r="AQ121" s="25">
        <v>1.9E-3</v>
      </c>
      <c r="AR121" s="9">
        <f t="shared" si="34"/>
        <v>0.96922799999999976</v>
      </c>
      <c r="AS121" s="25">
        <v>9.5999999999999992E-3</v>
      </c>
      <c r="AT121" s="9">
        <f t="shared" si="35"/>
        <v>4.8971519999999984</v>
      </c>
      <c r="AU121" s="9">
        <v>2040.4800000000005</v>
      </c>
      <c r="AV121" s="25">
        <v>2.0999999999999999E-3</v>
      </c>
      <c r="AW121" s="9">
        <f t="shared" si="36"/>
        <v>4.2850080000000004</v>
      </c>
      <c r="AX121" s="25">
        <v>1.04E-2</v>
      </c>
      <c r="AY121" s="9">
        <f t="shared" si="37"/>
        <v>21.220992000000003</v>
      </c>
      <c r="AZ121" s="9">
        <v>8088.6333333333323</v>
      </c>
      <c r="BA121" s="25">
        <v>2.3999999999999998E-3</v>
      </c>
      <c r="BB121" s="9">
        <f t="shared" si="38"/>
        <v>19.412719999999997</v>
      </c>
      <c r="BC121" s="25">
        <v>1.2200000000000001E-2</v>
      </c>
      <c r="BD121" s="9">
        <f t="shared" si="39"/>
        <v>98.681326666666664</v>
      </c>
      <c r="BE121" s="9">
        <v>510.11999999999989</v>
      </c>
      <c r="BF121" s="9">
        <v>1.9E-3</v>
      </c>
      <c r="BG121" s="9">
        <f t="shared" si="40"/>
        <v>0.96922799999999976</v>
      </c>
      <c r="BH121" s="9">
        <v>9.5999999999999992E-3</v>
      </c>
      <c r="BI121" s="9">
        <f t="shared" si="41"/>
        <v>4.8971519999999984</v>
      </c>
      <c r="BJ121" s="9">
        <v>2040.4800000000005</v>
      </c>
      <c r="BK121" s="9">
        <v>2.0999999999999999E-3</v>
      </c>
      <c r="BL121" s="9">
        <f t="shared" si="42"/>
        <v>4.2850080000000004</v>
      </c>
      <c r="BM121" s="9">
        <v>1.04E-2</v>
      </c>
      <c r="BN121" s="9">
        <f t="shared" si="43"/>
        <v>21.220992000000003</v>
      </c>
      <c r="BO121" s="9">
        <v>7816.114583333333</v>
      </c>
      <c r="BP121" s="9">
        <v>2.3999999999999998E-3</v>
      </c>
      <c r="BQ121" s="9">
        <f t="shared" si="44"/>
        <v>18.758674999999997</v>
      </c>
      <c r="BR121" s="9">
        <v>1.2200000000000001E-2</v>
      </c>
      <c r="BS121" s="9">
        <f t="shared" si="45"/>
        <v>95.356597916666672</v>
      </c>
      <c r="BT121" s="9">
        <f t="shared" si="46"/>
        <v>24.666955999999999</v>
      </c>
      <c r="BU121" s="9">
        <f t="shared" si="47"/>
        <v>124.79947066666666</v>
      </c>
      <c r="BV121" s="9">
        <f t="shared" si="48"/>
        <v>356.244956</v>
      </c>
      <c r="BW121">
        <f t="shared" si="49"/>
        <v>356.244956</v>
      </c>
      <c r="BX121">
        <v>0</v>
      </c>
      <c r="BY121">
        <f t="shared" si="50"/>
        <v>1764.8352706666665</v>
      </c>
      <c r="BZ121">
        <v>4974.7975500000002</v>
      </c>
      <c r="CA121">
        <f t="shared" si="51"/>
        <v>8160.7574939999986</v>
      </c>
      <c r="CB121">
        <f t="shared" si="52"/>
        <v>15256.635270666666</v>
      </c>
      <c r="CC121">
        <v>0</v>
      </c>
      <c r="CD121">
        <v>0</v>
      </c>
      <c r="CE121">
        <f t="shared" si="53"/>
        <v>0</v>
      </c>
      <c r="CF121">
        <f t="shared" si="54"/>
        <v>13491.8</v>
      </c>
      <c r="CG121">
        <f t="shared" si="55"/>
        <v>8160.7574939999986</v>
      </c>
      <c r="CH121">
        <f t="shared" si="56"/>
        <v>0</v>
      </c>
      <c r="CJ121" t="s">
        <v>278</v>
      </c>
      <c r="CL121" t="str">
        <f t="shared" si="57"/>
        <v/>
      </c>
    </row>
    <row r="122" spans="1:90" x14ac:dyDescent="0.25">
      <c r="A122" t="s">
        <v>110</v>
      </c>
      <c r="B122" t="s">
        <v>181</v>
      </c>
      <c r="C122" s="1">
        <v>46204</v>
      </c>
      <c r="D122" t="s">
        <v>182</v>
      </c>
      <c r="E122" t="s">
        <v>175</v>
      </c>
      <c r="F122" s="4">
        <v>1</v>
      </c>
      <c r="G122" s="4">
        <v>0.25</v>
      </c>
      <c r="H122" s="9">
        <v>13491.8</v>
      </c>
      <c r="I122" s="9">
        <v>2248.6333333333332</v>
      </c>
      <c r="J122" s="9">
        <f t="shared" si="29"/>
        <v>15740.433333333332</v>
      </c>
      <c r="K122" s="9">
        <v>0</v>
      </c>
      <c r="L122" s="9">
        <f t="shared" si="30"/>
        <v>0</v>
      </c>
      <c r="M122">
        <v>0</v>
      </c>
      <c r="N122" s="4">
        <f t="shared" si="31"/>
        <v>0</v>
      </c>
      <c r="O122" s="9">
        <v>10289.43</v>
      </c>
      <c r="P122" s="9">
        <v>2698.3599999999997</v>
      </c>
      <c r="Q122" s="9">
        <v>42.07</v>
      </c>
      <c r="R122" s="9">
        <v>113</v>
      </c>
      <c r="S122" s="9">
        <v>126.22</v>
      </c>
      <c r="T122" s="9">
        <v>222.72</v>
      </c>
      <c r="U122" s="9">
        <v>0</v>
      </c>
      <c r="V122" s="9">
        <v>0</v>
      </c>
      <c r="W122" s="9">
        <f t="shared" si="32"/>
        <v>13491.8</v>
      </c>
      <c r="X122" s="9">
        <v>0</v>
      </c>
      <c r="Y122" s="9">
        <v>0</v>
      </c>
      <c r="Z122" s="9">
        <v>0</v>
      </c>
      <c r="AA122" s="9">
        <v>0</v>
      </c>
      <c r="AB122" s="9">
        <f t="shared" si="33"/>
        <v>0</v>
      </c>
      <c r="AC122" s="9">
        <v>0</v>
      </c>
      <c r="AD122" s="9">
        <v>0</v>
      </c>
      <c r="AE122" s="9">
        <v>13323.51</v>
      </c>
      <c r="AF122" s="9">
        <v>0</v>
      </c>
      <c r="AG122" s="9">
        <v>0</v>
      </c>
      <c r="AH122" s="9">
        <v>0</v>
      </c>
      <c r="AI122" s="9">
        <v>0</v>
      </c>
      <c r="AJ122" s="9">
        <v>0</v>
      </c>
      <c r="AK122" s="9">
        <v>0</v>
      </c>
      <c r="AL122" s="9">
        <v>0</v>
      </c>
      <c r="AM122" s="9">
        <v>0</v>
      </c>
      <c r="AN122" s="9">
        <v>0</v>
      </c>
      <c r="AO122" s="9">
        <v>0</v>
      </c>
      <c r="AP122" s="9">
        <v>0</v>
      </c>
      <c r="AQ122" s="25">
        <v>0</v>
      </c>
      <c r="AR122" s="9">
        <f t="shared" si="34"/>
        <v>0</v>
      </c>
      <c r="AS122" s="25">
        <v>0</v>
      </c>
      <c r="AT122" s="9">
        <f t="shared" si="35"/>
        <v>0</v>
      </c>
      <c r="AU122" s="9">
        <v>0</v>
      </c>
      <c r="AV122" s="25">
        <v>0</v>
      </c>
      <c r="AW122" s="9">
        <f t="shared" si="36"/>
        <v>0</v>
      </c>
      <c r="AX122" s="25">
        <v>0</v>
      </c>
      <c r="AY122" s="9">
        <f t="shared" si="37"/>
        <v>0</v>
      </c>
      <c r="AZ122" s="9">
        <v>0</v>
      </c>
      <c r="BA122" s="25">
        <v>0</v>
      </c>
      <c r="BB122" s="9">
        <f t="shared" si="38"/>
        <v>0</v>
      </c>
      <c r="BC122" s="25">
        <v>0</v>
      </c>
      <c r="BD122" s="9">
        <f t="shared" si="39"/>
        <v>0</v>
      </c>
      <c r="BE122" s="9">
        <v>0</v>
      </c>
      <c r="BF122" s="9">
        <v>0</v>
      </c>
      <c r="BG122" s="9">
        <f t="shared" si="40"/>
        <v>0</v>
      </c>
      <c r="BH122" s="9">
        <v>0</v>
      </c>
      <c r="BI122" s="9">
        <f t="shared" si="41"/>
        <v>0</v>
      </c>
      <c r="BJ122" s="9">
        <v>0</v>
      </c>
      <c r="BK122" s="9">
        <v>0</v>
      </c>
      <c r="BL122" s="9">
        <f t="shared" si="42"/>
        <v>0</v>
      </c>
      <c r="BM122" s="9">
        <v>0</v>
      </c>
      <c r="BN122" s="9">
        <f t="shared" si="43"/>
        <v>0</v>
      </c>
      <c r="BO122" s="9">
        <v>0</v>
      </c>
      <c r="BP122" s="9">
        <v>0</v>
      </c>
      <c r="BQ122" s="9">
        <f t="shared" si="44"/>
        <v>0</v>
      </c>
      <c r="BR122" s="9">
        <v>0</v>
      </c>
      <c r="BS122" s="9">
        <f t="shared" si="45"/>
        <v>0</v>
      </c>
      <c r="BT122" s="9">
        <f t="shared" si="46"/>
        <v>0</v>
      </c>
      <c r="BU122" s="9">
        <f t="shared" si="47"/>
        <v>0</v>
      </c>
      <c r="BV122" s="9">
        <f t="shared" si="48"/>
        <v>0</v>
      </c>
      <c r="BW122">
        <f t="shared" si="49"/>
        <v>0</v>
      </c>
      <c r="BX122">
        <v>0</v>
      </c>
      <c r="BY122">
        <f t="shared" si="50"/>
        <v>0</v>
      </c>
      <c r="BZ122">
        <v>4974.7975500000002</v>
      </c>
      <c r="CA122">
        <f t="shared" si="51"/>
        <v>8517.00245</v>
      </c>
      <c r="CB122">
        <f t="shared" si="52"/>
        <v>13491.8</v>
      </c>
      <c r="CC122">
        <v>0</v>
      </c>
      <c r="CD122">
        <v>0</v>
      </c>
      <c r="CE122">
        <f t="shared" si="53"/>
        <v>0</v>
      </c>
      <c r="CF122">
        <f t="shared" si="54"/>
        <v>13491.8</v>
      </c>
      <c r="CG122">
        <f t="shared" si="55"/>
        <v>8517.00245</v>
      </c>
      <c r="CH122">
        <f t="shared" si="56"/>
        <v>0</v>
      </c>
      <c r="CJ122" t="s">
        <v>278</v>
      </c>
      <c r="CL122" t="str">
        <f t="shared" si="57"/>
        <v/>
      </c>
    </row>
    <row r="123" spans="1:90" x14ac:dyDescent="0.25">
      <c r="A123" t="s">
        <v>110</v>
      </c>
      <c r="B123" t="s">
        <v>183</v>
      </c>
      <c r="C123" s="1">
        <v>46204</v>
      </c>
      <c r="D123" t="s">
        <v>174</v>
      </c>
      <c r="E123" t="s">
        <v>175</v>
      </c>
      <c r="F123" s="4">
        <v>1</v>
      </c>
      <c r="G123" s="4">
        <v>0.25</v>
      </c>
      <c r="H123" s="9">
        <v>13491.8</v>
      </c>
      <c r="I123" s="9">
        <v>2248.6333333333332</v>
      </c>
      <c r="J123" s="9">
        <f t="shared" si="29"/>
        <v>15740.433333333332</v>
      </c>
      <c r="K123" s="9">
        <v>0</v>
      </c>
      <c r="L123" s="9">
        <f t="shared" si="30"/>
        <v>0</v>
      </c>
      <c r="M123">
        <v>0</v>
      </c>
      <c r="N123" s="4">
        <f t="shared" si="31"/>
        <v>0</v>
      </c>
      <c r="O123" s="9">
        <v>10289.43</v>
      </c>
      <c r="P123" s="9">
        <v>2698.3599999999997</v>
      </c>
      <c r="Q123" s="9">
        <v>42.07</v>
      </c>
      <c r="R123" s="9">
        <v>113</v>
      </c>
      <c r="S123" s="9">
        <v>126.22</v>
      </c>
      <c r="T123" s="9">
        <v>222.72</v>
      </c>
      <c r="U123" s="9">
        <v>0</v>
      </c>
      <c r="V123" s="9">
        <v>0</v>
      </c>
      <c r="W123" s="9">
        <f t="shared" si="32"/>
        <v>13491.8</v>
      </c>
      <c r="X123" s="9">
        <v>2248.6333333333332</v>
      </c>
      <c r="Y123" s="9">
        <v>0</v>
      </c>
      <c r="Z123" s="9">
        <v>15740.433333333332</v>
      </c>
      <c r="AA123" s="9">
        <v>0</v>
      </c>
      <c r="AB123" s="9">
        <f t="shared" si="33"/>
        <v>15740.433333333332</v>
      </c>
      <c r="AC123" s="9">
        <v>5101.2</v>
      </c>
      <c r="AD123" s="9">
        <v>0</v>
      </c>
      <c r="AE123" s="9">
        <v>13323.51</v>
      </c>
      <c r="AF123" s="9">
        <v>239.75639999999999</v>
      </c>
      <c r="AG123" s="9">
        <v>1203.8832</v>
      </c>
      <c r="AH123" s="9">
        <v>79.068600000000004</v>
      </c>
      <c r="AI123" s="9">
        <v>280.56599999999997</v>
      </c>
      <c r="AJ123" s="9">
        <v>10.202399999999999</v>
      </c>
      <c r="AK123" s="9">
        <v>5.1011999999999995</v>
      </c>
      <c r="AL123" s="9">
        <v>30.607199999999999</v>
      </c>
      <c r="AM123" s="9">
        <v>7.6517999999999997</v>
      </c>
      <c r="AN123" s="9">
        <v>38.259</v>
      </c>
      <c r="AO123" s="9">
        <v>76.518000000000001</v>
      </c>
      <c r="AP123" s="9">
        <v>510.11999999999989</v>
      </c>
      <c r="AQ123" s="25">
        <v>1.9E-3</v>
      </c>
      <c r="AR123" s="9">
        <f t="shared" si="34"/>
        <v>0.96922799999999976</v>
      </c>
      <c r="AS123" s="25">
        <v>9.5999999999999992E-3</v>
      </c>
      <c r="AT123" s="9">
        <f t="shared" si="35"/>
        <v>4.8971519999999984</v>
      </c>
      <c r="AU123" s="9">
        <v>2040.4800000000005</v>
      </c>
      <c r="AV123" s="25">
        <v>2.0999999999999999E-3</v>
      </c>
      <c r="AW123" s="9">
        <f t="shared" si="36"/>
        <v>4.2850080000000004</v>
      </c>
      <c r="AX123" s="25">
        <v>1.04E-2</v>
      </c>
      <c r="AY123" s="9">
        <f t="shared" si="37"/>
        <v>21.220992000000003</v>
      </c>
      <c r="AZ123" s="9">
        <v>8088.6333333333323</v>
      </c>
      <c r="BA123" s="25">
        <v>2.3999999999999998E-3</v>
      </c>
      <c r="BB123" s="9">
        <f t="shared" si="38"/>
        <v>19.412719999999997</v>
      </c>
      <c r="BC123" s="25">
        <v>1.2200000000000001E-2</v>
      </c>
      <c r="BD123" s="9">
        <f t="shared" si="39"/>
        <v>98.681326666666664</v>
      </c>
      <c r="BE123" s="9">
        <v>510.11999999999989</v>
      </c>
      <c r="BF123" s="9">
        <v>1.9E-3</v>
      </c>
      <c r="BG123" s="9">
        <f t="shared" si="40"/>
        <v>0.96922799999999976</v>
      </c>
      <c r="BH123" s="9">
        <v>9.5999999999999992E-3</v>
      </c>
      <c r="BI123" s="9">
        <f t="shared" si="41"/>
        <v>4.8971519999999984</v>
      </c>
      <c r="BJ123" s="9">
        <v>2040.4800000000005</v>
      </c>
      <c r="BK123" s="9">
        <v>2.0999999999999999E-3</v>
      </c>
      <c r="BL123" s="9">
        <f t="shared" si="42"/>
        <v>4.2850080000000004</v>
      </c>
      <c r="BM123" s="9">
        <v>1.04E-2</v>
      </c>
      <c r="BN123" s="9">
        <f t="shared" si="43"/>
        <v>21.220992000000003</v>
      </c>
      <c r="BO123" s="9">
        <v>7816.114583333333</v>
      </c>
      <c r="BP123" s="9">
        <v>2.3999999999999998E-3</v>
      </c>
      <c r="BQ123" s="9">
        <f t="shared" si="44"/>
        <v>18.758674999999997</v>
      </c>
      <c r="BR123" s="9">
        <v>1.2200000000000001E-2</v>
      </c>
      <c r="BS123" s="9">
        <f t="shared" si="45"/>
        <v>95.356597916666672</v>
      </c>
      <c r="BT123" s="9">
        <f t="shared" si="46"/>
        <v>24.666955999999999</v>
      </c>
      <c r="BU123" s="9">
        <f t="shared" si="47"/>
        <v>124.79947066666666</v>
      </c>
      <c r="BV123" s="9">
        <f t="shared" si="48"/>
        <v>356.244956</v>
      </c>
      <c r="BW123">
        <f t="shared" si="49"/>
        <v>356.244956</v>
      </c>
      <c r="BX123">
        <v>0</v>
      </c>
      <c r="BY123">
        <f t="shared" si="50"/>
        <v>1764.8352706666665</v>
      </c>
      <c r="BZ123">
        <v>4974.7975500000002</v>
      </c>
      <c r="CA123">
        <f t="shared" si="51"/>
        <v>8160.7574939999986</v>
      </c>
      <c r="CB123">
        <f t="shared" si="52"/>
        <v>15256.635270666666</v>
      </c>
      <c r="CC123">
        <v>0</v>
      </c>
      <c r="CD123">
        <v>0</v>
      </c>
      <c r="CE123">
        <f t="shared" si="53"/>
        <v>0</v>
      </c>
      <c r="CF123">
        <f t="shared" si="54"/>
        <v>13491.8</v>
      </c>
      <c r="CG123">
        <f t="shared" si="55"/>
        <v>8160.7574939999986</v>
      </c>
      <c r="CH123">
        <f t="shared" si="56"/>
        <v>0</v>
      </c>
      <c r="CJ123" t="s">
        <v>278</v>
      </c>
      <c r="CL123" t="str">
        <f t="shared" si="57"/>
        <v/>
      </c>
    </row>
    <row r="124" spans="1:90" x14ac:dyDescent="0.25">
      <c r="A124" t="s">
        <v>110</v>
      </c>
      <c r="B124" t="s">
        <v>184</v>
      </c>
      <c r="C124" s="1">
        <v>46235</v>
      </c>
      <c r="D124" t="s">
        <v>174</v>
      </c>
      <c r="E124" t="s">
        <v>175</v>
      </c>
      <c r="F124" s="4">
        <v>1</v>
      </c>
      <c r="G124" s="4">
        <v>0.25</v>
      </c>
      <c r="H124" s="9">
        <v>13491.8</v>
      </c>
      <c r="I124" s="9">
        <v>2248.6333333333332</v>
      </c>
      <c r="J124" s="9">
        <f t="shared" si="29"/>
        <v>15740.433333333332</v>
      </c>
      <c r="K124" s="9">
        <v>0</v>
      </c>
      <c r="L124" s="9">
        <f t="shared" si="30"/>
        <v>0</v>
      </c>
      <c r="M124">
        <v>0</v>
      </c>
      <c r="N124" s="4">
        <f t="shared" si="31"/>
        <v>0</v>
      </c>
      <c r="O124" s="9">
        <v>10289.43</v>
      </c>
      <c r="P124" s="9">
        <v>2698.3599999999997</v>
      </c>
      <c r="Q124" s="9">
        <v>42.07</v>
      </c>
      <c r="R124" s="9">
        <v>113</v>
      </c>
      <c r="S124" s="9">
        <v>126.22</v>
      </c>
      <c r="T124" s="9">
        <v>222.72</v>
      </c>
      <c r="U124" s="9">
        <v>0</v>
      </c>
      <c r="V124" s="9">
        <v>0</v>
      </c>
      <c r="W124" s="9">
        <f t="shared" si="32"/>
        <v>13491.8</v>
      </c>
      <c r="X124" s="9">
        <v>2248.6333333333332</v>
      </c>
      <c r="Y124" s="9">
        <v>0</v>
      </c>
      <c r="Z124" s="9">
        <v>15740.433333333332</v>
      </c>
      <c r="AA124" s="9">
        <v>0</v>
      </c>
      <c r="AB124" s="9">
        <f t="shared" si="33"/>
        <v>15740.433333333332</v>
      </c>
      <c r="AC124" s="9">
        <v>5101.2</v>
      </c>
      <c r="AD124" s="9">
        <v>0</v>
      </c>
      <c r="AE124" s="9">
        <v>13323.51</v>
      </c>
      <c r="AF124" s="9">
        <v>239.75639999999999</v>
      </c>
      <c r="AG124" s="9">
        <v>1203.8832</v>
      </c>
      <c r="AH124" s="9">
        <v>79.068600000000004</v>
      </c>
      <c r="AI124" s="9">
        <v>280.56599999999997</v>
      </c>
      <c r="AJ124" s="9">
        <v>10.202399999999999</v>
      </c>
      <c r="AK124" s="9">
        <v>5.1011999999999995</v>
      </c>
      <c r="AL124" s="9">
        <v>30.607199999999999</v>
      </c>
      <c r="AM124" s="9">
        <v>7.6517999999999997</v>
      </c>
      <c r="AN124" s="9">
        <v>38.259</v>
      </c>
      <c r="AO124" s="9">
        <v>76.518000000000001</v>
      </c>
      <c r="AP124" s="9">
        <v>510.11999999999989</v>
      </c>
      <c r="AQ124" s="25">
        <v>1.9E-3</v>
      </c>
      <c r="AR124" s="9">
        <f t="shared" si="34"/>
        <v>0.96922799999999976</v>
      </c>
      <c r="AS124" s="25">
        <v>9.5999999999999992E-3</v>
      </c>
      <c r="AT124" s="9">
        <f t="shared" si="35"/>
        <v>4.8971519999999984</v>
      </c>
      <c r="AU124" s="9">
        <v>2040.4800000000005</v>
      </c>
      <c r="AV124" s="25">
        <v>2.0999999999999999E-3</v>
      </c>
      <c r="AW124" s="9">
        <f t="shared" si="36"/>
        <v>4.2850080000000004</v>
      </c>
      <c r="AX124" s="25">
        <v>1.04E-2</v>
      </c>
      <c r="AY124" s="9">
        <f t="shared" si="37"/>
        <v>21.220992000000003</v>
      </c>
      <c r="AZ124" s="9">
        <v>8088.6333333333323</v>
      </c>
      <c r="BA124" s="25">
        <v>2.3999999999999998E-3</v>
      </c>
      <c r="BB124" s="9">
        <f t="shared" si="38"/>
        <v>19.412719999999997</v>
      </c>
      <c r="BC124" s="25">
        <v>1.2200000000000001E-2</v>
      </c>
      <c r="BD124" s="9">
        <f t="shared" si="39"/>
        <v>98.681326666666664</v>
      </c>
      <c r="BE124" s="9">
        <v>510.11999999999989</v>
      </c>
      <c r="BF124" s="9">
        <v>1.9E-3</v>
      </c>
      <c r="BG124" s="9">
        <f t="shared" si="40"/>
        <v>0.96922799999999976</v>
      </c>
      <c r="BH124" s="9">
        <v>9.5999999999999992E-3</v>
      </c>
      <c r="BI124" s="9">
        <f t="shared" si="41"/>
        <v>4.8971519999999984</v>
      </c>
      <c r="BJ124" s="9">
        <v>2040.4800000000005</v>
      </c>
      <c r="BK124" s="9">
        <v>2.0999999999999999E-3</v>
      </c>
      <c r="BL124" s="9">
        <f t="shared" si="42"/>
        <v>4.2850080000000004</v>
      </c>
      <c r="BM124" s="9">
        <v>1.04E-2</v>
      </c>
      <c r="BN124" s="9">
        <f t="shared" si="43"/>
        <v>21.220992000000003</v>
      </c>
      <c r="BO124" s="9">
        <v>7816.114583333333</v>
      </c>
      <c r="BP124" s="9">
        <v>2.3999999999999998E-3</v>
      </c>
      <c r="BQ124" s="9">
        <f t="shared" si="44"/>
        <v>18.758674999999997</v>
      </c>
      <c r="BR124" s="9">
        <v>1.2200000000000001E-2</v>
      </c>
      <c r="BS124" s="9">
        <f t="shared" si="45"/>
        <v>95.356597916666672</v>
      </c>
      <c r="BT124" s="9">
        <f t="shared" si="46"/>
        <v>24.666955999999999</v>
      </c>
      <c r="BU124" s="9">
        <f t="shared" si="47"/>
        <v>124.79947066666666</v>
      </c>
      <c r="BV124" s="9">
        <f t="shared" si="48"/>
        <v>356.244956</v>
      </c>
      <c r="BW124">
        <f t="shared" si="49"/>
        <v>356.244956</v>
      </c>
      <c r="BX124">
        <v>0</v>
      </c>
      <c r="BY124">
        <f t="shared" si="50"/>
        <v>1764.8352706666665</v>
      </c>
      <c r="BZ124">
        <v>4974.7975500000002</v>
      </c>
      <c r="CA124">
        <f t="shared" si="51"/>
        <v>8160.7574939999986</v>
      </c>
      <c r="CB124">
        <f t="shared" si="52"/>
        <v>15256.635270666666</v>
      </c>
      <c r="CC124">
        <v>0</v>
      </c>
      <c r="CD124">
        <v>0</v>
      </c>
      <c r="CE124">
        <f t="shared" si="53"/>
        <v>0</v>
      </c>
      <c r="CF124">
        <f t="shared" si="54"/>
        <v>13491.8</v>
      </c>
      <c r="CG124">
        <f t="shared" si="55"/>
        <v>8160.7574939999986</v>
      </c>
      <c r="CH124">
        <f t="shared" si="56"/>
        <v>0</v>
      </c>
      <c r="CJ124" t="s">
        <v>278</v>
      </c>
      <c r="CL124" t="str">
        <f t="shared" si="57"/>
        <v/>
      </c>
    </row>
    <row r="125" spans="1:90" x14ac:dyDescent="0.25">
      <c r="A125" t="s">
        <v>110</v>
      </c>
      <c r="B125" t="s">
        <v>185</v>
      </c>
      <c r="C125" s="1">
        <v>46266</v>
      </c>
      <c r="D125" t="s">
        <v>174</v>
      </c>
      <c r="E125" t="s">
        <v>175</v>
      </c>
      <c r="F125" s="4">
        <v>1</v>
      </c>
      <c r="G125" s="4">
        <v>0.25</v>
      </c>
      <c r="H125" s="9">
        <v>13491.8</v>
      </c>
      <c r="I125" s="9">
        <v>2248.6333333333332</v>
      </c>
      <c r="J125" s="9">
        <f t="shared" si="29"/>
        <v>15740.433333333332</v>
      </c>
      <c r="K125" s="9">
        <v>0</v>
      </c>
      <c r="L125" s="9">
        <f t="shared" si="30"/>
        <v>0</v>
      </c>
      <c r="M125">
        <v>0</v>
      </c>
      <c r="N125" s="4">
        <f t="shared" si="31"/>
        <v>0</v>
      </c>
      <c r="O125" s="9">
        <v>10289.43</v>
      </c>
      <c r="P125" s="9">
        <v>2698.3599999999997</v>
      </c>
      <c r="Q125" s="9">
        <v>42.07</v>
      </c>
      <c r="R125" s="9">
        <v>113</v>
      </c>
      <c r="S125" s="9">
        <v>126.22</v>
      </c>
      <c r="T125" s="9">
        <v>222.72</v>
      </c>
      <c r="U125" s="9">
        <v>0</v>
      </c>
      <c r="V125" s="9">
        <v>0</v>
      </c>
      <c r="W125" s="9">
        <f t="shared" si="32"/>
        <v>13491.8</v>
      </c>
      <c r="X125" s="9">
        <v>2248.6333333333332</v>
      </c>
      <c r="Y125" s="9">
        <v>0</v>
      </c>
      <c r="Z125" s="9">
        <v>15740.433333333332</v>
      </c>
      <c r="AA125" s="9">
        <v>0</v>
      </c>
      <c r="AB125" s="9">
        <f t="shared" si="33"/>
        <v>15740.433333333332</v>
      </c>
      <c r="AC125" s="9">
        <v>5101.2</v>
      </c>
      <c r="AD125" s="9">
        <v>0</v>
      </c>
      <c r="AE125" s="9">
        <v>13323.51</v>
      </c>
      <c r="AF125" s="9">
        <v>239.75639999999999</v>
      </c>
      <c r="AG125" s="9">
        <v>1203.8832</v>
      </c>
      <c r="AH125" s="9">
        <v>79.068600000000004</v>
      </c>
      <c r="AI125" s="9">
        <v>280.56599999999997</v>
      </c>
      <c r="AJ125" s="9">
        <v>10.202399999999999</v>
      </c>
      <c r="AK125" s="9">
        <v>5.1011999999999995</v>
      </c>
      <c r="AL125" s="9">
        <v>30.607199999999999</v>
      </c>
      <c r="AM125" s="9">
        <v>7.6517999999999997</v>
      </c>
      <c r="AN125" s="9">
        <v>38.259</v>
      </c>
      <c r="AO125" s="9">
        <v>76.518000000000001</v>
      </c>
      <c r="AP125" s="9">
        <v>510.11999999999989</v>
      </c>
      <c r="AQ125" s="25">
        <v>1.9E-3</v>
      </c>
      <c r="AR125" s="9">
        <f t="shared" si="34"/>
        <v>0.96922799999999976</v>
      </c>
      <c r="AS125" s="25">
        <v>9.5999999999999992E-3</v>
      </c>
      <c r="AT125" s="9">
        <f t="shared" si="35"/>
        <v>4.8971519999999984</v>
      </c>
      <c r="AU125" s="9">
        <v>2040.4800000000005</v>
      </c>
      <c r="AV125" s="25">
        <v>2.0999999999999999E-3</v>
      </c>
      <c r="AW125" s="9">
        <f t="shared" si="36"/>
        <v>4.2850080000000004</v>
      </c>
      <c r="AX125" s="25">
        <v>1.04E-2</v>
      </c>
      <c r="AY125" s="9">
        <f t="shared" si="37"/>
        <v>21.220992000000003</v>
      </c>
      <c r="AZ125" s="9">
        <v>8088.6333333333323</v>
      </c>
      <c r="BA125" s="25">
        <v>2.3999999999999998E-3</v>
      </c>
      <c r="BB125" s="9">
        <f t="shared" si="38"/>
        <v>19.412719999999997</v>
      </c>
      <c r="BC125" s="25">
        <v>1.2200000000000001E-2</v>
      </c>
      <c r="BD125" s="9">
        <f t="shared" si="39"/>
        <v>98.681326666666664</v>
      </c>
      <c r="BE125" s="9">
        <v>510.11999999999989</v>
      </c>
      <c r="BF125" s="9">
        <v>1.9E-3</v>
      </c>
      <c r="BG125" s="9">
        <f t="shared" si="40"/>
        <v>0.96922799999999976</v>
      </c>
      <c r="BH125" s="9">
        <v>9.5999999999999992E-3</v>
      </c>
      <c r="BI125" s="9">
        <f t="shared" si="41"/>
        <v>4.8971519999999984</v>
      </c>
      <c r="BJ125" s="9">
        <v>2040.4800000000005</v>
      </c>
      <c r="BK125" s="9">
        <v>2.0999999999999999E-3</v>
      </c>
      <c r="BL125" s="9">
        <f t="shared" si="42"/>
        <v>4.2850080000000004</v>
      </c>
      <c r="BM125" s="9">
        <v>1.04E-2</v>
      </c>
      <c r="BN125" s="9">
        <f t="shared" si="43"/>
        <v>21.220992000000003</v>
      </c>
      <c r="BO125" s="9">
        <v>7816.114583333333</v>
      </c>
      <c r="BP125" s="9">
        <v>2.3999999999999998E-3</v>
      </c>
      <c r="BQ125" s="9">
        <f t="shared" si="44"/>
        <v>18.758674999999997</v>
      </c>
      <c r="BR125" s="9">
        <v>1.2200000000000001E-2</v>
      </c>
      <c r="BS125" s="9">
        <f t="shared" si="45"/>
        <v>95.356597916666672</v>
      </c>
      <c r="BT125" s="9">
        <f t="shared" si="46"/>
        <v>24.666955999999999</v>
      </c>
      <c r="BU125" s="9">
        <f t="shared" si="47"/>
        <v>124.79947066666666</v>
      </c>
      <c r="BV125" s="9">
        <f t="shared" si="48"/>
        <v>356.244956</v>
      </c>
      <c r="BW125">
        <f t="shared" si="49"/>
        <v>356.244956</v>
      </c>
      <c r="BX125">
        <v>0</v>
      </c>
      <c r="BY125">
        <f t="shared" si="50"/>
        <v>1764.8352706666665</v>
      </c>
      <c r="BZ125">
        <v>4974.7975500000002</v>
      </c>
      <c r="CA125">
        <f t="shared" si="51"/>
        <v>8160.7574939999986</v>
      </c>
      <c r="CB125">
        <f t="shared" si="52"/>
        <v>15256.635270666666</v>
      </c>
      <c r="CC125">
        <v>0</v>
      </c>
      <c r="CD125">
        <v>0</v>
      </c>
      <c r="CE125">
        <f t="shared" si="53"/>
        <v>0</v>
      </c>
      <c r="CF125">
        <f t="shared" si="54"/>
        <v>13491.8</v>
      </c>
      <c r="CG125">
        <f t="shared" si="55"/>
        <v>8160.7574939999986</v>
      </c>
      <c r="CH125">
        <f t="shared" si="56"/>
        <v>0</v>
      </c>
      <c r="CJ125" t="s">
        <v>278</v>
      </c>
      <c r="CL125" t="str">
        <f t="shared" si="57"/>
        <v/>
      </c>
    </row>
    <row r="126" spans="1:90" x14ac:dyDescent="0.25">
      <c r="A126" t="s">
        <v>110</v>
      </c>
      <c r="B126" t="s">
        <v>186</v>
      </c>
      <c r="C126" s="1">
        <v>46296</v>
      </c>
      <c r="D126" t="s">
        <v>174</v>
      </c>
      <c r="E126" t="s">
        <v>175</v>
      </c>
      <c r="F126" s="4">
        <v>1</v>
      </c>
      <c r="G126" s="4">
        <v>0.25</v>
      </c>
      <c r="H126" s="9">
        <v>13491.8</v>
      </c>
      <c r="I126" s="9">
        <v>2248.6333333333332</v>
      </c>
      <c r="J126" s="9">
        <f t="shared" si="29"/>
        <v>15740.433333333332</v>
      </c>
      <c r="K126" s="9">
        <v>0</v>
      </c>
      <c r="L126" s="9">
        <f t="shared" si="30"/>
        <v>0</v>
      </c>
      <c r="M126">
        <v>0</v>
      </c>
      <c r="N126" s="4">
        <f t="shared" si="31"/>
        <v>0</v>
      </c>
      <c r="O126" s="9">
        <v>10289.43</v>
      </c>
      <c r="P126" s="9">
        <v>2698.3599999999997</v>
      </c>
      <c r="Q126" s="9">
        <v>42.07</v>
      </c>
      <c r="R126" s="9">
        <v>113</v>
      </c>
      <c r="S126" s="9">
        <v>126.22</v>
      </c>
      <c r="T126" s="9">
        <v>222.72</v>
      </c>
      <c r="U126" s="9">
        <v>0</v>
      </c>
      <c r="V126" s="9">
        <v>0</v>
      </c>
      <c r="W126" s="9">
        <f t="shared" si="32"/>
        <v>13491.8</v>
      </c>
      <c r="X126" s="9">
        <v>2248.6333333333332</v>
      </c>
      <c r="Y126" s="9">
        <v>0</v>
      </c>
      <c r="Z126" s="9">
        <v>15740.433333333332</v>
      </c>
      <c r="AA126" s="9">
        <v>0</v>
      </c>
      <c r="AB126" s="9">
        <f t="shared" si="33"/>
        <v>15740.433333333332</v>
      </c>
      <c r="AC126" s="9">
        <v>5101.2</v>
      </c>
      <c r="AD126" s="9">
        <v>0</v>
      </c>
      <c r="AE126" s="9">
        <v>13323.51</v>
      </c>
      <c r="AF126" s="9">
        <v>239.75639999999999</v>
      </c>
      <c r="AG126" s="9">
        <v>1203.8832</v>
      </c>
      <c r="AH126" s="9">
        <v>79.068600000000004</v>
      </c>
      <c r="AI126" s="9">
        <v>280.56599999999997</v>
      </c>
      <c r="AJ126" s="9">
        <v>10.202399999999999</v>
      </c>
      <c r="AK126" s="9">
        <v>5.1011999999999995</v>
      </c>
      <c r="AL126" s="9">
        <v>30.607199999999999</v>
      </c>
      <c r="AM126" s="9">
        <v>7.6517999999999997</v>
      </c>
      <c r="AN126" s="9">
        <v>38.259</v>
      </c>
      <c r="AO126" s="9">
        <v>76.518000000000001</v>
      </c>
      <c r="AP126" s="9">
        <v>510.11999999999989</v>
      </c>
      <c r="AQ126" s="25">
        <v>1.9E-3</v>
      </c>
      <c r="AR126" s="9">
        <f t="shared" si="34"/>
        <v>0.96922799999999976</v>
      </c>
      <c r="AS126" s="25">
        <v>9.5999999999999992E-3</v>
      </c>
      <c r="AT126" s="9">
        <f t="shared" si="35"/>
        <v>4.8971519999999984</v>
      </c>
      <c r="AU126" s="9">
        <v>2040.4800000000005</v>
      </c>
      <c r="AV126" s="25">
        <v>2.0999999999999999E-3</v>
      </c>
      <c r="AW126" s="9">
        <f t="shared" si="36"/>
        <v>4.2850080000000004</v>
      </c>
      <c r="AX126" s="25">
        <v>1.04E-2</v>
      </c>
      <c r="AY126" s="9">
        <f t="shared" si="37"/>
        <v>21.220992000000003</v>
      </c>
      <c r="AZ126" s="9">
        <v>8088.6333333333323</v>
      </c>
      <c r="BA126" s="25">
        <v>2.3999999999999998E-3</v>
      </c>
      <c r="BB126" s="9">
        <f t="shared" si="38"/>
        <v>19.412719999999997</v>
      </c>
      <c r="BC126" s="25">
        <v>1.2200000000000001E-2</v>
      </c>
      <c r="BD126" s="9">
        <f t="shared" si="39"/>
        <v>98.681326666666664</v>
      </c>
      <c r="BE126" s="9">
        <v>510.11999999999989</v>
      </c>
      <c r="BF126" s="9">
        <v>1.9E-3</v>
      </c>
      <c r="BG126" s="9">
        <f t="shared" si="40"/>
        <v>0.96922799999999976</v>
      </c>
      <c r="BH126" s="9">
        <v>9.5999999999999992E-3</v>
      </c>
      <c r="BI126" s="9">
        <f t="shared" si="41"/>
        <v>4.8971519999999984</v>
      </c>
      <c r="BJ126" s="9">
        <v>2040.4800000000005</v>
      </c>
      <c r="BK126" s="9">
        <v>2.0999999999999999E-3</v>
      </c>
      <c r="BL126" s="9">
        <f t="shared" si="42"/>
        <v>4.2850080000000004</v>
      </c>
      <c r="BM126" s="9">
        <v>1.04E-2</v>
      </c>
      <c r="BN126" s="9">
        <f t="shared" si="43"/>
        <v>21.220992000000003</v>
      </c>
      <c r="BO126" s="9">
        <v>7816.114583333333</v>
      </c>
      <c r="BP126" s="9">
        <v>2.3999999999999998E-3</v>
      </c>
      <c r="BQ126" s="9">
        <f t="shared" si="44"/>
        <v>18.758674999999997</v>
      </c>
      <c r="BR126" s="9">
        <v>1.2200000000000001E-2</v>
      </c>
      <c r="BS126" s="9">
        <f t="shared" si="45"/>
        <v>95.356597916666672</v>
      </c>
      <c r="BT126" s="9">
        <f t="shared" si="46"/>
        <v>24.666955999999999</v>
      </c>
      <c r="BU126" s="9">
        <f t="shared" si="47"/>
        <v>124.79947066666666</v>
      </c>
      <c r="BV126" s="9">
        <f t="shared" si="48"/>
        <v>356.244956</v>
      </c>
      <c r="BW126">
        <f t="shared" si="49"/>
        <v>356.244956</v>
      </c>
      <c r="BX126">
        <v>0</v>
      </c>
      <c r="BY126">
        <f t="shared" si="50"/>
        <v>1764.8352706666665</v>
      </c>
      <c r="BZ126">
        <v>4974.7975500000002</v>
      </c>
      <c r="CA126">
        <f t="shared" si="51"/>
        <v>8160.7574939999986</v>
      </c>
      <c r="CB126">
        <f t="shared" si="52"/>
        <v>15256.635270666666</v>
      </c>
      <c r="CC126">
        <v>0</v>
      </c>
      <c r="CD126">
        <v>0</v>
      </c>
      <c r="CE126">
        <f t="shared" si="53"/>
        <v>0</v>
      </c>
      <c r="CF126">
        <f t="shared" si="54"/>
        <v>13491.8</v>
      </c>
      <c r="CG126">
        <f t="shared" si="55"/>
        <v>8160.7574939999986</v>
      </c>
      <c r="CH126">
        <f t="shared" si="56"/>
        <v>0</v>
      </c>
      <c r="CJ126" t="s">
        <v>278</v>
      </c>
      <c r="CL126" t="str">
        <f t="shared" si="57"/>
        <v/>
      </c>
    </row>
    <row r="127" spans="1:90" x14ac:dyDescent="0.25">
      <c r="A127" t="s">
        <v>110</v>
      </c>
      <c r="B127" t="s">
        <v>187</v>
      </c>
      <c r="C127" s="1">
        <v>46327</v>
      </c>
      <c r="D127" t="s">
        <v>174</v>
      </c>
      <c r="E127" t="s">
        <v>175</v>
      </c>
      <c r="F127" s="4">
        <v>1</v>
      </c>
      <c r="G127" s="4">
        <v>0.25</v>
      </c>
      <c r="H127" s="9">
        <v>13491.8</v>
      </c>
      <c r="I127" s="9">
        <v>2248.6333333333332</v>
      </c>
      <c r="J127" s="9">
        <f t="shared" si="29"/>
        <v>15740.433333333332</v>
      </c>
      <c r="K127" s="9">
        <v>0</v>
      </c>
      <c r="L127" s="9">
        <f t="shared" si="30"/>
        <v>0</v>
      </c>
      <c r="M127">
        <v>0</v>
      </c>
      <c r="N127" s="4">
        <f t="shared" si="31"/>
        <v>0</v>
      </c>
      <c r="O127" s="9">
        <v>10289.43</v>
      </c>
      <c r="P127" s="9">
        <v>2698.3599999999997</v>
      </c>
      <c r="Q127" s="9">
        <v>42.07</v>
      </c>
      <c r="R127" s="9">
        <v>113</v>
      </c>
      <c r="S127" s="9">
        <v>126.22</v>
      </c>
      <c r="T127" s="9">
        <v>222.72</v>
      </c>
      <c r="U127" s="9">
        <v>0</v>
      </c>
      <c r="V127" s="9">
        <v>0</v>
      </c>
      <c r="W127" s="9">
        <f t="shared" si="32"/>
        <v>13491.8</v>
      </c>
      <c r="X127" s="9">
        <v>2248.6333333333332</v>
      </c>
      <c r="Y127" s="9">
        <v>0</v>
      </c>
      <c r="Z127" s="9">
        <v>15740.433333333332</v>
      </c>
      <c r="AA127" s="9">
        <v>0</v>
      </c>
      <c r="AB127" s="9">
        <f t="shared" si="33"/>
        <v>15740.433333333332</v>
      </c>
      <c r="AC127" s="9">
        <v>5101.2</v>
      </c>
      <c r="AD127" s="9">
        <v>0</v>
      </c>
      <c r="AE127" s="9">
        <v>13323.51</v>
      </c>
      <c r="AF127" s="9">
        <v>239.75639999999999</v>
      </c>
      <c r="AG127" s="9">
        <v>1203.8832</v>
      </c>
      <c r="AH127" s="9">
        <v>79.068600000000004</v>
      </c>
      <c r="AI127" s="9">
        <v>280.56599999999997</v>
      </c>
      <c r="AJ127" s="9">
        <v>10.202399999999999</v>
      </c>
      <c r="AK127" s="9">
        <v>5.1011999999999995</v>
      </c>
      <c r="AL127" s="9">
        <v>30.607199999999999</v>
      </c>
      <c r="AM127" s="9">
        <v>7.6517999999999997</v>
      </c>
      <c r="AN127" s="9">
        <v>38.259</v>
      </c>
      <c r="AO127" s="9">
        <v>76.518000000000001</v>
      </c>
      <c r="AP127" s="9">
        <v>510.11999999999989</v>
      </c>
      <c r="AQ127" s="25">
        <v>1.9E-3</v>
      </c>
      <c r="AR127" s="9">
        <f t="shared" si="34"/>
        <v>0.96922799999999976</v>
      </c>
      <c r="AS127" s="25">
        <v>9.5999999999999992E-3</v>
      </c>
      <c r="AT127" s="9">
        <f t="shared" si="35"/>
        <v>4.8971519999999984</v>
      </c>
      <c r="AU127" s="9">
        <v>2040.4800000000005</v>
      </c>
      <c r="AV127" s="25">
        <v>2.0999999999999999E-3</v>
      </c>
      <c r="AW127" s="9">
        <f t="shared" si="36"/>
        <v>4.2850080000000004</v>
      </c>
      <c r="AX127" s="25">
        <v>1.04E-2</v>
      </c>
      <c r="AY127" s="9">
        <f t="shared" si="37"/>
        <v>21.220992000000003</v>
      </c>
      <c r="AZ127" s="9">
        <v>8088.6333333333323</v>
      </c>
      <c r="BA127" s="25">
        <v>2.3999999999999998E-3</v>
      </c>
      <c r="BB127" s="9">
        <f t="shared" si="38"/>
        <v>19.412719999999997</v>
      </c>
      <c r="BC127" s="25">
        <v>1.2200000000000001E-2</v>
      </c>
      <c r="BD127" s="9">
        <f t="shared" si="39"/>
        <v>98.681326666666664</v>
      </c>
      <c r="BE127" s="9">
        <v>510.11999999999989</v>
      </c>
      <c r="BF127" s="9">
        <v>1.9E-3</v>
      </c>
      <c r="BG127" s="9">
        <f t="shared" si="40"/>
        <v>0.96922799999999976</v>
      </c>
      <c r="BH127" s="9">
        <v>9.5999999999999992E-3</v>
      </c>
      <c r="BI127" s="9">
        <f t="shared" si="41"/>
        <v>4.8971519999999984</v>
      </c>
      <c r="BJ127" s="9">
        <v>2040.4800000000005</v>
      </c>
      <c r="BK127" s="9">
        <v>2.0999999999999999E-3</v>
      </c>
      <c r="BL127" s="9">
        <f t="shared" si="42"/>
        <v>4.2850080000000004</v>
      </c>
      <c r="BM127" s="9">
        <v>1.04E-2</v>
      </c>
      <c r="BN127" s="9">
        <f t="shared" si="43"/>
        <v>21.220992000000003</v>
      </c>
      <c r="BO127" s="9">
        <v>7816.114583333333</v>
      </c>
      <c r="BP127" s="9">
        <v>2.3999999999999998E-3</v>
      </c>
      <c r="BQ127" s="9">
        <f t="shared" si="44"/>
        <v>18.758674999999997</v>
      </c>
      <c r="BR127" s="9">
        <v>1.2200000000000001E-2</v>
      </c>
      <c r="BS127" s="9">
        <f t="shared" si="45"/>
        <v>95.356597916666672</v>
      </c>
      <c r="BT127" s="9">
        <f t="shared" si="46"/>
        <v>24.666955999999999</v>
      </c>
      <c r="BU127" s="9">
        <f t="shared" si="47"/>
        <v>124.79947066666666</v>
      </c>
      <c r="BV127" s="9">
        <f t="shared" si="48"/>
        <v>356.244956</v>
      </c>
      <c r="BW127">
        <f t="shared" si="49"/>
        <v>356.244956</v>
      </c>
      <c r="BX127">
        <v>0</v>
      </c>
      <c r="BY127">
        <f t="shared" si="50"/>
        <v>1764.8352706666665</v>
      </c>
      <c r="BZ127">
        <v>4974.7975500000002</v>
      </c>
      <c r="CA127">
        <f t="shared" si="51"/>
        <v>8160.7574939999986</v>
      </c>
      <c r="CB127">
        <f t="shared" si="52"/>
        <v>15256.635270666666</v>
      </c>
      <c r="CC127">
        <v>0</v>
      </c>
      <c r="CD127">
        <v>0</v>
      </c>
      <c r="CE127">
        <f t="shared" si="53"/>
        <v>0</v>
      </c>
      <c r="CF127">
        <f t="shared" si="54"/>
        <v>13491.8</v>
      </c>
      <c r="CG127">
        <f t="shared" si="55"/>
        <v>8160.7574939999986</v>
      </c>
      <c r="CH127">
        <f t="shared" si="56"/>
        <v>0</v>
      </c>
      <c r="CJ127" t="s">
        <v>278</v>
      </c>
      <c r="CL127" t="str">
        <f t="shared" si="57"/>
        <v/>
      </c>
    </row>
    <row r="128" spans="1:90" x14ac:dyDescent="0.25">
      <c r="A128" t="s">
        <v>110</v>
      </c>
      <c r="B128" t="s">
        <v>188</v>
      </c>
      <c r="C128" s="1">
        <v>46357</v>
      </c>
      <c r="D128" t="s">
        <v>182</v>
      </c>
      <c r="E128" t="s">
        <v>175</v>
      </c>
      <c r="F128" s="4">
        <v>1</v>
      </c>
      <c r="G128" s="4">
        <v>0.25</v>
      </c>
      <c r="H128" s="9">
        <v>13491.8</v>
      </c>
      <c r="I128" s="9">
        <v>2248.6333333333332</v>
      </c>
      <c r="J128" s="9">
        <f t="shared" si="29"/>
        <v>15740.433333333332</v>
      </c>
      <c r="K128" s="9">
        <v>0</v>
      </c>
      <c r="L128" s="9">
        <f t="shared" si="30"/>
        <v>0</v>
      </c>
      <c r="M128">
        <v>0</v>
      </c>
      <c r="N128" s="4">
        <f t="shared" si="31"/>
        <v>0</v>
      </c>
      <c r="O128" s="9">
        <v>10289.43</v>
      </c>
      <c r="P128" s="9">
        <v>2698.3599999999997</v>
      </c>
      <c r="Q128" s="9">
        <v>42.07</v>
      </c>
      <c r="R128" s="9">
        <v>113</v>
      </c>
      <c r="S128" s="9">
        <v>126.22</v>
      </c>
      <c r="T128" s="9">
        <v>222.72</v>
      </c>
      <c r="U128" s="9">
        <v>0</v>
      </c>
      <c r="V128" s="9">
        <v>0</v>
      </c>
      <c r="W128" s="9">
        <f t="shared" si="32"/>
        <v>13491.8</v>
      </c>
      <c r="X128" s="9">
        <v>0</v>
      </c>
      <c r="Y128" s="9">
        <v>0</v>
      </c>
      <c r="Z128" s="9">
        <v>0</v>
      </c>
      <c r="AA128" s="9">
        <v>0</v>
      </c>
      <c r="AB128" s="9">
        <f t="shared" si="33"/>
        <v>0</v>
      </c>
      <c r="AC128" s="9">
        <v>0</v>
      </c>
      <c r="AD128" s="9">
        <v>0</v>
      </c>
      <c r="AE128" s="9">
        <v>13323.51</v>
      </c>
      <c r="AF128" s="9">
        <v>0</v>
      </c>
      <c r="AG128" s="9">
        <v>0</v>
      </c>
      <c r="AH128" s="9">
        <v>0</v>
      </c>
      <c r="AI128" s="9">
        <v>0</v>
      </c>
      <c r="AJ128" s="9">
        <v>0</v>
      </c>
      <c r="AK128" s="9">
        <v>0</v>
      </c>
      <c r="AL128" s="9">
        <v>0</v>
      </c>
      <c r="AM128" s="9">
        <v>0</v>
      </c>
      <c r="AN128" s="9">
        <v>0</v>
      </c>
      <c r="AO128" s="9">
        <v>0</v>
      </c>
      <c r="AP128" s="9">
        <v>0</v>
      </c>
      <c r="AQ128" s="25">
        <v>0</v>
      </c>
      <c r="AR128" s="9">
        <f t="shared" si="34"/>
        <v>0</v>
      </c>
      <c r="AS128" s="25">
        <v>0</v>
      </c>
      <c r="AT128" s="9">
        <f t="shared" si="35"/>
        <v>0</v>
      </c>
      <c r="AU128" s="9">
        <v>0</v>
      </c>
      <c r="AV128" s="25">
        <v>0</v>
      </c>
      <c r="AW128" s="9">
        <f t="shared" si="36"/>
        <v>0</v>
      </c>
      <c r="AX128" s="25">
        <v>0</v>
      </c>
      <c r="AY128" s="9">
        <f t="shared" si="37"/>
        <v>0</v>
      </c>
      <c r="AZ128" s="9">
        <v>0</v>
      </c>
      <c r="BA128" s="25">
        <v>0</v>
      </c>
      <c r="BB128" s="9">
        <f t="shared" si="38"/>
        <v>0</v>
      </c>
      <c r="BC128" s="25">
        <v>0</v>
      </c>
      <c r="BD128" s="9">
        <f t="shared" si="39"/>
        <v>0</v>
      </c>
      <c r="BE128" s="9">
        <v>0</v>
      </c>
      <c r="BF128" s="9">
        <v>0</v>
      </c>
      <c r="BG128" s="9">
        <f t="shared" si="40"/>
        <v>0</v>
      </c>
      <c r="BH128" s="9">
        <v>0</v>
      </c>
      <c r="BI128" s="9">
        <f t="shared" si="41"/>
        <v>0</v>
      </c>
      <c r="BJ128" s="9">
        <v>0</v>
      </c>
      <c r="BK128" s="9">
        <v>0</v>
      </c>
      <c r="BL128" s="9">
        <f t="shared" si="42"/>
        <v>0</v>
      </c>
      <c r="BM128" s="9">
        <v>0</v>
      </c>
      <c r="BN128" s="9">
        <f t="shared" si="43"/>
        <v>0</v>
      </c>
      <c r="BO128" s="9">
        <v>0</v>
      </c>
      <c r="BP128" s="9">
        <v>0</v>
      </c>
      <c r="BQ128" s="9">
        <f t="shared" si="44"/>
        <v>0</v>
      </c>
      <c r="BR128" s="9">
        <v>0</v>
      </c>
      <c r="BS128" s="9">
        <f t="shared" si="45"/>
        <v>0</v>
      </c>
      <c r="BT128" s="9">
        <f t="shared" si="46"/>
        <v>0</v>
      </c>
      <c r="BU128" s="9">
        <f t="shared" si="47"/>
        <v>0</v>
      </c>
      <c r="BV128" s="9">
        <f t="shared" si="48"/>
        <v>0</v>
      </c>
      <c r="BW128">
        <f t="shared" si="49"/>
        <v>0</v>
      </c>
      <c r="BX128">
        <v>0</v>
      </c>
      <c r="BY128">
        <f t="shared" si="50"/>
        <v>0</v>
      </c>
      <c r="BZ128">
        <v>4974.7975500000002</v>
      </c>
      <c r="CA128">
        <f t="shared" si="51"/>
        <v>8517.00245</v>
      </c>
      <c r="CB128">
        <f t="shared" si="52"/>
        <v>13491.8</v>
      </c>
      <c r="CC128">
        <v>0</v>
      </c>
      <c r="CD128">
        <v>0</v>
      </c>
      <c r="CE128">
        <f t="shared" si="53"/>
        <v>0</v>
      </c>
      <c r="CF128">
        <f t="shared" si="54"/>
        <v>13491.8</v>
      </c>
      <c r="CG128">
        <f t="shared" si="55"/>
        <v>8517.00245</v>
      </c>
      <c r="CH128">
        <f t="shared" si="56"/>
        <v>0</v>
      </c>
      <c r="CJ128" t="s">
        <v>278</v>
      </c>
      <c r="CL128" t="str">
        <f t="shared" si="57"/>
        <v/>
      </c>
    </row>
    <row r="129" spans="1:90" x14ac:dyDescent="0.25">
      <c r="A129" t="s">
        <v>110</v>
      </c>
      <c r="B129" t="s">
        <v>189</v>
      </c>
      <c r="C129" s="1">
        <v>46357</v>
      </c>
      <c r="D129" t="s">
        <v>174</v>
      </c>
      <c r="E129" t="s">
        <v>175</v>
      </c>
      <c r="F129" s="4">
        <v>1</v>
      </c>
      <c r="G129" s="4">
        <v>0.25</v>
      </c>
      <c r="H129" s="9">
        <v>13491.8</v>
      </c>
      <c r="I129" s="9">
        <v>2248.6333333333332</v>
      </c>
      <c r="J129" s="9">
        <f t="shared" si="29"/>
        <v>15740.433333333332</v>
      </c>
      <c r="K129" s="9">
        <v>0</v>
      </c>
      <c r="L129" s="9">
        <f t="shared" si="30"/>
        <v>0</v>
      </c>
      <c r="M129">
        <v>0</v>
      </c>
      <c r="N129" s="4">
        <f t="shared" si="31"/>
        <v>0</v>
      </c>
      <c r="O129" s="9">
        <v>10289.43</v>
      </c>
      <c r="P129" s="9">
        <v>2698.3599999999997</v>
      </c>
      <c r="Q129" s="9">
        <v>42.07</v>
      </c>
      <c r="R129" s="9">
        <v>113</v>
      </c>
      <c r="S129" s="9">
        <v>126.22</v>
      </c>
      <c r="T129" s="9">
        <v>222.72</v>
      </c>
      <c r="U129" s="9">
        <v>0</v>
      </c>
      <c r="V129" s="9">
        <v>0</v>
      </c>
      <c r="W129" s="9">
        <f t="shared" si="32"/>
        <v>13491.8</v>
      </c>
      <c r="X129" s="9">
        <v>2248.6333333333332</v>
      </c>
      <c r="Y129" s="9">
        <v>0</v>
      </c>
      <c r="Z129" s="9">
        <v>15740.433333333332</v>
      </c>
      <c r="AA129" s="9">
        <v>0</v>
      </c>
      <c r="AB129" s="9">
        <f t="shared" si="33"/>
        <v>15740.433333333332</v>
      </c>
      <c r="AC129" s="9">
        <v>5101.2</v>
      </c>
      <c r="AD129" s="9">
        <v>0</v>
      </c>
      <c r="AE129" s="9">
        <v>13323.51</v>
      </c>
      <c r="AF129" s="9">
        <v>239.75639999999999</v>
      </c>
      <c r="AG129" s="9">
        <v>1203.8832</v>
      </c>
      <c r="AH129" s="9">
        <v>79.068600000000004</v>
      </c>
      <c r="AI129" s="9">
        <v>280.56599999999997</v>
      </c>
      <c r="AJ129" s="9">
        <v>10.202399999999999</v>
      </c>
      <c r="AK129" s="9">
        <v>5.1011999999999995</v>
      </c>
      <c r="AL129" s="9">
        <v>30.607199999999999</v>
      </c>
      <c r="AM129" s="9">
        <v>7.6517999999999997</v>
      </c>
      <c r="AN129" s="9">
        <v>38.259</v>
      </c>
      <c r="AO129" s="9">
        <v>76.518000000000001</v>
      </c>
      <c r="AP129" s="9">
        <v>510.11999999999989</v>
      </c>
      <c r="AQ129" s="25">
        <v>1.9E-3</v>
      </c>
      <c r="AR129" s="9">
        <f t="shared" si="34"/>
        <v>0.96922799999999976</v>
      </c>
      <c r="AS129" s="25">
        <v>9.5999999999999992E-3</v>
      </c>
      <c r="AT129" s="9">
        <f t="shared" si="35"/>
        <v>4.8971519999999984</v>
      </c>
      <c r="AU129" s="9">
        <v>2040.4800000000005</v>
      </c>
      <c r="AV129" s="25">
        <v>2.0999999999999999E-3</v>
      </c>
      <c r="AW129" s="9">
        <f t="shared" si="36"/>
        <v>4.2850080000000004</v>
      </c>
      <c r="AX129" s="25">
        <v>1.04E-2</v>
      </c>
      <c r="AY129" s="9">
        <f t="shared" si="37"/>
        <v>21.220992000000003</v>
      </c>
      <c r="AZ129" s="9">
        <v>8088.6333333333323</v>
      </c>
      <c r="BA129" s="25">
        <v>2.3999999999999998E-3</v>
      </c>
      <c r="BB129" s="9">
        <f t="shared" si="38"/>
        <v>19.412719999999997</v>
      </c>
      <c r="BC129" s="25">
        <v>1.2200000000000001E-2</v>
      </c>
      <c r="BD129" s="9">
        <f t="shared" si="39"/>
        <v>98.681326666666664</v>
      </c>
      <c r="BE129" s="9">
        <v>510.11999999999989</v>
      </c>
      <c r="BF129" s="9">
        <v>1.9E-3</v>
      </c>
      <c r="BG129" s="9">
        <f t="shared" si="40"/>
        <v>0.96922799999999976</v>
      </c>
      <c r="BH129" s="9">
        <v>9.5999999999999992E-3</v>
      </c>
      <c r="BI129" s="9">
        <f t="shared" si="41"/>
        <v>4.8971519999999984</v>
      </c>
      <c r="BJ129" s="9">
        <v>2040.4800000000005</v>
      </c>
      <c r="BK129" s="9">
        <v>2.0999999999999999E-3</v>
      </c>
      <c r="BL129" s="9">
        <f t="shared" si="42"/>
        <v>4.2850080000000004</v>
      </c>
      <c r="BM129" s="9">
        <v>1.04E-2</v>
      </c>
      <c r="BN129" s="9">
        <f t="shared" si="43"/>
        <v>21.220992000000003</v>
      </c>
      <c r="BO129" s="9">
        <v>7816.114583333333</v>
      </c>
      <c r="BP129" s="9">
        <v>2.3999999999999998E-3</v>
      </c>
      <c r="BQ129" s="9">
        <f t="shared" si="44"/>
        <v>18.758674999999997</v>
      </c>
      <c r="BR129" s="9">
        <v>1.2200000000000001E-2</v>
      </c>
      <c r="BS129" s="9">
        <f t="shared" si="45"/>
        <v>95.356597916666672</v>
      </c>
      <c r="BT129" s="9">
        <f t="shared" si="46"/>
        <v>24.666955999999999</v>
      </c>
      <c r="BU129" s="9">
        <f t="shared" si="47"/>
        <v>124.79947066666666</v>
      </c>
      <c r="BV129" s="9">
        <f t="shared" si="48"/>
        <v>356.244956</v>
      </c>
      <c r="BW129">
        <f t="shared" si="49"/>
        <v>356.244956</v>
      </c>
      <c r="BX129">
        <v>0</v>
      </c>
      <c r="BY129">
        <f t="shared" si="50"/>
        <v>1764.8352706666665</v>
      </c>
      <c r="BZ129">
        <v>4974.7975500000002</v>
      </c>
      <c r="CA129">
        <f t="shared" si="51"/>
        <v>8160.7574939999986</v>
      </c>
      <c r="CB129">
        <f t="shared" si="52"/>
        <v>15256.635270666666</v>
      </c>
      <c r="CC129">
        <v>0</v>
      </c>
      <c r="CD129">
        <v>0</v>
      </c>
      <c r="CE129">
        <f t="shared" si="53"/>
        <v>0</v>
      </c>
      <c r="CF129">
        <f t="shared" si="54"/>
        <v>13491.8</v>
      </c>
      <c r="CG129">
        <f t="shared" si="55"/>
        <v>8160.7574939999986</v>
      </c>
      <c r="CH129">
        <f t="shared" si="56"/>
        <v>0</v>
      </c>
      <c r="CJ129" t="s">
        <v>278</v>
      </c>
      <c r="CL129" t="str">
        <f t="shared" si="57"/>
        <v/>
      </c>
    </row>
    <row r="130" spans="1:90" x14ac:dyDescent="0.25">
      <c r="A130" t="s">
        <v>112</v>
      </c>
      <c r="B130" t="s">
        <v>173</v>
      </c>
      <c r="C130" s="1">
        <v>46023</v>
      </c>
      <c r="D130" t="s">
        <v>174</v>
      </c>
      <c r="E130" t="s">
        <v>175</v>
      </c>
      <c r="F130" s="4">
        <v>1</v>
      </c>
      <c r="G130" s="4">
        <v>0.05</v>
      </c>
      <c r="H130" s="9">
        <v>1786.6379999999999</v>
      </c>
      <c r="I130" s="9">
        <v>297.77299999999997</v>
      </c>
      <c r="J130" s="9">
        <f t="shared" si="29"/>
        <v>2084.4110000000001</v>
      </c>
      <c r="K130" s="9">
        <v>0</v>
      </c>
      <c r="L130" s="9">
        <f t="shared" si="30"/>
        <v>0</v>
      </c>
      <c r="M130">
        <v>0</v>
      </c>
      <c r="N130" s="4">
        <f t="shared" si="31"/>
        <v>0</v>
      </c>
      <c r="O130" s="9">
        <v>1701.56</v>
      </c>
      <c r="P130" s="9">
        <v>85.078000000000003</v>
      </c>
      <c r="Q130" s="9">
        <v>0</v>
      </c>
      <c r="R130" s="9">
        <v>0</v>
      </c>
      <c r="S130" s="9">
        <v>0</v>
      </c>
      <c r="T130" s="9">
        <v>0</v>
      </c>
      <c r="U130" s="9">
        <v>0</v>
      </c>
      <c r="V130" s="9">
        <v>0</v>
      </c>
      <c r="W130" s="9">
        <f t="shared" si="32"/>
        <v>1786.6379999999999</v>
      </c>
      <c r="X130" s="9">
        <v>297.77299999999997</v>
      </c>
      <c r="Y130" s="9">
        <v>0</v>
      </c>
      <c r="Z130" s="9">
        <v>2084.4110000000001</v>
      </c>
      <c r="AA130" s="9">
        <v>0</v>
      </c>
      <c r="AB130" s="9">
        <f t="shared" si="33"/>
        <v>2084.4110000000001</v>
      </c>
      <c r="AC130" s="9">
        <v>2084.4110000000001</v>
      </c>
      <c r="AD130" s="9">
        <v>0</v>
      </c>
      <c r="AE130" s="9">
        <v>1786.6379999999999</v>
      </c>
      <c r="AF130" s="9">
        <v>97.967317000000008</v>
      </c>
      <c r="AG130" s="9">
        <v>531.28540541999996</v>
      </c>
      <c r="AH130" s="9">
        <v>32.308370500000002</v>
      </c>
      <c r="AI130" s="9">
        <v>123.81651397499999</v>
      </c>
      <c r="AJ130" s="9">
        <v>4.5024186899999998</v>
      </c>
      <c r="AK130" s="9">
        <v>2.0844110000000002</v>
      </c>
      <c r="AL130" s="9">
        <v>13.507256069999999</v>
      </c>
      <c r="AM130" s="9">
        <v>3.1266165000000004</v>
      </c>
      <c r="AN130" s="9">
        <v>16.884070087499996</v>
      </c>
      <c r="AO130" s="9">
        <v>33.768140174999992</v>
      </c>
      <c r="AP130" s="9">
        <v>0</v>
      </c>
      <c r="AQ130" s="25">
        <v>0</v>
      </c>
      <c r="AR130" s="9">
        <f t="shared" si="34"/>
        <v>0</v>
      </c>
      <c r="AS130" s="25">
        <v>0</v>
      </c>
      <c r="AT130" s="9">
        <f t="shared" si="35"/>
        <v>0</v>
      </c>
      <c r="AU130" s="9">
        <v>0</v>
      </c>
      <c r="AV130" s="25">
        <v>0</v>
      </c>
      <c r="AW130" s="9">
        <f t="shared" si="36"/>
        <v>0</v>
      </c>
      <c r="AX130" s="25">
        <v>0</v>
      </c>
      <c r="AY130" s="9">
        <f t="shared" si="37"/>
        <v>0</v>
      </c>
      <c r="AZ130" s="9">
        <v>0</v>
      </c>
      <c r="BA130" s="25">
        <v>0</v>
      </c>
      <c r="BB130" s="9">
        <f t="shared" si="38"/>
        <v>0</v>
      </c>
      <c r="BC130" s="25">
        <v>0</v>
      </c>
      <c r="BD130" s="9">
        <f t="shared" si="39"/>
        <v>0</v>
      </c>
      <c r="BE130" s="9">
        <v>0</v>
      </c>
      <c r="BF130" s="9">
        <v>0</v>
      </c>
      <c r="BG130" s="9">
        <f t="shared" si="40"/>
        <v>0</v>
      </c>
      <c r="BH130" s="9">
        <v>0</v>
      </c>
      <c r="BI130" s="9">
        <f t="shared" si="41"/>
        <v>0</v>
      </c>
      <c r="BJ130" s="9">
        <v>0</v>
      </c>
      <c r="BK130" s="9">
        <v>0</v>
      </c>
      <c r="BL130" s="9">
        <f t="shared" si="42"/>
        <v>0</v>
      </c>
      <c r="BM130" s="9">
        <v>0</v>
      </c>
      <c r="BN130" s="9">
        <f t="shared" si="43"/>
        <v>0</v>
      </c>
      <c r="BO130" s="9">
        <v>0</v>
      </c>
      <c r="BP130" s="9">
        <v>0</v>
      </c>
      <c r="BQ130" s="9">
        <f t="shared" si="44"/>
        <v>0</v>
      </c>
      <c r="BR130" s="9">
        <v>0</v>
      </c>
      <c r="BS130" s="9">
        <f t="shared" si="45"/>
        <v>0</v>
      </c>
      <c r="BT130" s="9">
        <f t="shared" si="46"/>
        <v>0</v>
      </c>
      <c r="BU130" s="9">
        <f t="shared" si="47"/>
        <v>0</v>
      </c>
      <c r="BV130" s="9">
        <f t="shared" si="48"/>
        <v>135.486715</v>
      </c>
      <c r="BW130">
        <f t="shared" si="49"/>
        <v>135.486715</v>
      </c>
      <c r="BX130">
        <v>0</v>
      </c>
      <c r="BY130">
        <f t="shared" si="50"/>
        <v>723.76380441750007</v>
      </c>
      <c r="BZ130">
        <v>291.94969191299998</v>
      </c>
      <c r="CA130">
        <f t="shared" si="51"/>
        <v>1359.201593087</v>
      </c>
      <c r="CB130">
        <f t="shared" si="52"/>
        <v>2510.4018044175</v>
      </c>
      <c r="CC130">
        <v>0</v>
      </c>
      <c r="CD130">
        <v>0</v>
      </c>
      <c r="CE130">
        <f t="shared" si="53"/>
        <v>0</v>
      </c>
      <c r="CF130">
        <f t="shared" si="54"/>
        <v>1786.6379999999999</v>
      </c>
      <c r="CG130">
        <f t="shared" si="55"/>
        <v>1359.201593087</v>
      </c>
      <c r="CH130">
        <f t="shared" si="56"/>
        <v>0</v>
      </c>
      <c r="CJ130" t="s">
        <v>278</v>
      </c>
      <c r="CL130" t="str">
        <f t="shared" si="57"/>
        <v/>
      </c>
    </row>
    <row r="131" spans="1:90" x14ac:dyDescent="0.25">
      <c r="A131" t="s">
        <v>112</v>
      </c>
      <c r="B131" t="s">
        <v>176</v>
      </c>
      <c r="C131" s="1">
        <v>46054</v>
      </c>
      <c r="D131" t="s">
        <v>174</v>
      </c>
      <c r="E131" t="s">
        <v>175</v>
      </c>
      <c r="F131" s="4">
        <v>1</v>
      </c>
      <c r="G131" s="4">
        <v>0.05</v>
      </c>
      <c r="H131" s="9">
        <v>1786.6379999999999</v>
      </c>
      <c r="I131" s="9">
        <v>297.77299999999997</v>
      </c>
      <c r="J131" s="9">
        <f t="shared" si="29"/>
        <v>2084.4110000000001</v>
      </c>
      <c r="K131" s="9">
        <v>0</v>
      </c>
      <c r="L131" s="9">
        <f t="shared" si="30"/>
        <v>0</v>
      </c>
      <c r="M131">
        <v>0</v>
      </c>
      <c r="N131" s="4">
        <f t="shared" si="31"/>
        <v>0</v>
      </c>
      <c r="O131" s="9">
        <v>1701.56</v>
      </c>
      <c r="P131" s="9">
        <v>85.078000000000003</v>
      </c>
      <c r="Q131" s="9">
        <v>0</v>
      </c>
      <c r="R131" s="9">
        <v>0</v>
      </c>
      <c r="S131" s="9">
        <v>0</v>
      </c>
      <c r="T131" s="9">
        <v>0</v>
      </c>
      <c r="U131" s="9">
        <v>0</v>
      </c>
      <c r="V131" s="9">
        <v>0</v>
      </c>
      <c r="W131" s="9">
        <f t="shared" si="32"/>
        <v>1786.6379999999999</v>
      </c>
      <c r="X131" s="9">
        <v>297.77299999999997</v>
      </c>
      <c r="Y131" s="9">
        <v>0</v>
      </c>
      <c r="Z131" s="9">
        <v>2084.4110000000001</v>
      </c>
      <c r="AA131" s="9">
        <v>0</v>
      </c>
      <c r="AB131" s="9">
        <f t="shared" si="33"/>
        <v>2084.4110000000001</v>
      </c>
      <c r="AC131" s="9">
        <v>2084.4110000000001</v>
      </c>
      <c r="AD131" s="9">
        <v>0</v>
      </c>
      <c r="AE131" s="9">
        <v>1786.6379999999999</v>
      </c>
      <c r="AF131" s="9">
        <v>97.967317000000008</v>
      </c>
      <c r="AG131" s="9">
        <v>531.28540541999996</v>
      </c>
      <c r="AH131" s="9">
        <v>32.308370500000002</v>
      </c>
      <c r="AI131" s="9">
        <v>123.81651397499999</v>
      </c>
      <c r="AJ131" s="9">
        <v>4.5024186899999998</v>
      </c>
      <c r="AK131" s="9">
        <v>2.0844110000000002</v>
      </c>
      <c r="AL131" s="9">
        <v>13.507256069999999</v>
      </c>
      <c r="AM131" s="9">
        <v>3.1266165000000004</v>
      </c>
      <c r="AN131" s="9">
        <v>16.884070087499996</v>
      </c>
      <c r="AO131" s="9">
        <v>33.768140174999992</v>
      </c>
      <c r="AP131" s="9">
        <v>0</v>
      </c>
      <c r="AQ131" s="25">
        <v>0</v>
      </c>
      <c r="AR131" s="9">
        <f t="shared" si="34"/>
        <v>0</v>
      </c>
      <c r="AS131" s="25">
        <v>0</v>
      </c>
      <c r="AT131" s="9">
        <f t="shared" si="35"/>
        <v>0</v>
      </c>
      <c r="AU131" s="9">
        <v>0</v>
      </c>
      <c r="AV131" s="25">
        <v>0</v>
      </c>
      <c r="AW131" s="9">
        <f t="shared" si="36"/>
        <v>0</v>
      </c>
      <c r="AX131" s="25">
        <v>0</v>
      </c>
      <c r="AY131" s="9">
        <f t="shared" si="37"/>
        <v>0</v>
      </c>
      <c r="AZ131" s="9">
        <v>0</v>
      </c>
      <c r="BA131" s="25">
        <v>0</v>
      </c>
      <c r="BB131" s="9">
        <f t="shared" si="38"/>
        <v>0</v>
      </c>
      <c r="BC131" s="25">
        <v>0</v>
      </c>
      <c r="BD131" s="9">
        <f t="shared" si="39"/>
        <v>0</v>
      </c>
      <c r="BE131" s="9">
        <v>0</v>
      </c>
      <c r="BF131" s="9">
        <v>0</v>
      </c>
      <c r="BG131" s="9">
        <f t="shared" si="40"/>
        <v>0</v>
      </c>
      <c r="BH131" s="9">
        <v>0</v>
      </c>
      <c r="BI131" s="9">
        <f t="shared" si="41"/>
        <v>0</v>
      </c>
      <c r="BJ131" s="9">
        <v>0</v>
      </c>
      <c r="BK131" s="9">
        <v>0</v>
      </c>
      <c r="BL131" s="9">
        <f t="shared" si="42"/>
        <v>0</v>
      </c>
      <c r="BM131" s="9">
        <v>0</v>
      </c>
      <c r="BN131" s="9">
        <f t="shared" si="43"/>
        <v>0</v>
      </c>
      <c r="BO131" s="9">
        <v>0</v>
      </c>
      <c r="BP131" s="9">
        <v>0</v>
      </c>
      <c r="BQ131" s="9">
        <f t="shared" si="44"/>
        <v>0</v>
      </c>
      <c r="BR131" s="9">
        <v>0</v>
      </c>
      <c r="BS131" s="9">
        <f t="shared" si="45"/>
        <v>0</v>
      </c>
      <c r="BT131" s="9">
        <f t="shared" si="46"/>
        <v>0</v>
      </c>
      <c r="BU131" s="9">
        <f t="shared" si="47"/>
        <v>0</v>
      </c>
      <c r="BV131" s="9">
        <f t="shared" si="48"/>
        <v>135.486715</v>
      </c>
      <c r="BW131">
        <f t="shared" si="49"/>
        <v>135.486715</v>
      </c>
      <c r="BX131">
        <v>0</v>
      </c>
      <c r="BY131">
        <f t="shared" si="50"/>
        <v>723.76380441750007</v>
      </c>
      <c r="BZ131">
        <v>291.94969191299998</v>
      </c>
      <c r="CA131">
        <f t="shared" si="51"/>
        <v>1359.201593087</v>
      </c>
      <c r="CB131">
        <f t="shared" si="52"/>
        <v>2510.4018044175</v>
      </c>
      <c r="CC131">
        <v>0</v>
      </c>
      <c r="CD131">
        <v>0</v>
      </c>
      <c r="CE131">
        <f t="shared" si="53"/>
        <v>0</v>
      </c>
      <c r="CF131">
        <f t="shared" si="54"/>
        <v>1786.6379999999999</v>
      </c>
      <c r="CG131">
        <f t="shared" si="55"/>
        <v>1359.201593087</v>
      </c>
      <c r="CH131">
        <f t="shared" si="56"/>
        <v>0</v>
      </c>
      <c r="CJ131" t="s">
        <v>278</v>
      </c>
      <c r="CL131" t="str">
        <f t="shared" si="57"/>
        <v/>
      </c>
    </row>
    <row r="132" spans="1:90" x14ac:dyDescent="0.25">
      <c r="A132" t="s">
        <v>112</v>
      </c>
      <c r="B132" t="s">
        <v>177</v>
      </c>
      <c r="C132" s="1">
        <v>46082</v>
      </c>
      <c r="D132" t="s">
        <v>174</v>
      </c>
      <c r="E132" t="s">
        <v>175</v>
      </c>
      <c r="F132" s="4">
        <v>1</v>
      </c>
      <c r="G132" s="4">
        <v>0.05</v>
      </c>
      <c r="H132" s="9">
        <v>1786.6379999999999</v>
      </c>
      <c r="I132" s="9">
        <v>297.77299999999997</v>
      </c>
      <c r="J132" s="9">
        <f t="shared" ref="J132:J195" si="58">$H132+$I132</f>
        <v>2084.4110000000001</v>
      </c>
      <c r="K132" s="9">
        <v>0</v>
      </c>
      <c r="L132" s="9">
        <f t="shared" ref="L132:L195" si="59">IF($E132="Nacimiento/cuidado menor",$K132*30,0)</f>
        <v>0</v>
      </c>
      <c r="M132">
        <v>0</v>
      </c>
      <c r="N132" s="4">
        <f t="shared" ref="N132:N195" si="60">IF($E132="Nacimiento/cuidado menor",$M132/30,0)</f>
        <v>0</v>
      </c>
      <c r="O132" s="9">
        <v>1701.56</v>
      </c>
      <c r="P132" s="9">
        <v>85.078000000000003</v>
      </c>
      <c r="Q132" s="9">
        <v>0</v>
      </c>
      <c r="R132" s="9">
        <v>0</v>
      </c>
      <c r="S132" s="9">
        <v>0</v>
      </c>
      <c r="T132" s="9">
        <v>0</v>
      </c>
      <c r="U132" s="9">
        <v>0</v>
      </c>
      <c r="V132" s="9">
        <v>0</v>
      </c>
      <c r="W132" s="9">
        <f t="shared" ref="W132:W195" si="61">SUM($O132:$V132)</f>
        <v>1786.6379999999999</v>
      </c>
      <c r="X132" s="9">
        <v>297.77299999999997</v>
      </c>
      <c r="Y132" s="9">
        <v>0</v>
      </c>
      <c r="Z132" s="9">
        <v>2084.4110000000001</v>
      </c>
      <c r="AA132" s="9">
        <v>0</v>
      </c>
      <c r="AB132" s="9">
        <f t="shared" ref="AB132:AB195" si="62">IF($D132="Mensual",$Z132+$AA132,0)</f>
        <v>2084.4110000000001</v>
      </c>
      <c r="AC132" s="9">
        <v>2084.4110000000001</v>
      </c>
      <c r="AD132" s="9">
        <v>0</v>
      </c>
      <c r="AE132" s="9">
        <v>1786.6379999999999</v>
      </c>
      <c r="AF132" s="9">
        <v>97.967317000000008</v>
      </c>
      <c r="AG132" s="9">
        <v>491.920996</v>
      </c>
      <c r="AH132" s="9">
        <v>32.308370500000002</v>
      </c>
      <c r="AI132" s="9">
        <v>114.642605</v>
      </c>
      <c r="AJ132" s="9">
        <v>4.1688220000000005</v>
      </c>
      <c r="AK132" s="9">
        <v>2.0844110000000002</v>
      </c>
      <c r="AL132" s="9">
        <v>12.506466000000001</v>
      </c>
      <c r="AM132" s="9">
        <v>3.1266165000000004</v>
      </c>
      <c r="AN132" s="9">
        <v>15.6330825</v>
      </c>
      <c r="AO132" s="9">
        <v>31.266165000000001</v>
      </c>
      <c r="AP132" s="9">
        <v>0</v>
      </c>
      <c r="AQ132" s="25">
        <v>0</v>
      </c>
      <c r="AR132" s="9">
        <f t="shared" ref="AR132:AR195" si="63">$AP132*$AQ132</f>
        <v>0</v>
      </c>
      <c r="AS132" s="25">
        <v>0</v>
      </c>
      <c r="AT132" s="9">
        <f t="shared" ref="AT132:AT195" si="64">$AP132*$AS132</f>
        <v>0</v>
      </c>
      <c r="AU132" s="9">
        <v>0</v>
      </c>
      <c r="AV132" s="25">
        <v>0</v>
      </c>
      <c r="AW132" s="9">
        <f t="shared" ref="AW132:AW195" si="65">$AU132*$AV132</f>
        <v>0</v>
      </c>
      <c r="AX132" s="25">
        <v>0</v>
      </c>
      <c r="AY132" s="9">
        <f t="shared" ref="AY132:AY195" si="66">$AU132*$AX132</f>
        <v>0</v>
      </c>
      <c r="AZ132" s="9">
        <v>0</v>
      </c>
      <c r="BA132" s="25">
        <v>0</v>
      </c>
      <c r="BB132" s="9">
        <f t="shared" ref="BB132:BB195" si="67">$AZ132*$BA132</f>
        <v>0</v>
      </c>
      <c r="BC132" s="25">
        <v>0</v>
      </c>
      <c r="BD132" s="9">
        <f t="shared" ref="BD132:BD195" si="68">$AZ132*$BC132</f>
        <v>0</v>
      </c>
      <c r="BE132" s="9">
        <v>0</v>
      </c>
      <c r="BF132" s="9">
        <v>0</v>
      </c>
      <c r="BG132" s="9">
        <f t="shared" ref="BG132:BG195" si="69">$BE132*$BF132</f>
        <v>0</v>
      </c>
      <c r="BH132" s="9">
        <v>0</v>
      </c>
      <c r="BI132" s="9">
        <f t="shared" ref="BI132:BI195" si="70">$BE132*$BH132</f>
        <v>0</v>
      </c>
      <c r="BJ132" s="9">
        <v>0</v>
      </c>
      <c r="BK132" s="9">
        <v>0</v>
      </c>
      <c r="BL132" s="9">
        <f t="shared" ref="BL132:BL195" si="71">$BJ132*$BK132</f>
        <v>0</v>
      </c>
      <c r="BM132" s="9">
        <v>0</v>
      </c>
      <c r="BN132" s="9">
        <f t="shared" ref="BN132:BN195" si="72">$BJ132*$BM132</f>
        <v>0</v>
      </c>
      <c r="BO132" s="9">
        <v>0</v>
      </c>
      <c r="BP132" s="9">
        <v>0</v>
      </c>
      <c r="BQ132" s="9">
        <f t="shared" ref="BQ132:BQ195" si="73">$BO132*$BP132</f>
        <v>0</v>
      </c>
      <c r="BR132" s="9">
        <v>0</v>
      </c>
      <c r="BS132" s="9">
        <f t="shared" ref="BS132:BS195" si="74">$BO132*$BR132</f>
        <v>0</v>
      </c>
      <c r="BT132" s="9">
        <f t="shared" ref="BT132:BT195" si="75">SUM($AR132,$AW132,$BB132)</f>
        <v>0</v>
      </c>
      <c r="BU132" s="9">
        <f t="shared" ref="BU132:BU195" si="76">SUM($AT132,$AY132,$BD132)</f>
        <v>0</v>
      </c>
      <c r="BV132" s="9">
        <f t="shared" ref="BV132:BV195" si="77">SUM($AF132,$AH132,$AK132,$AM132)+$BT132</f>
        <v>135.486715</v>
      </c>
      <c r="BW132">
        <f t="shared" ref="BW132:BW195" si="78">$BV132+$BX132</f>
        <v>135.486715</v>
      </c>
      <c r="BX132">
        <v>0</v>
      </c>
      <c r="BY132">
        <f t="shared" ref="BY132:BY195" si="79">SUM($AG132,$AI132,$AJ132,$AL132,$AN132,$AO132)+$BU132</f>
        <v>670.13813650000009</v>
      </c>
      <c r="BZ132">
        <v>291.94969191299998</v>
      </c>
      <c r="CA132">
        <f t="shared" ref="CA132:CA195" si="80">$W132-$BV132-$BZ132</f>
        <v>1359.201593087</v>
      </c>
      <c r="CB132">
        <f t="shared" ref="CB132:CB195" si="81">$W132+$BY132</f>
        <v>2456.7761365000001</v>
      </c>
      <c r="CC132">
        <v>0</v>
      </c>
      <c r="CD132">
        <v>0</v>
      </c>
      <c r="CE132">
        <f t="shared" ref="CE132:CE195" si="82">MAX(0,$CC132-$BX132-$CD132)</f>
        <v>0</v>
      </c>
      <c r="CF132">
        <f t="shared" ref="CF132:CF195" si="83">$W132+$CC132</f>
        <v>1786.6379999999999</v>
      </c>
      <c r="CG132">
        <f t="shared" ref="CG132:CG195" si="84">$CA132+$CE132</f>
        <v>1359.201593087</v>
      </c>
      <c r="CH132">
        <f t="shared" ref="CH132:CH195" si="85">IF($E132="Nacimiento/cuidado menor",MAX(0,$J132-$L132)*$N132,0)</f>
        <v>0</v>
      </c>
      <c r="CJ132" t="s">
        <v>278</v>
      </c>
      <c r="CL132" t="str">
        <f t="shared" ref="CL132:CL195" si="86">IF($E132="Nacimiento/cuidado menor",IF(ABS($CC132-$L132*$N132)&lt;0.02,"OK","REVISAR"),"")</f>
        <v/>
      </c>
    </row>
    <row r="133" spans="1:90" x14ac:dyDescent="0.25">
      <c r="A133" t="s">
        <v>112</v>
      </c>
      <c r="B133" t="s">
        <v>178</v>
      </c>
      <c r="C133" s="1">
        <v>46113</v>
      </c>
      <c r="D133" t="s">
        <v>174</v>
      </c>
      <c r="E133" t="s">
        <v>175</v>
      </c>
      <c r="F133" s="4">
        <v>1</v>
      </c>
      <c r="G133" s="4">
        <v>0.05</v>
      </c>
      <c r="H133" s="9">
        <v>1786.6379999999999</v>
      </c>
      <c r="I133" s="9">
        <v>297.77299999999997</v>
      </c>
      <c r="J133" s="9">
        <f t="shared" si="58"/>
        <v>2084.4110000000001</v>
      </c>
      <c r="K133" s="9">
        <v>0</v>
      </c>
      <c r="L133" s="9">
        <f t="shared" si="59"/>
        <v>0</v>
      </c>
      <c r="M133">
        <v>0</v>
      </c>
      <c r="N133" s="4">
        <f t="shared" si="60"/>
        <v>0</v>
      </c>
      <c r="O133" s="9">
        <v>1701.56</v>
      </c>
      <c r="P133" s="9">
        <v>85.078000000000003</v>
      </c>
      <c r="Q133" s="9">
        <v>0</v>
      </c>
      <c r="R133" s="9">
        <v>0</v>
      </c>
      <c r="S133" s="9">
        <v>0</v>
      </c>
      <c r="T133" s="9">
        <v>0</v>
      </c>
      <c r="U133" s="9">
        <v>0</v>
      </c>
      <c r="V133" s="9">
        <v>0</v>
      </c>
      <c r="W133" s="9">
        <f t="shared" si="61"/>
        <v>1786.6379999999999</v>
      </c>
      <c r="X133" s="9">
        <v>297.77299999999997</v>
      </c>
      <c r="Y133" s="9">
        <v>0</v>
      </c>
      <c r="Z133" s="9">
        <v>2084.4110000000001</v>
      </c>
      <c r="AA133" s="9">
        <v>0</v>
      </c>
      <c r="AB133" s="9">
        <f t="shared" si="62"/>
        <v>2084.4110000000001</v>
      </c>
      <c r="AC133" s="9">
        <v>2084.4110000000001</v>
      </c>
      <c r="AD133" s="9">
        <v>0</v>
      </c>
      <c r="AE133" s="9">
        <v>1786.6379999999999</v>
      </c>
      <c r="AF133" s="9">
        <v>97.967317000000008</v>
      </c>
      <c r="AG133" s="9">
        <v>531.28540541999996</v>
      </c>
      <c r="AH133" s="9">
        <v>32.308370500000002</v>
      </c>
      <c r="AI133" s="9">
        <v>123.81651397499999</v>
      </c>
      <c r="AJ133" s="9">
        <v>4.5024186899999998</v>
      </c>
      <c r="AK133" s="9">
        <v>2.0844110000000002</v>
      </c>
      <c r="AL133" s="9">
        <v>13.507256069999999</v>
      </c>
      <c r="AM133" s="9">
        <v>3.1266165000000004</v>
      </c>
      <c r="AN133" s="9">
        <v>16.884070087499996</v>
      </c>
      <c r="AO133" s="9">
        <v>33.768140174999992</v>
      </c>
      <c r="AP133" s="9">
        <v>0</v>
      </c>
      <c r="AQ133" s="25">
        <v>0</v>
      </c>
      <c r="AR133" s="9">
        <f t="shared" si="63"/>
        <v>0</v>
      </c>
      <c r="AS133" s="25">
        <v>0</v>
      </c>
      <c r="AT133" s="9">
        <f t="shared" si="64"/>
        <v>0</v>
      </c>
      <c r="AU133" s="9">
        <v>0</v>
      </c>
      <c r="AV133" s="25">
        <v>0</v>
      </c>
      <c r="AW133" s="9">
        <f t="shared" si="65"/>
        <v>0</v>
      </c>
      <c r="AX133" s="25">
        <v>0</v>
      </c>
      <c r="AY133" s="9">
        <f t="shared" si="66"/>
        <v>0</v>
      </c>
      <c r="AZ133" s="9">
        <v>0</v>
      </c>
      <c r="BA133" s="25">
        <v>0</v>
      </c>
      <c r="BB133" s="9">
        <f t="shared" si="67"/>
        <v>0</v>
      </c>
      <c r="BC133" s="25">
        <v>0</v>
      </c>
      <c r="BD133" s="9">
        <f t="shared" si="68"/>
        <v>0</v>
      </c>
      <c r="BE133" s="9">
        <v>0</v>
      </c>
      <c r="BF133" s="9">
        <v>0</v>
      </c>
      <c r="BG133" s="9">
        <f t="shared" si="69"/>
        <v>0</v>
      </c>
      <c r="BH133" s="9">
        <v>0</v>
      </c>
      <c r="BI133" s="9">
        <f t="shared" si="70"/>
        <v>0</v>
      </c>
      <c r="BJ133" s="9">
        <v>0</v>
      </c>
      <c r="BK133" s="9">
        <v>0</v>
      </c>
      <c r="BL133" s="9">
        <f t="shared" si="71"/>
        <v>0</v>
      </c>
      <c r="BM133" s="9">
        <v>0</v>
      </c>
      <c r="BN133" s="9">
        <f t="shared" si="72"/>
        <v>0</v>
      </c>
      <c r="BO133" s="9">
        <v>0</v>
      </c>
      <c r="BP133" s="9">
        <v>0</v>
      </c>
      <c r="BQ133" s="9">
        <f t="shared" si="73"/>
        <v>0</v>
      </c>
      <c r="BR133" s="9">
        <v>0</v>
      </c>
      <c r="BS133" s="9">
        <f t="shared" si="74"/>
        <v>0</v>
      </c>
      <c r="BT133" s="9">
        <f t="shared" si="75"/>
        <v>0</v>
      </c>
      <c r="BU133" s="9">
        <f t="shared" si="76"/>
        <v>0</v>
      </c>
      <c r="BV133" s="9">
        <f t="shared" si="77"/>
        <v>135.486715</v>
      </c>
      <c r="BW133">
        <f t="shared" si="78"/>
        <v>135.486715</v>
      </c>
      <c r="BX133">
        <v>0</v>
      </c>
      <c r="BY133">
        <f t="shared" si="79"/>
        <v>723.76380441750007</v>
      </c>
      <c r="BZ133">
        <v>291.94969191299998</v>
      </c>
      <c r="CA133">
        <f t="shared" si="80"/>
        <v>1359.201593087</v>
      </c>
      <c r="CB133">
        <f t="shared" si="81"/>
        <v>2510.4018044175</v>
      </c>
      <c r="CC133">
        <v>0</v>
      </c>
      <c r="CD133">
        <v>0</v>
      </c>
      <c r="CE133">
        <f t="shared" si="82"/>
        <v>0</v>
      </c>
      <c r="CF133">
        <f t="shared" si="83"/>
        <v>1786.6379999999999</v>
      </c>
      <c r="CG133">
        <f t="shared" si="84"/>
        <v>1359.201593087</v>
      </c>
      <c r="CH133">
        <f t="shared" si="85"/>
        <v>0</v>
      </c>
      <c r="CJ133" t="s">
        <v>278</v>
      </c>
      <c r="CL133" t="str">
        <f t="shared" si="86"/>
        <v/>
      </c>
    </row>
    <row r="134" spans="1:90" x14ac:dyDescent="0.25">
      <c r="A134" t="s">
        <v>112</v>
      </c>
      <c r="B134" t="s">
        <v>179</v>
      </c>
      <c r="C134" s="1">
        <v>46143</v>
      </c>
      <c r="D134" t="s">
        <v>174</v>
      </c>
      <c r="E134" t="s">
        <v>175</v>
      </c>
      <c r="F134" s="4">
        <v>1</v>
      </c>
      <c r="G134" s="4">
        <v>0.05</v>
      </c>
      <c r="H134" s="9">
        <v>1786.6379999999999</v>
      </c>
      <c r="I134" s="9">
        <v>297.77299999999997</v>
      </c>
      <c r="J134" s="9">
        <f t="shared" si="58"/>
        <v>2084.4110000000001</v>
      </c>
      <c r="K134" s="9">
        <v>0</v>
      </c>
      <c r="L134" s="9">
        <f t="shared" si="59"/>
        <v>0</v>
      </c>
      <c r="M134">
        <v>0</v>
      </c>
      <c r="N134" s="4">
        <f t="shared" si="60"/>
        <v>0</v>
      </c>
      <c r="O134" s="9">
        <v>1701.56</v>
      </c>
      <c r="P134" s="9">
        <v>85.078000000000003</v>
      </c>
      <c r="Q134" s="9">
        <v>0</v>
      </c>
      <c r="R134" s="9">
        <v>0</v>
      </c>
      <c r="S134" s="9">
        <v>0</v>
      </c>
      <c r="T134" s="9">
        <v>0</v>
      </c>
      <c r="U134" s="9">
        <v>0</v>
      </c>
      <c r="V134" s="9">
        <v>0</v>
      </c>
      <c r="W134" s="9">
        <f t="shared" si="61"/>
        <v>1786.6379999999999</v>
      </c>
      <c r="X134" s="9">
        <v>297.77299999999997</v>
      </c>
      <c r="Y134" s="9">
        <v>0</v>
      </c>
      <c r="Z134" s="9">
        <v>2084.4110000000001</v>
      </c>
      <c r="AA134" s="9">
        <v>0</v>
      </c>
      <c r="AB134" s="9">
        <f t="shared" si="62"/>
        <v>2084.4110000000001</v>
      </c>
      <c r="AC134" s="9">
        <v>2084.4110000000001</v>
      </c>
      <c r="AD134" s="9">
        <v>0</v>
      </c>
      <c r="AE134" s="9">
        <v>1786.6379999999999</v>
      </c>
      <c r="AF134" s="9">
        <v>97.967317000000008</v>
      </c>
      <c r="AG134" s="9">
        <v>531.28540541999996</v>
      </c>
      <c r="AH134" s="9">
        <v>32.308370500000002</v>
      </c>
      <c r="AI134" s="9">
        <v>123.81651397499999</v>
      </c>
      <c r="AJ134" s="9">
        <v>4.5024186899999998</v>
      </c>
      <c r="AK134" s="9">
        <v>2.0844110000000002</v>
      </c>
      <c r="AL134" s="9">
        <v>13.507256069999999</v>
      </c>
      <c r="AM134" s="9">
        <v>3.1266165000000004</v>
      </c>
      <c r="AN134" s="9">
        <v>16.884070087499996</v>
      </c>
      <c r="AO134" s="9">
        <v>33.768140174999992</v>
      </c>
      <c r="AP134" s="9">
        <v>0</v>
      </c>
      <c r="AQ134" s="25">
        <v>0</v>
      </c>
      <c r="AR134" s="9">
        <f t="shared" si="63"/>
        <v>0</v>
      </c>
      <c r="AS134" s="25">
        <v>0</v>
      </c>
      <c r="AT134" s="9">
        <f t="shared" si="64"/>
        <v>0</v>
      </c>
      <c r="AU134" s="9">
        <v>0</v>
      </c>
      <c r="AV134" s="25">
        <v>0</v>
      </c>
      <c r="AW134" s="9">
        <f t="shared" si="65"/>
        <v>0</v>
      </c>
      <c r="AX134" s="25">
        <v>0</v>
      </c>
      <c r="AY134" s="9">
        <f t="shared" si="66"/>
        <v>0</v>
      </c>
      <c r="AZ134" s="9">
        <v>0</v>
      </c>
      <c r="BA134" s="25">
        <v>0</v>
      </c>
      <c r="BB134" s="9">
        <f t="shared" si="67"/>
        <v>0</v>
      </c>
      <c r="BC134" s="25">
        <v>0</v>
      </c>
      <c r="BD134" s="9">
        <f t="shared" si="68"/>
        <v>0</v>
      </c>
      <c r="BE134" s="9">
        <v>0</v>
      </c>
      <c r="BF134" s="9">
        <v>0</v>
      </c>
      <c r="BG134" s="9">
        <f t="shared" si="69"/>
        <v>0</v>
      </c>
      <c r="BH134" s="9">
        <v>0</v>
      </c>
      <c r="BI134" s="9">
        <f t="shared" si="70"/>
        <v>0</v>
      </c>
      <c r="BJ134" s="9">
        <v>0</v>
      </c>
      <c r="BK134" s="9">
        <v>0</v>
      </c>
      <c r="BL134" s="9">
        <f t="shared" si="71"/>
        <v>0</v>
      </c>
      <c r="BM134" s="9">
        <v>0</v>
      </c>
      <c r="BN134" s="9">
        <f t="shared" si="72"/>
        <v>0</v>
      </c>
      <c r="BO134" s="9">
        <v>0</v>
      </c>
      <c r="BP134" s="9">
        <v>0</v>
      </c>
      <c r="BQ134" s="9">
        <f t="shared" si="73"/>
        <v>0</v>
      </c>
      <c r="BR134" s="9">
        <v>0</v>
      </c>
      <c r="BS134" s="9">
        <f t="shared" si="74"/>
        <v>0</v>
      </c>
      <c r="BT134" s="9">
        <f t="shared" si="75"/>
        <v>0</v>
      </c>
      <c r="BU134" s="9">
        <f t="shared" si="76"/>
        <v>0</v>
      </c>
      <c r="BV134" s="9">
        <f t="shared" si="77"/>
        <v>135.486715</v>
      </c>
      <c r="BW134">
        <f t="shared" si="78"/>
        <v>135.486715</v>
      </c>
      <c r="BX134">
        <v>0</v>
      </c>
      <c r="BY134">
        <f t="shared" si="79"/>
        <v>723.76380441750007</v>
      </c>
      <c r="BZ134">
        <v>291.94969191299998</v>
      </c>
      <c r="CA134">
        <f t="shared" si="80"/>
        <v>1359.201593087</v>
      </c>
      <c r="CB134">
        <f t="shared" si="81"/>
        <v>2510.4018044175</v>
      </c>
      <c r="CC134">
        <v>0</v>
      </c>
      <c r="CD134">
        <v>0</v>
      </c>
      <c r="CE134">
        <f t="shared" si="82"/>
        <v>0</v>
      </c>
      <c r="CF134">
        <f t="shared" si="83"/>
        <v>1786.6379999999999</v>
      </c>
      <c r="CG134">
        <f t="shared" si="84"/>
        <v>1359.201593087</v>
      </c>
      <c r="CH134">
        <f t="shared" si="85"/>
        <v>0</v>
      </c>
      <c r="CJ134" t="s">
        <v>278</v>
      </c>
      <c r="CL134" t="str">
        <f t="shared" si="86"/>
        <v/>
      </c>
    </row>
    <row r="135" spans="1:90" x14ac:dyDescent="0.25">
      <c r="A135" t="s">
        <v>112</v>
      </c>
      <c r="B135" t="s">
        <v>180</v>
      </c>
      <c r="C135" s="1">
        <v>46174</v>
      </c>
      <c r="D135" t="s">
        <v>174</v>
      </c>
      <c r="E135" t="s">
        <v>175</v>
      </c>
      <c r="F135" s="4">
        <v>1</v>
      </c>
      <c r="G135" s="4">
        <v>0.05</v>
      </c>
      <c r="H135" s="9">
        <v>1786.6379999999999</v>
      </c>
      <c r="I135" s="9">
        <v>297.77299999999997</v>
      </c>
      <c r="J135" s="9">
        <f t="shared" si="58"/>
        <v>2084.4110000000001</v>
      </c>
      <c r="K135" s="9">
        <v>0</v>
      </c>
      <c r="L135" s="9">
        <f t="shared" si="59"/>
        <v>0</v>
      </c>
      <c r="M135">
        <v>0</v>
      </c>
      <c r="N135" s="4">
        <f t="shared" si="60"/>
        <v>0</v>
      </c>
      <c r="O135" s="9">
        <v>1701.56</v>
      </c>
      <c r="P135" s="9">
        <v>85.078000000000003</v>
      </c>
      <c r="Q135" s="9">
        <v>0</v>
      </c>
      <c r="R135" s="9">
        <v>0</v>
      </c>
      <c r="S135" s="9">
        <v>0</v>
      </c>
      <c r="T135" s="9">
        <v>0</v>
      </c>
      <c r="U135" s="9">
        <v>0</v>
      </c>
      <c r="V135" s="9">
        <v>0</v>
      </c>
      <c r="W135" s="9">
        <f t="shared" si="61"/>
        <v>1786.6379999999999</v>
      </c>
      <c r="X135" s="9">
        <v>297.77299999999997</v>
      </c>
      <c r="Y135" s="9">
        <v>0</v>
      </c>
      <c r="Z135" s="9">
        <v>2084.4110000000001</v>
      </c>
      <c r="AA135" s="9">
        <v>0</v>
      </c>
      <c r="AB135" s="9">
        <f t="shared" si="62"/>
        <v>2084.4110000000001</v>
      </c>
      <c r="AC135" s="9">
        <v>2084.4110000000001</v>
      </c>
      <c r="AD135" s="9">
        <v>0</v>
      </c>
      <c r="AE135" s="9">
        <v>1786.6379999999999</v>
      </c>
      <c r="AF135" s="9">
        <v>97.967317000000008</v>
      </c>
      <c r="AG135" s="9">
        <v>531.28540541999996</v>
      </c>
      <c r="AH135" s="9">
        <v>32.308370500000002</v>
      </c>
      <c r="AI135" s="9">
        <v>123.81651397499999</v>
      </c>
      <c r="AJ135" s="9">
        <v>4.5024186899999998</v>
      </c>
      <c r="AK135" s="9">
        <v>2.0844110000000002</v>
      </c>
      <c r="AL135" s="9">
        <v>13.507256069999999</v>
      </c>
      <c r="AM135" s="9">
        <v>3.1266165000000004</v>
      </c>
      <c r="AN135" s="9">
        <v>16.884070087499996</v>
      </c>
      <c r="AO135" s="9">
        <v>33.768140174999992</v>
      </c>
      <c r="AP135" s="9">
        <v>0</v>
      </c>
      <c r="AQ135" s="25">
        <v>0</v>
      </c>
      <c r="AR135" s="9">
        <f t="shared" si="63"/>
        <v>0</v>
      </c>
      <c r="AS135" s="25">
        <v>0</v>
      </c>
      <c r="AT135" s="9">
        <f t="shared" si="64"/>
        <v>0</v>
      </c>
      <c r="AU135" s="9">
        <v>0</v>
      </c>
      <c r="AV135" s="25">
        <v>0</v>
      </c>
      <c r="AW135" s="9">
        <f t="shared" si="65"/>
        <v>0</v>
      </c>
      <c r="AX135" s="25">
        <v>0</v>
      </c>
      <c r="AY135" s="9">
        <f t="shared" si="66"/>
        <v>0</v>
      </c>
      <c r="AZ135" s="9">
        <v>0</v>
      </c>
      <c r="BA135" s="25">
        <v>0</v>
      </c>
      <c r="BB135" s="9">
        <f t="shared" si="67"/>
        <v>0</v>
      </c>
      <c r="BC135" s="25">
        <v>0</v>
      </c>
      <c r="BD135" s="9">
        <f t="shared" si="68"/>
        <v>0</v>
      </c>
      <c r="BE135" s="9">
        <v>0</v>
      </c>
      <c r="BF135" s="9">
        <v>0</v>
      </c>
      <c r="BG135" s="9">
        <f t="shared" si="69"/>
        <v>0</v>
      </c>
      <c r="BH135" s="9">
        <v>0</v>
      </c>
      <c r="BI135" s="9">
        <f t="shared" si="70"/>
        <v>0</v>
      </c>
      <c r="BJ135" s="9">
        <v>0</v>
      </c>
      <c r="BK135" s="9">
        <v>0</v>
      </c>
      <c r="BL135" s="9">
        <f t="shared" si="71"/>
        <v>0</v>
      </c>
      <c r="BM135" s="9">
        <v>0</v>
      </c>
      <c r="BN135" s="9">
        <f t="shared" si="72"/>
        <v>0</v>
      </c>
      <c r="BO135" s="9">
        <v>0</v>
      </c>
      <c r="BP135" s="9">
        <v>0</v>
      </c>
      <c r="BQ135" s="9">
        <f t="shared" si="73"/>
        <v>0</v>
      </c>
      <c r="BR135" s="9">
        <v>0</v>
      </c>
      <c r="BS135" s="9">
        <f t="shared" si="74"/>
        <v>0</v>
      </c>
      <c r="BT135" s="9">
        <f t="shared" si="75"/>
        <v>0</v>
      </c>
      <c r="BU135" s="9">
        <f t="shared" si="76"/>
        <v>0</v>
      </c>
      <c r="BV135" s="9">
        <f t="shared" si="77"/>
        <v>135.486715</v>
      </c>
      <c r="BW135">
        <f t="shared" si="78"/>
        <v>135.486715</v>
      </c>
      <c r="BX135">
        <v>0</v>
      </c>
      <c r="BY135">
        <f t="shared" si="79"/>
        <v>723.76380441750007</v>
      </c>
      <c r="BZ135">
        <v>291.94969191299998</v>
      </c>
      <c r="CA135">
        <f t="shared" si="80"/>
        <v>1359.201593087</v>
      </c>
      <c r="CB135">
        <f t="shared" si="81"/>
        <v>2510.4018044175</v>
      </c>
      <c r="CC135">
        <v>0</v>
      </c>
      <c r="CD135">
        <v>0</v>
      </c>
      <c r="CE135">
        <f t="shared" si="82"/>
        <v>0</v>
      </c>
      <c r="CF135">
        <f t="shared" si="83"/>
        <v>1786.6379999999999</v>
      </c>
      <c r="CG135">
        <f t="shared" si="84"/>
        <v>1359.201593087</v>
      </c>
      <c r="CH135">
        <f t="shared" si="85"/>
        <v>0</v>
      </c>
      <c r="CJ135" t="s">
        <v>278</v>
      </c>
      <c r="CL135" t="str">
        <f t="shared" si="86"/>
        <v/>
      </c>
    </row>
    <row r="136" spans="1:90" x14ac:dyDescent="0.25">
      <c r="A136" t="s">
        <v>112</v>
      </c>
      <c r="B136" t="s">
        <v>181</v>
      </c>
      <c r="C136" s="1">
        <v>46204</v>
      </c>
      <c r="D136" t="s">
        <v>182</v>
      </c>
      <c r="E136" t="s">
        <v>175</v>
      </c>
      <c r="F136" s="4">
        <v>1</v>
      </c>
      <c r="G136" s="4">
        <v>0.05</v>
      </c>
      <c r="H136" s="9">
        <v>1786.6379999999999</v>
      </c>
      <c r="I136" s="9">
        <v>297.77299999999997</v>
      </c>
      <c r="J136" s="9">
        <f t="shared" si="58"/>
        <v>2084.4110000000001</v>
      </c>
      <c r="K136" s="9">
        <v>0</v>
      </c>
      <c r="L136" s="9">
        <f t="shared" si="59"/>
        <v>0</v>
      </c>
      <c r="M136">
        <v>0</v>
      </c>
      <c r="N136" s="4">
        <f t="shared" si="60"/>
        <v>0</v>
      </c>
      <c r="O136" s="9">
        <v>1701.56</v>
      </c>
      <c r="P136" s="9">
        <v>85.078000000000003</v>
      </c>
      <c r="Q136" s="9">
        <v>0</v>
      </c>
      <c r="R136" s="9">
        <v>0</v>
      </c>
      <c r="S136" s="9">
        <v>0</v>
      </c>
      <c r="T136" s="9">
        <v>0</v>
      </c>
      <c r="U136" s="9">
        <v>0</v>
      </c>
      <c r="V136" s="9">
        <v>0</v>
      </c>
      <c r="W136" s="9">
        <f t="shared" si="61"/>
        <v>1786.6379999999999</v>
      </c>
      <c r="X136" s="9">
        <v>0</v>
      </c>
      <c r="Y136" s="9">
        <v>0</v>
      </c>
      <c r="Z136" s="9">
        <v>0</v>
      </c>
      <c r="AA136" s="9">
        <v>0</v>
      </c>
      <c r="AB136" s="9">
        <f t="shared" si="62"/>
        <v>0</v>
      </c>
      <c r="AC136" s="9">
        <v>0</v>
      </c>
      <c r="AD136" s="9">
        <v>0</v>
      </c>
      <c r="AE136" s="9">
        <v>1786.6379999999999</v>
      </c>
      <c r="AF136" s="9">
        <v>0</v>
      </c>
      <c r="AG136" s="9">
        <v>0</v>
      </c>
      <c r="AH136" s="9">
        <v>0</v>
      </c>
      <c r="AI136" s="9">
        <v>0</v>
      </c>
      <c r="AJ136" s="9">
        <v>0</v>
      </c>
      <c r="AK136" s="9">
        <v>0</v>
      </c>
      <c r="AL136" s="9">
        <v>0</v>
      </c>
      <c r="AM136" s="9">
        <v>0</v>
      </c>
      <c r="AN136" s="9">
        <v>0</v>
      </c>
      <c r="AO136" s="9">
        <v>0</v>
      </c>
      <c r="AP136" s="9">
        <v>0</v>
      </c>
      <c r="AQ136" s="25">
        <v>0</v>
      </c>
      <c r="AR136" s="9">
        <f t="shared" si="63"/>
        <v>0</v>
      </c>
      <c r="AS136" s="25">
        <v>0</v>
      </c>
      <c r="AT136" s="9">
        <f t="shared" si="64"/>
        <v>0</v>
      </c>
      <c r="AU136" s="9">
        <v>0</v>
      </c>
      <c r="AV136" s="25">
        <v>0</v>
      </c>
      <c r="AW136" s="9">
        <f t="shared" si="65"/>
        <v>0</v>
      </c>
      <c r="AX136" s="25">
        <v>0</v>
      </c>
      <c r="AY136" s="9">
        <f t="shared" si="66"/>
        <v>0</v>
      </c>
      <c r="AZ136" s="9">
        <v>0</v>
      </c>
      <c r="BA136" s="25">
        <v>0</v>
      </c>
      <c r="BB136" s="9">
        <f t="shared" si="67"/>
        <v>0</v>
      </c>
      <c r="BC136" s="25">
        <v>0</v>
      </c>
      <c r="BD136" s="9">
        <f t="shared" si="68"/>
        <v>0</v>
      </c>
      <c r="BE136" s="9">
        <v>0</v>
      </c>
      <c r="BF136" s="9">
        <v>0</v>
      </c>
      <c r="BG136" s="9">
        <f t="shared" si="69"/>
        <v>0</v>
      </c>
      <c r="BH136" s="9">
        <v>0</v>
      </c>
      <c r="BI136" s="9">
        <f t="shared" si="70"/>
        <v>0</v>
      </c>
      <c r="BJ136" s="9">
        <v>0</v>
      </c>
      <c r="BK136" s="9">
        <v>0</v>
      </c>
      <c r="BL136" s="9">
        <f t="shared" si="71"/>
        <v>0</v>
      </c>
      <c r="BM136" s="9">
        <v>0</v>
      </c>
      <c r="BN136" s="9">
        <f t="shared" si="72"/>
        <v>0</v>
      </c>
      <c r="BO136" s="9">
        <v>0</v>
      </c>
      <c r="BP136" s="9">
        <v>0</v>
      </c>
      <c r="BQ136" s="9">
        <f t="shared" si="73"/>
        <v>0</v>
      </c>
      <c r="BR136" s="9">
        <v>0</v>
      </c>
      <c r="BS136" s="9">
        <f t="shared" si="74"/>
        <v>0</v>
      </c>
      <c r="BT136" s="9">
        <f t="shared" si="75"/>
        <v>0</v>
      </c>
      <c r="BU136" s="9">
        <f t="shared" si="76"/>
        <v>0</v>
      </c>
      <c r="BV136" s="9">
        <f t="shared" si="77"/>
        <v>0</v>
      </c>
      <c r="BW136">
        <f t="shared" si="78"/>
        <v>0</v>
      </c>
      <c r="BX136">
        <v>0</v>
      </c>
      <c r="BY136">
        <f t="shared" si="79"/>
        <v>0</v>
      </c>
      <c r="BZ136">
        <v>291.94969191299998</v>
      </c>
      <c r="CA136">
        <f t="shared" si="80"/>
        <v>1494.688308087</v>
      </c>
      <c r="CB136">
        <f t="shared" si="81"/>
        <v>1786.6379999999999</v>
      </c>
      <c r="CC136">
        <v>0</v>
      </c>
      <c r="CD136">
        <v>0</v>
      </c>
      <c r="CE136">
        <f t="shared" si="82"/>
        <v>0</v>
      </c>
      <c r="CF136">
        <f t="shared" si="83"/>
        <v>1786.6379999999999</v>
      </c>
      <c r="CG136">
        <f t="shared" si="84"/>
        <v>1494.688308087</v>
      </c>
      <c r="CH136">
        <f t="shared" si="85"/>
        <v>0</v>
      </c>
      <c r="CJ136" t="s">
        <v>278</v>
      </c>
      <c r="CL136" t="str">
        <f t="shared" si="86"/>
        <v/>
      </c>
    </row>
    <row r="137" spans="1:90" x14ac:dyDescent="0.25">
      <c r="A137" t="s">
        <v>112</v>
      </c>
      <c r="B137" t="s">
        <v>183</v>
      </c>
      <c r="C137" s="1">
        <v>46204</v>
      </c>
      <c r="D137" t="s">
        <v>174</v>
      </c>
      <c r="E137" t="s">
        <v>175</v>
      </c>
      <c r="F137" s="4">
        <v>1</v>
      </c>
      <c r="G137" s="4">
        <v>0.05</v>
      </c>
      <c r="H137" s="9">
        <v>1786.6379999999999</v>
      </c>
      <c r="I137" s="9">
        <v>297.77299999999997</v>
      </c>
      <c r="J137" s="9">
        <f t="shared" si="58"/>
        <v>2084.4110000000001</v>
      </c>
      <c r="K137" s="9">
        <v>0</v>
      </c>
      <c r="L137" s="9">
        <f t="shared" si="59"/>
        <v>0</v>
      </c>
      <c r="M137">
        <v>0</v>
      </c>
      <c r="N137" s="4">
        <f t="shared" si="60"/>
        <v>0</v>
      </c>
      <c r="O137" s="9">
        <v>1701.56</v>
      </c>
      <c r="P137" s="9">
        <v>85.078000000000003</v>
      </c>
      <c r="Q137" s="9">
        <v>0</v>
      </c>
      <c r="R137" s="9">
        <v>0</v>
      </c>
      <c r="S137" s="9">
        <v>0</v>
      </c>
      <c r="T137" s="9">
        <v>0</v>
      </c>
      <c r="U137" s="9">
        <v>0</v>
      </c>
      <c r="V137" s="9">
        <v>0</v>
      </c>
      <c r="W137" s="9">
        <f t="shared" si="61"/>
        <v>1786.6379999999999</v>
      </c>
      <c r="X137" s="9">
        <v>297.77299999999997</v>
      </c>
      <c r="Y137" s="9">
        <v>0</v>
      </c>
      <c r="Z137" s="9">
        <v>2084.4110000000001</v>
      </c>
      <c r="AA137" s="9">
        <v>0</v>
      </c>
      <c r="AB137" s="9">
        <f t="shared" si="62"/>
        <v>2084.4110000000001</v>
      </c>
      <c r="AC137" s="9">
        <v>2084.4110000000001</v>
      </c>
      <c r="AD137" s="9">
        <v>0</v>
      </c>
      <c r="AE137" s="9">
        <v>1786.6379999999999</v>
      </c>
      <c r="AF137" s="9">
        <v>97.967317000000008</v>
      </c>
      <c r="AG137" s="9">
        <v>531.28540541999996</v>
      </c>
      <c r="AH137" s="9">
        <v>32.308370500000002</v>
      </c>
      <c r="AI137" s="9">
        <v>123.81651397499999</v>
      </c>
      <c r="AJ137" s="9">
        <v>4.5024186899999998</v>
      </c>
      <c r="AK137" s="9">
        <v>2.0844110000000002</v>
      </c>
      <c r="AL137" s="9">
        <v>13.507256069999999</v>
      </c>
      <c r="AM137" s="9">
        <v>3.1266165000000004</v>
      </c>
      <c r="AN137" s="9">
        <v>16.884070087499996</v>
      </c>
      <c r="AO137" s="9">
        <v>33.768140174999992</v>
      </c>
      <c r="AP137" s="9">
        <v>0</v>
      </c>
      <c r="AQ137" s="25">
        <v>0</v>
      </c>
      <c r="AR137" s="9">
        <f t="shared" si="63"/>
        <v>0</v>
      </c>
      <c r="AS137" s="25">
        <v>0</v>
      </c>
      <c r="AT137" s="9">
        <f t="shared" si="64"/>
        <v>0</v>
      </c>
      <c r="AU137" s="9">
        <v>0</v>
      </c>
      <c r="AV137" s="25">
        <v>0</v>
      </c>
      <c r="AW137" s="9">
        <f t="shared" si="65"/>
        <v>0</v>
      </c>
      <c r="AX137" s="25">
        <v>0</v>
      </c>
      <c r="AY137" s="9">
        <f t="shared" si="66"/>
        <v>0</v>
      </c>
      <c r="AZ137" s="9">
        <v>0</v>
      </c>
      <c r="BA137" s="25">
        <v>0</v>
      </c>
      <c r="BB137" s="9">
        <f t="shared" si="67"/>
        <v>0</v>
      </c>
      <c r="BC137" s="25">
        <v>0</v>
      </c>
      <c r="BD137" s="9">
        <f t="shared" si="68"/>
        <v>0</v>
      </c>
      <c r="BE137" s="9">
        <v>0</v>
      </c>
      <c r="BF137" s="9">
        <v>0</v>
      </c>
      <c r="BG137" s="9">
        <f t="shared" si="69"/>
        <v>0</v>
      </c>
      <c r="BH137" s="9">
        <v>0</v>
      </c>
      <c r="BI137" s="9">
        <f t="shared" si="70"/>
        <v>0</v>
      </c>
      <c r="BJ137" s="9">
        <v>0</v>
      </c>
      <c r="BK137" s="9">
        <v>0</v>
      </c>
      <c r="BL137" s="9">
        <f t="shared" si="71"/>
        <v>0</v>
      </c>
      <c r="BM137" s="9">
        <v>0</v>
      </c>
      <c r="BN137" s="9">
        <f t="shared" si="72"/>
        <v>0</v>
      </c>
      <c r="BO137" s="9">
        <v>0</v>
      </c>
      <c r="BP137" s="9">
        <v>0</v>
      </c>
      <c r="BQ137" s="9">
        <f t="shared" si="73"/>
        <v>0</v>
      </c>
      <c r="BR137" s="9">
        <v>0</v>
      </c>
      <c r="BS137" s="9">
        <f t="shared" si="74"/>
        <v>0</v>
      </c>
      <c r="BT137" s="9">
        <f t="shared" si="75"/>
        <v>0</v>
      </c>
      <c r="BU137" s="9">
        <f t="shared" si="76"/>
        <v>0</v>
      </c>
      <c r="BV137" s="9">
        <f t="shared" si="77"/>
        <v>135.486715</v>
      </c>
      <c r="BW137">
        <f t="shared" si="78"/>
        <v>135.486715</v>
      </c>
      <c r="BX137">
        <v>0</v>
      </c>
      <c r="BY137">
        <f t="shared" si="79"/>
        <v>723.76380441750007</v>
      </c>
      <c r="BZ137">
        <v>291.94969191299998</v>
      </c>
      <c r="CA137">
        <f t="shared" si="80"/>
        <v>1359.201593087</v>
      </c>
      <c r="CB137">
        <f t="shared" si="81"/>
        <v>2510.4018044175</v>
      </c>
      <c r="CC137">
        <v>0</v>
      </c>
      <c r="CD137">
        <v>0</v>
      </c>
      <c r="CE137">
        <f t="shared" si="82"/>
        <v>0</v>
      </c>
      <c r="CF137">
        <f t="shared" si="83"/>
        <v>1786.6379999999999</v>
      </c>
      <c r="CG137">
        <f t="shared" si="84"/>
        <v>1359.201593087</v>
      </c>
      <c r="CH137">
        <f t="shared" si="85"/>
        <v>0</v>
      </c>
      <c r="CJ137" t="s">
        <v>278</v>
      </c>
      <c r="CL137" t="str">
        <f t="shared" si="86"/>
        <v/>
      </c>
    </row>
    <row r="138" spans="1:90" x14ac:dyDescent="0.25">
      <c r="A138" t="s">
        <v>112</v>
      </c>
      <c r="B138" t="s">
        <v>184</v>
      </c>
      <c r="C138" s="1">
        <v>46235</v>
      </c>
      <c r="D138" t="s">
        <v>174</v>
      </c>
      <c r="E138" t="s">
        <v>175</v>
      </c>
      <c r="F138" s="4">
        <v>1</v>
      </c>
      <c r="G138" s="4">
        <v>0.1</v>
      </c>
      <c r="H138" s="9">
        <v>1871.7160000000001</v>
      </c>
      <c r="I138" s="9">
        <v>311.95266666666669</v>
      </c>
      <c r="J138" s="9">
        <f t="shared" si="58"/>
        <v>2183.6686666666669</v>
      </c>
      <c r="K138" s="9">
        <v>0</v>
      </c>
      <c r="L138" s="9">
        <f t="shared" si="59"/>
        <v>0</v>
      </c>
      <c r="M138">
        <v>0</v>
      </c>
      <c r="N138" s="4">
        <f t="shared" si="60"/>
        <v>0</v>
      </c>
      <c r="O138" s="9">
        <v>1701.56</v>
      </c>
      <c r="P138" s="9">
        <v>170.15600000000001</v>
      </c>
      <c r="Q138" s="9">
        <v>0</v>
      </c>
      <c r="R138" s="9">
        <v>0</v>
      </c>
      <c r="S138" s="9">
        <v>0</v>
      </c>
      <c r="T138" s="9">
        <v>0</v>
      </c>
      <c r="U138" s="9">
        <v>0</v>
      </c>
      <c r="V138" s="9">
        <v>0</v>
      </c>
      <c r="W138" s="9">
        <f t="shared" si="61"/>
        <v>1871.7159999999999</v>
      </c>
      <c r="X138" s="9">
        <v>311.95266666666669</v>
      </c>
      <c r="Y138" s="9">
        <v>0</v>
      </c>
      <c r="Z138" s="9">
        <v>2183.6686666666665</v>
      </c>
      <c r="AA138" s="9">
        <v>0</v>
      </c>
      <c r="AB138" s="9">
        <f t="shared" si="62"/>
        <v>2183.6686666666665</v>
      </c>
      <c r="AC138" s="9">
        <v>2183.6686666666665</v>
      </c>
      <c r="AD138" s="9">
        <v>0</v>
      </c>
      <c r="AE138" s="9">
        <v>1871.7159999999999</v>
      </c>
      <c r="AF138" s="9">
        <v>102.63242733333333</v>
      </c>
      <c r="AG138" s="9">
        <v>531.28540541999996</v>
      </c>
      <c r="AH138" s="9">
        <v>33.846864333333329</v>
      </c>
      <c r="AI138" s="9">
        <v>123.81651397499999</v>
      </c>
      <c r="AJ138" s="9">
        <v>4.5024186899999998</v>
      </c>
      <c r="AK138" s="9">
        <v>2.1836686666666667</v>
      </c>
      <c r="AL138" s="9">
        <v>13.507256069999999</v>
      </c>
      <c r="AM138" s="9">
        <v>3.2755029999999996</v>
      </c>
      <c r="AN138" s="9">
        <v>16.884070087499996</v>
      </c>
      <c r="AO138" s="9">
        <v>33.768140174999992</v>
      </c>
      <c r="AP138" s="9">
        <v>0</v>
      </c>
      <c r="AQ138" s="25">
        <v>0</v>
      </c>
      <c r="AR138" s="9">
        <f t="shared" si="63"/>
        <v>0</v>
      </c>
      <c r="AS138" s="25">
        <v>0</v>
      </c>
      <c r="AT138" s="9">
        <f t="shared" si="64"/>
        <v>0</v>
      </c>
      <c r="AU138" s="9">
        <v>0</v>
      </c>
      <c r="AV138" s="25">
        <v>0</v>
      </c>
      <c r="AW138" s="9">
        <f t="shared" si="65"/>
        <v>0</v>
      </c>
      <c r="AX138" s="25">
        <v>0</v>
      </c>
      <c r="AY138" s="9">
        <f t="shared" si="66"/>
        <v>0</v>
      </c>
      <c r="AZ138" s="9">
        <v>0</v>
      </c>
      <c r="BA138" s="25">
        <v>0</v>
      </c>
      <c r="BB138" s="9">
        <f t="shared" si="67"/>
        <v>0</v>
      </c>
      <c r="BC138" s="25">
        <v>0</v>
      </c>
      <c r="BD138" s="9">
        <f t="shared" si="68"/>
        <v>0</v>
      </c>
      <c r="BE138" s="9">
        <v>0</v>
      </c>
      <c r="BF138" s="9">
        <v>0</v>
      </c>
      <c r="BG138" s="9">
        <f t="shared" si="69"/>
        <v>0</v>
      </c>
      <c r="BH138" s="9">
        <v>0</v>
      </c>
      <c r="BI138" s="9">
        <f t="shared" si="70"/>
        <v>0</v>
      </c>
      <c r="BJ138" s="9">
        <v>0</v>
      </c>
      <c r="BK138" s="9">
        <v>0</v>
      </c>
      <c r="BL138" s="9">
        <f t="shared" si="71"/>
        <v>0</v>
      </c>
      <c r="BM138" s="9">
        <v>0</v>
      </c>
      <c r="BN138" s="9">
        <f t="shared" si="72"/>
        <v>0</v>
      </c>
      <c r="BO138" s="9">
        <v>0</v>
      </c>
      <c r="BP138" s="9">
        <v>0</v>
      </c>
      <c r="BQ138" s="9">
        <f t="shared" si="73"/>
        <v>0</v>
      </c>
      <c r="BR138" s="9">
        <v>0</v>
      </c>
      <c r="BS138" s="9">
        <f t="shared" si="74"/>
        <v>0</v>
      </c>
      <c r="BT138" s="9">
        <f t="shared" si="75"/>
        <v>0</v>
      </c>
      <c r="BU138" s="9">
        <f t="shared" si="76"/>
        <v>0</v>
      </c>
      <c r="BV138" s="9">
        <f t="shared" si="77"/>
        <v>141.93846333333332</v>
      </c>
      <c r="BW138">
        <f t="shared" si="78"/>
        <v>141.93846333333332</v>
      </c>
      <c r="BX138">
        <v>0</v>
      </c>
      <c r="BY138">
        <f t="shared" si="79"/>
        <v>723.76380441750007</v>
      </c>
      <c r="BZ138">
        <v>291.94969191299998</v>
      </c>
      <c r="CA138">
        <f t="shared" si="80"/>
        <v>1437.8278447536666</v>
      </c>
      <c r="CB138">
        <f t="shared" si="81"/>
        <v>2595.4798044175</v>
      </c>
      <c r="CC138">
        <v>0</v>
      </c>
      <c r="CD138">
        <v>0</v>
      </c>
      <c r="CE138">
        <f t="shared" si="82"/>
        <v>0</v>
      </c>
      <c r="CF138">
        <f t="shared" si="83"/>
        <v>1871.7159999999999</v>
      </c>
      <c r="CG138">
        <f t="shared" si="84"/>
        <v>1437.8278447536666</v>
      </c>
      <c r="CH138">
        <f t="shared" si="85"/>
        <v>0</v>
      </c>
      <c r="CJ138" t="s">
        <v>278</v>
      </c>
      <c r="CL138" t="str">
        <f t="shared" si="86"/>
        <v/>
      </c>
    </row>
    <row r="139" spans="1:90" x14ac:dyDescent="0.25">
      <c r="A139" t="s">
        <v>112</v>
      </c>
      <c r="B139" t="s">
        <v>185</v>
      </c>
      <c r="C139" s="1">
        <v>46266</v>
      </c>
      <c r="D139" t="s">
        <v>174</v>
      </c>
      <c r="E139" t="s">
        <v>175</v>
      </c>
      <c r="F139" s="4">
        <v>1</v>
      </c>
      <c r="G139" s="4">
        <v>0.1</v>
      </c>
      <c r="H139" s="9">
        <v>1871.7160000000001</v>
      </c>
      <c r="I139" s="9">
        <v>311.95266666666669</v>
      </c>
      <c r="J139" s="9">
        <f t="shared" si="58"/>
        <v>2183.6686666666669</v>
      </c>
      <c r="K139" s="9">
        <v>0</v>
      </c>
      <c r="L139" s="9">
        <f t="shared" si="59"/>
        <v>0</v>
      </c>
      <c r="M139">
        <v>0</v>
      </c>
      <c r="N139" s="4">
        <f t="shared" si="60"/>
        <v>0</v>
      </c>
      <c r="O139" s="9">
        <v>1701.56</v>
      </c>
      <c r="P139" s="9">
        <v>170.15600000000001</v>
      </c>
      <c r="Q139" s="9">
        <v>0</v>
      </c>
      <c r="R139" s="9">
        <v>0</v>
      </c>
      <c r="S139" s="9">
        <v>0</v>
      </c>
      <c r="T139" s="9">
        <v>0</v>
      </c>
      <c r="U139" s="9">
        <v>0</v>
      </c>
      <c r="V139" s="9">
        <v>0</v>
      </c>
      <c r="W139" s="9">
        <f t="shared" si="61"/>
        <v>1871.7159999999999</v>
      </c>
      <c r="X139" s="9">
        <v>311.95266666666669</v>
      </c>
      <c r="Y139" s="9">
        <v>0</v>
      </c>
      <c r="Z139" s="9">
        <v>2183.6686666666665</v>
      </c>
      <c r="AA139" s="9">
        <v>0</v>
      </c>
      <c r="AB139" s="9">
        <f t="shared" si="62"/>
        <v>2183.6686666666665</v>
      </c>
      <c r="AC139" s="9">
        <v>2183.6686666666665</v>
      </c>
      <c r="AD139" s="9">
        <v>0</v>
      </c>
      <c r="AE139" s="9">
        <v>1871.7159999999999</v>
      </c>
      <c r="AF139" s="9">
        <v>102.63242733333333</v>
      </c>
      <c r="AG139" s="9">
        <v>531.28540541999996</v>
      </c>
      <c r="AH139" s="9">
        <v>33.846864333333329</v>
      </c>
      <c r="AI139" s="9">
        <v>123.81651397499999</v>
      </c>
      <c r="AJ139" s="9">
        <v>4.5024186899999998</v>
      </c>
      <c r="AK139" s="9">
        <v>2.1836686666666667</v>
      </c>
      <c r="AL139" s="9">
        <v>13.507256069999999</v>
      </c>
      <c r="AM139" s="9">
        <v>3.2755029999999996</v>
      </c>
      <c r="AN139" s="9">
        <v>16.884070087499996</v>
      </c>
      <c r="AO139" s="9">
        <v>33.768140174999992</v>
      </c>
      <c r="AP139" s="9">
        <v>0</v>
      </c>
      <c r="AQ139" s="25">
        <v>0</v>
      </c>
      <c r="AR139" s="9">
        <f t="shared" si="63"/>
        <v>0</v>
      </c>
      <c r="AS139" s="25">
        <v>0</v>
      </c>
      <c r="AT139" s="9">
        <f t="shared" si="64"/>
        <v>0</v>
      </c>
      <c r="AU139" s="9">
        <v>0</v>
      </c>
      <c r="AV139" s="25">
        <v>0</v>
      </c>
      <c r="AW139" s="9">
        <f t="shared" si="65"/>
        <v>0</v>
      </c>
      <c r="AX139" s="25">
        <v>0</v>
      </c>
      <c r="AY139" s="9">
        <f t="shared" si="66"/>
        <v>0</v>
      </c>
      <c r="AZ139" s="9">
        <v>0</v>
      </c>
      <c r="BA139" s="25">
        <v>0</v>
      </c>
      <c r="BB139" s="9">
        <f t="shared" si="67"/>
        <v>0</v>
      </c>
      <c r="BC139" s="25">
        <v>0</v>
      </c>
      <c r="BD139" s="9">
        <f t="shared" si="68"/>
        <v>0</v>
      </c>
      <c r="BE139" s="9">
        <v>0</v>
      </c>
      <c r="BF139" s="9">
        <v>0</v>
      </c>
      <c r="BG139" s="9">
        <f t="shared" si="69"/>
        <v>0</v>
      </c>
      <c r="BH139" s="9">
        <v>0</v>
      </c>
      <c r="BI139" s="9">
        <f t="shared" si="70"/>
        <v>0</v>
      </c>
      <c r="BJ139" s="9">
        <v>0</v>
      </c>
      <c r="BK139" s="9">
        <v>0</v>
      </c>
      <c r="BL139" s="9">
        <f t="shared" si="71"/>
        <v>0</v>
      </c>
      <c r="BM139" s="9">
        <v>0</v>
      </c>
      <c r="BN139" s="9">
        <f t="shared" si="72"/>
        <v>0</v>
      </c>
      <c r="BO139" s="9">
        <v>0</v>
      </c>
      <c r="BP139" s="9">
        <v>0</v>
      </c>
      <c r="BQ139" s="9">
        <f t="shared" si="73"/>
        <v>0</v>
      </c>
      <c r="BR139" s="9">
        <v>0</v>
      </c>
      <c r="BS139" s="9">
        <f t="shared" si="74"/>
        <v>0</v>
      </c>
      <c r="BT139" s="9">
        <f t="shared" si="75"/>
        <v>0</v>
      </c>
      <c r="BU139" s="9">
        <f t="shared" si="76"/>
        <v>0</v>
      </c>
      <c r="BV139" s="9">
        <f t="shared" si="77"/>
        <v>141.93846333333332</v>
      </c>
      <c r="BW139">
        <f t="shared" si="78"/>
        <v>141.93846333333332</v>
      </c>
      <c r="BX139">
        <v>0</v>
      </c>
      <c r="BY139">
        <f t="shared" si="79"/>
        <v>723.76380441750007</v>
      </c>
      <c r="BZ139">
        <v>291.94969191299998</v>
      </c>
      <c r="CA139">
        <f t="shared" si="80"/>
        <v>1437.8278447536666</v>
      </c>
      <c r="CB139">
        <f t="shared" si="81"/>
        <v>2595.4798044175</v>
      </c>
      <c r="CC139">
        <v>0</v>
      </c>
      <c r="CD139">
        <v>0</v>
      </c>
      <c r="CE139">
        <f t="shared" si="82"/>
        <v>0</v>
      </c>
      <c r="CF139">
        <f t="shared" si="83"/>
        <v>1871.7159999999999</v>
      </c>
      <c r="CG139">
        <f t="shared" si="84"/>
        <v>1437.8278447536666</v>
      </c>
      <c r="CH139">
        <f t="shared" si="85"/>
        <v>0</v>
      </c>
      <c r="CJ139" t="s">
        <v>278</v>
      </c>
      <c r="CL139" t="str">
        <f t="shared" si="86"/>
        <v/>
      </c>
    </row>
    <row r="140" spans="1:90" x14ac:dyDescent="0.25">
      <c r="A140" t="s">
        <v>112</v>
      </c>
      <c r="B140" t="s">
        <v>186</v>
      </c>
      <c r="C140" s="1">
        <v>46296</v>
      </c>
      <c r="D140" t="s">
        <v>174</v>
      </c>
      <c r="E140" t="s">
        <v>175</v>
      </c>
      <c r="F140" s="4">
        <v>1</v>
      </c>
      <c r="G140" s="4">
        <v>0.1</v>
      </c>
      <c r="H140" s="9">
        <v>1871.7160000000001</v>
      </c>
      <c r="I140" s="9">
        <v>311.95266666666669</v>
      </c>
      <c r="J140" s="9">
        <f t="shared" si="58"/>
        <v>2183.6686666666669</v>
      </c>
      <c r="K140" s="9">
        <v>0</v>
      </c>
      <c r="L140" s="9">
        <f t="shared" si="59"/>
        <v>0</v>
      </c>
      <c r="M140">
        <v>0</v>
      </c>
      <c r="N140" s="4">
        <f t="shared" si="60"/>
        <v>0</v>
      </c>
      <c r="O140" s="9">
        <v>1701.56</v>
      </c>
      <c r="P140" s="9">
        <v>170.15600000000001</v>
      </c>
      <c r="Q140" s="9">
        <v>0</v>
      </c>
      <c r="R140" s="9">
        <v>0</v>
      </c>
      <c r="S140" s="9">
        <v>0</v>
      </c>
      <c r="T140" s="9">
        <v>0</v>
      </c>
      <c r="U140" s="9">
        <v>0</v>
      </c>
      <c r="V140" s="9">
        <v>0</v>
      </c>
      <c r="W140" s="9">
        <f t="shared" si="61"/>
        <v>1871.7159999999999</v>
      </c>
      <c r="X140" s="9">
        <v>311.95266666666669</v>
      </c>
      <c r="Y140" s="9">
        <v>0</v>
      </c>
      <c r="Z140" s="9">
        <v>2183.6686666666665</v>
      </c>
      <c r="AA140" s="9">
        <v>0</v>
      </c>
      <c r="AB140" s="9">
        <f t="shared" si="62"/>
        <v>2183.6686666666665</v>
      </c>
      <c r="AC140" s="9">
        <v>2183.6686666666665</v>
      </c>
      <c r="AD140" s="9">
        <v>0</v>
      </c>
      <c r="AE140" s="9">
        <v>1871.7159999999999</v>
      </c>
      <c r="AF140" s="9">
        <v>102.63242733333333</v>
      </c>
      <c r="AG140" s="9">
        <v>531.28540541999996</v>
      </c>
      <c r="AH140" s="9">
        <v>33.846864333333329</v>
      </c>
      <c r="AI140" s="9">
        <v>123.81651397499999</v>
      </c>
      <c r="AJ140" s="9">
        <v>4.5024186899999998</v>
      </c>
      <c r="AK140" s="9">
        <v>2.1836686666666667</v>
      </c>
      <c r="AL140" s="9">
        <v>13.507256069999999</v>
      </c>
      <c r="AM140" s="9">
        <v>3.2755029999999996</v>
      </c>
      <c r="AN140" s="9">
        <v>16.884070087499996</v>
      </c>
      <c r="AO140" s="9">
        <v>33.768140174999992</v>
      </c>
      <c r="AP140" s="9">
        <v>0</v>
      </c>
      <c r="AQ140" s="25">
        <v>0</v>
      </c>
      <c r="AR140" s="9">
        <f t="shared" si="63"/>
        <v>0</v>
      </c>
      <c r="AS140" s="25">
        <v>0</v>
      </c>
      <c r="AT140" s="9">
        <f t="shared" si="64"/>
        <v>0</v>
      </c>
      <c r="AU140" s="9">
        <v>0</v>
      </c>
      <c r="AV140" s="25">
        <v>0</v>
      </c>
      <c r="AW140" s="9">
        <f t="shared" si="65"/>
        <v>0</v>
      </c>
      <c r="AX140" s="25">
        <v>0</v>
      </c>
      <c r="AY140" s="9">
        <f t="shared" si="66"/>
        <v>0</v>
      </c>
      <c r="AZ140" s="9">
        <v>0</v>
      </c>
      <c r="BA140" s="25">
        <v>0</v>
      </c>
      <c r="BB140" s="9">
        <f t="shared" si="67"/>
        <v>0</v>
      </c>
      <c r="BC140" s="25">
        <v>0</v>
      </c>
      <c r="BD140" s="9">
        <f t="shared" si="68"/>
        <v>0</v>
      </c>
      <c r="BE140" s="9">
        <v>0</v>
      </c>
      <c r="BF140" s="9">
        <v>0</v>
      </c>
      <c r="BG140" s="9">
        <f t="shared" si="69"/>
        <v>0</v>
      </c>
      <c r="BH140" s="9">
        <v>0</v>
      </c>
      <c r="BI140" s="9">
        <f t="shared" si="70"/>
        <v>0</v>
      </c>
      <c r="BJ140" s="9">
        <v>0</v>
      </c>
      <c r="BK140" s="9">
        <v>0</v>
      </c>
      <c r="BL140" s="9">
        <f t="shared" si="71"/>
        <v>0</v>
      </c>
      <c r="BM140" s="9">
        <v>0</v>
      </c>
      <c r="BN140" s="9">
        <f t="shared" si="72"/>
        <v>0</v>
      </c>
      <c r="BO140" s="9">
        <v>0</v>
      </c>
      <c r="BP140" s="9">
        <v>0</v>
      </c>
      <c r="BQ140" s="9">
        <f t="shared" si="73"/>
        <v>0</v>
      </c>
      <c r="BR140" s="9">
        <v>0</v>
      </c>
      <c r="BS140" s="9">
        <f t="shared" si="74"/>
        <v>0</v>
      </c>
      <c r="BT140" s="9">
        <f t="shared" si="75"/>
        <v>0</v>
      </c>
      <c r="BU140" s="9">
        <f t="shared" si="76"/>
        <v>0</v>
      </c>
      <c r="BV140" s="9">
        <f t="shared" si="77"/>
        <v>141.93846333333332</v>
      </c>
      <c r="BW140">
        <f t="shared" si="78"/>
        <v>141.93846333333332</v>
      </c>
      <c r="BX140">
        <v>0</v>
      </c>
      <c r="BY140">
        <f t="shared" si="79"/>
        <v>723.76380441750007</v>
      </c>
      <c r="BZ140">
        <v>291.94969191299998</v>
      </c>
      <c r="CA140">
        <f t="shared" si="80"/>
        <v>1437.8278447536666</v>
      </c>
      <c r="CB140">
        <f t="shared" si="81"/>
        <v>2595.4798044175</v>
      </c>
      <c r="CC140">
        <v>0</v>
      </c>
      <c r="CD140">
        <v>0</v>
      </c>
      <c r="CE140">
        <f t="shared" si="82"/>
        <v>0</v>
      </c>
      <c r="CF140">
        <f t="shared" si="83"/>
        <v>1871.7159999999999</v>
      </c>
      <c r="CG140">
        <f t="shared" si="84"/>
        <v>1437.8278447536666</v>
      </c>
      <c r="CH140">
        <f t="shared" si="85"/>
        <v>0</v>
      </c>
      <c r="CJ140" t="s">
        <v>278</v>
      </c>
      <c r="CL140" t="str">
        <f t="shared" si="86"/>
        <v/>
      </c>
    </row>
    <row r="141" spans="1:90" x14ac:dyDescent="0.25">
      <c r="A141" t="s">
        <v>112</v>
      </c>
      <c r="B141" t="s">
        <v>187</v>
      </c>
      <c r="C141" s="1">
        <v>46327</v>
      </c>
      <c r="D141" t="s">
        <v>174</v>
      </c>
      <c r="E141" t="s">
        <v>175</v>
      </c>
      <c r="F141" s="4">
        <v>1</v>
      </c>
      <c r="G141" s="4">
        <v>0.1</v>
      </c>
      <c r="H141" s="9">
        <v>1871.7160000000001</v>
      </c>
      <c r="I141" s="9">
        <v>311.95266666666669</v>
      </c>
      <c r="J141" s="9">
        <f t="shared" si="58"/>
        <v>2183.6686666666669</v>
      </c>
      <c r="K141" s="9">
        <v>0</v>
      </c>
      <c r="L141" s="9">
        <f t="shared" si="59"/>
        <v>0</v>
      </c>
      <c r="M141">
        <v>0</v>
      </c>
      <c r="N141" s="4">
        <f t="shared" si="60"/>
        <v>0</v>
      </c>
      <c r="O141" s="9">
        <v>1701.56</v>
      </c>
      <c r="P141" s="9">
        <v>170.15600000000001</v>
      </c>
      <c r="Q141" s="9">
        <v>0</v>
      </c>
      <c r="R141" s="9">
        <v>0</v>
      </c>
      <c r="S141" s="9">
        <v>0</v>
      </c>
      <c r="T141" s="9">
        <v>0</v>
      </c>
      <c r="U141" s="9">
        <v>0</v>
      </c>
      <c r="V141" s="9">
        <v>0</v>
      </c>
      <c r="W141" s="9">
        <f t="shared" si="61"/>
        <v>1871.7159999999999</v>
      </c>
      <c r="X141" s="9">
        <v>311.95266666666669</v>
      </c>
      <c r="Y141" s="9">
        <v>0</v>
      </c>
      <c r="Z141" s="9">
        <v>2183.6686666666665</v>
      </c>
      <c r="AA141" s="9">
        <v>0</v>
      </c>
      <c r="AB141" s="9">
        <f t="shared" si="62"/>
        <v>2183.6686666666665</v>
      </c>
      <c r="AC141" s="9">
        <v>2183.6686666666665</v>
      </c>
      <c r="AD141" s="9">
        <v>0</v>
      </c>
      <c r="AE141" s="9">
        <v>1871.7159999999999</v>
      </c>
      <c r="AF141" s="9">
        <v>102.63242733333333</v>
      </c>
      <c r="AG141" s="9">
        <v>531.28540541999996</v>
      </c>
      <c r="AH141" s="9">
        <v>33.846864333333329</v>
      </c>
      <c r="AI141" s="9">
        <v>123.81651397499999</v>
      </c>
      <c r="AJ141" s="9">
        <v>4.5024186899999998</v>
      </c>
      <c r="AK141" s="9">
        <v>2.1836686666666667</v>
      </c>
      <c r="AL141" s="9">
        <v>13.507256069999999</v>
      </c>
      <c r="AM141" s="9">
        <v>3.2755029999999996</v>
      </c>
      <c r="AN141" s="9">
        <v>16.884070087499996</v>
      </c>
      <c r="AO141" s="9">
        <v>33.768140174999992</v>
      </c>
      <c r="AP141" s="9">
        <v>0</v>
      </c>
      <c r="AQ141" s="25">
        <v>0</v>
      </c>
      <c r="AR141" s="9">
        <f t="shared" si="63"/>
        <v>0</v>
      </c>
      <c r="AS141" s="25">
        <v>0</v>
      </c>
      <c r="AT141" s="9">
        <f t="shared" si="64"/>
        <v>0</v>
      </c>
      <c r="AU141" s="9">
        <v>0</v>
      </c>
      <c r="AV141" s="25">
        <v>0</v>
      </c>
      <c r="AW141" s="9">
        <f t="shared" si="65"/>
        <v>0</v>
      </c>
      <c r="AX141" s="25">
        <v>0</v>
      </c>
      <c r="AY141" s="9">
        <f t="shared" si="66"/>
        <v>0</v>
      </c>
      <c r="AZ141" s="9">
        <v>0</v>
      </c>
      <c r="BA141" s="25">
        <v>0</v>
      </c>
      <c r="BB141" s="9">
        <f t="shared" si="67"/>
        <v>0</v>
      </c>
      <c r="BC141" s="25">
        <v>0</v>
      </c>
      <c r="BD141" s="9">
        <f t="shared" si="68"/>
        <v>0</v>
      </c>
      <c r="BE141" s="9">
        <v>0</v>
      </c>
      <c r="BF141" s="9">
        <v>0</v>
      </c>
      <c r="BG141" s="9">
        <f t="shared" si="69"/>
        <v>0</v>
      </c>
      <c r="BH141" s="9">
        <v>0</v>
      </c>
      <c r="BI141" s="9">
        <f t="shared" si="70"/>
        <v>0</v>
      </c>
      <c r="BJ141" s="9">
        <v>0</v>
      </c>
      <c r="BK141" s="9">
        <v>0</v>
      </c>
      <c r="BL141" s="9">
        <f t="shared" si="71"/>
        <v>0</v>
      </c>
      <c r="BM141" s="9">
        <v>0</v>
      </c>
      <c r="BN141" s="9">
        <f t="shared" si="72"/>
        <v>0</v>
      </c>
      <c r="BO141" s="9">
        <v>0</v>
      </c>
      <c r="BP141" s="9">
        <v>0</v>
      </c>
      <c r="BQ141" s="9">
        <f t="shared" si="73"/>
        <v>0</v>
      </c>
      <c r="BR141" s="9">
        <v>0</v>
      </c>
      <c r="BS141" s="9">
        <f t="shared" si="74"/>
        <v>0</v>
      </c>
      <c r="BT141" s="9">
        <f t="shared" si="75"/>
        <v>0</v>
      </c>
      <c r="BU141" s="9">
        <f t="shared" si="76"/>
        <v>0</v>
      </c>
      <c r="BV141" s="9">
        <f t="shared" si="77"/>
        <v>141.93846333333332</v>
      </c>
      <c r="BW141">
        <f t="shared" si="78"/>
        <v>141.93846333333332</v>
      </c>
      <c r="BX141">
        <v>0</v>
      </c>
      <c r="BY141">
        <f t="shared" si="79"/>
        <v>723.76380441750007</v>
      </c>
      <c r="BZ141">
        <v>291.94969191299998</v>
      </c>
      <c r="CA141">
        <f t="shared" si="80"/>
        <v>1437.8278447536666</v>
      </c>
      <c r="CB141">
        <f t="shared" si="81"/>
        <v>2595.4798044175</v>
      </c>
      <c r="CC141">
        <v>0</v>
      </c>
      <c r="CD141">
        <v>0</v>
      </c>
      <c r="CE141">
        <f t="shared" si="82"/>
        <v>0</v>
      </c>
      <c r="CF141">
        <f t="shared" si="83"/>
        <v>1871.7159999999999</v>
      </c>
      <c r="CG141">
        <f t="shared" si="84"/>
        <v>1437.8278447536666</v>
      </c>
      <c r="CH141">
        <f t="shared" si="85"/>
        <v>0</v>
      </c>
      <c r="CJ141" t="s">
        <v>278</v>
      </c>
      <c r="CL141" t="str">
        <f t="shared" si="86"/>
        <v/>
      </c>
    </row>
    <row r="142" spans="1:90" x14ac:dyDescent="0.25">
      <c r="A142" t="s">
        <v>112</v>
      </c>
      <c r="B142" t="s">
        <v>188</v>
      </c>
      <c r="C142" s="1">
        <v>46357</v>
      </c>
      <c r="D142" t="s">
        <v>182</v>
      </c>
      <c r="E142" t="s">
        <v>175</v>
      </c>
      <c r="F142" s="4">
        <v>1</v>
      </c>
      <c r="G142" s="4">
        <v>0.1</v>
      </c>
      <c r="H142" s="9">
        <v>1871.7160000000001</v>
      </c>
      <c r="I142" s="9">
        <v>311.95266666666669</v>
      </c>
      <c r="J142" s="9">
        <f t="shared" si="58"/>
        <v>2183.6686666666669</v>
      </c>
      <c r="K142" s="9">
        <v>0</v>
      </c>
      <c r="L142" s="9">
        <f t="shared" si="59"/>
        <v>0</v>
      </c>
      <c r="M142">
        <v>0</v>
      </c>
      <c r="N142" s="4">
        <f t="shared" si="60"/>
        <v>0</v>
      </c>
      <c r="O142" s="9">
        <v>1701.56</v>
      </c>
      <c r="P142" s="9">
        <v>170.15600000000001</v>
      </c>
      <c r="Q142" s="9">
        <v>0</v>
      </c>
      <c r="R142" s="9">
        <v>0</v>
      </c>
      <c r="S142" s="9">
        <v>0</v>
      </c>
      <c r="T142" s="9">
        <v>0</v>
      </c>
      <c r="U142" s="9">
        <v>0</v>
      </c>
      <c r="V142" s="9">
        <v>0</v>
      </c>
      <c r="W142" s="9">
        <f t="shared" si="61"/>
        <v>1871.7159999999999</v>
      </c>
      <c r="X142" s="9">
        <v>0</v>
      </c>
      <c r="Y142" s="9">
        <v>0</v>
      </c>
      <c r="Z142" s="9">
        <v>0</v>
      </c>
      <c r="AA142" s="9">
        <v>0</v>
      </c>
      <c r="AB142" s="9">
        <f t="shared" si="62"/>
        <v>0</v>
      </c>
      <c r="AC142" s="9">
        <v>0</v>
      </c>
      <c r="AD142" s="9">
        <v>0</v>
      </c>
      <c r="AE142" s="9">
        <v>1871.7159999999999</v>
      </c>
      <c r="AF142" s="9">
        <v>0</v>
      </c>
      <c r="AG142" s="9">
        <v>0</v>
      </c>
      <c r="AH142" s="9">
        <v>0</v>
      </c>
      <c r="AI142" s="9">
        <v>0</v>
      </c>
      <c r="AJ142" s="9">
        <v>0</v>
      </c>
      <c r="AK142" s="9">
        <v>0</v>
      </c>
      <c r="AL142" s="9">
        <v>0</v>
      </c>
      <c r="AM142" s="9">
        <v>0</v>
      </c>
      <c r="AN142" s="9">
        <v>0</v>
      </c>
      <c r="AO142" s="9">
        <v>0</v>
      </c>
      <c r="AP142" s="9">
        <v>0</v>
      </c>
      <c r="AQ142" s="25">
        <v>0</v>
      </c>
      <c r="AR142" s="9">
        <f t="shared" si="63"/>
        <v>0</v>
      </c>
      <c r="AS142" s="25">
        <v>0</v>
      </c>
      <c r="AT142" s="9">
        <f t="shared" si="64"/>
        <v>0</v>
      </c>
      <c r="AU142" s="9">
        <v>0</v>
      </c>
      <c r="AV142" s="25">
        <v>0</v>
      </c>
      <c r="AW142" s="9">
        <f t="shared" si="65"/>
        <v>0</v>
      </c>
      <c r="AX142" s="25">
        <v>0</v>
      </c>
      <c r="AY142" s="9">
        <f t="shared" si="66"/>
        <v>0</v>
      </c>
      <c r="AZ142" s="9">
        <v>0</v>
      </c>
      <c r="BA142" s="25">
        <v>0</v>
      </c>
      <c r="BB142" s="9">
        <f t="shared" si="67"/>
        <v>0</v>
      </c>
      <c r="BC142" s="25">
        <v>0</v>
      </c>
      <c r="BD142" s="9">
        <f t="shared" si="68"/>
        <v>0</v>
      </c>
      <c r="BE142" s="9">
        <v>0</v>
      </c>
      <c r="BF142" s="9">
        <v>0</v>
      </c>
      <c r="BG142" s="9">
        <f t="shared" si="69"/>
        <v>0</v>
      </c>
      <c r="BH142" s="9">
        <v>0</v>
      </c>
      <c r="BI142" s="9">
        <f t="shared" si="70"/>
        <v>0</v>
      </c>
      <c r="BJ142" s="9">
        <v>0</v>
      </c>
      <c r="BK142" s="9">
        <v>0</v>
      </c>
      <c r="BL142" s="9">
        <f t="shared" si="71"/>
        <v>0</v>
      </c>
      <c r="BM142" s="9">
        <v>0</v>
      </c>
      <c r="BN142" s="9">
        <f t="shared" si="72"/>
        <v>0</v>
      </c>
      <c r="BO142" s="9">
        <v>0</v>
      </c>
      <c r="BP142" s="9">
        <v>0</v>
      </c>
      <c r="BQ142" s="9">
        <f t="shared" si="73"/>
        <v>0</v>
      </c>
      <c r="BR142" s="9">
        <v>0</v>
      </c>
      <c r="BS142" s="9">
        <f t="shared" si="74"/>
        <v>0</v>
      </c>
      <c r="BT142" s="9">
        <f t="shared" si="75"/>
        <v>0</v>
      </c>
      <c r="BU142" s="9">
        <f t="shared" si="76"/>
        <v>0</v>
      </c>
      <c r="BV142" s="9">
        <f t="shared" si="77"/>
        <v>0</v>
      </c>
      <c r="BW142">
        <f t="shared" si="78"/>
        <v>0</v>
      </c>
      <c r="BX142">
        <v>0</v>
      </c>
      <c r="BY142">
        <f t="shared" si="79"/>
        <v>0</v>
      </c>
      <c r="BZ142">
        <v>291.94969191299998</v>
      </c>
      <c r="CA142">
        <f t="shared" si="80"/>
        <v>1579.766308087</v>
      </c>
      <c r="CB142">
        <f t="shared" si="81"/>
        <v>1871.7159999999999</v>
      </c>
      <c r="CC142">
        <v>0</v>
      </c>
      <c r="CD142">
        <v>0</v>
      </c>
      <c r="CE142">
        <f t="shared" si="82"/>
        <v>0</v>
      </c>
      <c r="CF142">
        <f t="shared" si="83"/>
        <v>1871.7159999999999</v>
      </c>
      <c r="CG142">
        <f t="shared" si="84"/>
        <v>1579.766308087</v>
      </c>
      <c r="CH142">
        <f t="shared" si="85"/>
        <v>0</v>
      </c>
      <c r="CJ142" t="s">
        <v>278</v>
      </c>
      <c r="CL142" t="str">
        <f t="shared" si="86"/>
        <v/>
      </c>
    </row>
    <row r="143" spans="1:90" x14ac:dyDescent="0.25">
      <c r="A143" t="s">
        <v>112</v>
      </c>
      <c r="B143" t="s">
        <v>189</v>
      </c>
      <c r="C143" s="1">
        <v>46357</v>
      </c>
      <c r="D143" t="s">
        <v>174</v>
      </c>
      <c r="E143" t="s">
        <v>175</v>
      </c>
      <c r="F143" s="4">
        <v>1</v>
      </c>
      <c r="G143" s="4">
        <v>0.1</v>
      </c>
      <c r="H143" s="9">
        <v>1871.7160000000001</v>
      </c>
      <c r="I143" s="9">
        <v>311.95266666666669</v>
      </c>
      <c r="J143" s="9">
        <f t="shared" si="58"/>
        <v>2183.6686666666669</v>
      </c>
      <c r="K143" s="9">
        <v>0</v>
      </c>
      <c r="L143" s="9">
        <f t="shared" si="59"/>
        <v>0</v>
      </c>
      <c r="M143">
        <v>0</v>
      </c>
      <c r="N143" s="4">
        <f t="shared" si="60"/>
        <v>0</v>
      </c>
      <c r="O143" s="9">
        <v>1701.56</v>
      </c>
      <c r="P143" s="9">
        <v>170.15600000000001</v>
      </c>
      <c r="Q143" s="9">
        <v>0</v>
      </c>
      <c r="R143" s="9">
        <v>0</v>
      </c>
      <c r="S143" s="9">
        <v>0</v>
      </c>
      <c r="T143" s="9">
        <v>0</v>
      </c>
      <c r="U143" s="9">
        <v>0</v>
      </c>
      <c r="V143" s="9">
        <v>0</v>
      </c>
      <c r="W143" s="9">
        <f t="shared" si="61"/>
        <v>1871.7159999999999</v>
      </c>
      <c r="X143" s="9">
        <v>311.95266666666669</v>
      </c>
      <c r="Y143" s="9">
        <v>0</v>
      </c>
      <c r="Z143" s="9">
        <v>2183.6686666666665</v>
      </c>
      <c r="AA143" s="9">
        <v>0</v>
      </c>
      <c r="AB143" s="9">
        <f t="shared" si="62"/>
        <v>2183.6686666666665</v>
      </c>
      <c r="AC143" s="9">
        <v>2183.6686666666665</v>
      </c>
      <c r="AD143" s="9">
        <v>0</v>
      </c>
      <c r="AE143" s="9">
        <v>1871.7159999999999</v>
      </c>
      <c r="AF143" s="9">
        <v>102.63242733333333</v>
      </c>
      <c r="AG143" s="9">
        <v>531.28540541999996</v>
      </c>
      <c r="AH143" s="9">
        <v>33.846864333333329</v>
      </c>
      <c r="AI143" s="9">
        <v>123.81651397499999</v>
      </c>
      <c r="AJ143" s="9">
        <v>4.5024186899999998</v>
      </c>
      <c r="AK143" s="9">
        <v>2.1836686666666667</v>
      </c>
      <c r="AL143" s="9">
        <v>13.507256069999999</v>
      </c>
      <c r="AM143" s="9">
        <v>3.2755029999999996</v>
      </c>
      <c r="AN143" s="9">
        <v>16.884070087499996</v>
      </c>
      <c r="AO143" s="9">
        <v>33.768140174999992</v>
      </c>
      <c r="AP143" s="9">
        <v>0</v>
      </c>
      <c r="AQ143" s="25">
        <v>0</v>
      </c>
      <c r="AR143" s="9">
        <f t="shared" si="63"/>
        <v>0</v>
      </c>
      <c r="AS143" s="25">
        <v>0</v>
      </c>
      <c r="AT143" s="9">
        <f t="shared" si="64"/>
        <v>0</v>
      </c>
      <c r="AU143" s="9">
        <v>0</v>
      </c>
      <c r="AV143" s="25">
        <v>0</v>
      </c>
      <c r="AW143" s="9">
        <f t="shared" si="65"/>
        <v>0</v>
      </c>
      <c r="AX143" s="25">
        <v>0</v>
      </c>
      <c r="AY143" s="9">
        <f t="shared" si="66"/>
        <v>0</v>
      </c>
      <c r="AZ143" s="9">
        <v>0</v>
      </c>
      <c r="BA143" s="25">
        <v>0</v>
      </c>
      <c r="BB143" s="9">
        <f t="shared" si="67"/>
        <v>0</v>
      </c>
      <c r="BC143" s="25">
        <v>0</v>
      </c>
      <c r="BD143" s="9">
        <f t="shared" si="68"/>
        <v>0</v>
      </c>
      <c r="BE143" s="9">
        <v>0</v>
      </c>
      <c r="BF143" s="9">
        <v>0</v>
      </c>
      <c r="BG143" s="9">
        <f t="shared" si="69"/>
        <v>0</v>
      </c>
      <c r="BH143" s="9">
        <v>0</v>
      </c>
      <c r="BI143" s="9">
        <f t="shared" si="70"/>
        <v>0</v>
      </c>
      <c r="BJ143" s="9">
        <v>0</v>
      </c>
      <c r="BK143" s="9">
        <v>0</v>
      </c>
      <c r="BL143" s="9">
        <f t="shared" si="71"/>
        <v>0</v>
      </c>
      <c r="BM143" s="9">
        <v>0</v>
      </c>
      <c r="BN143" s="9">
        <f t="shared" si="72"/>
        <v>0</v>
      </c>
      <c r="BO143" s="9">
        <v>0</v>
      </c>
      <c r="BP143" s="9">
        <v>0</v>
      </c>
      <c r="BQ143" s="9">
        <f t="shared" si="73"/>
        <v>0</v>
      </c>
      <c r="BR143" s="9">
        <v>0</v>
      </c>
      <c r="BS143" s="9">
        <f t="shared" si="74"/>
        <v>0</v>
      </c>
      <c r="BT143" s="9">
        <f t="shared" si="75"/>
        <v>0</v>
      </c>
      <c r="BU143" s="9">
        <f t="shared" si="76"/>
        <v>0</v>
      </c>
      <c r="BV143" s="9">
        <f t="shared" si="77"/>
        <v>141.93846333333332</v>
      </c>
      <c r="BW143">
        <f t="shared" si="78"/>
        <v>141.93846333333332</v>
      </c>
      <c r="BX143">
        <v>0</v>
      </c>
      <c r="BY143">
        <f t="shared" si="79"/>
        <v>723.76380441750007</v>
      </c>
      <c r="BZ143">
        <v>291.94969191299998</v>
      </c>
      <c r="CA143">
        <f t="shared" si="80"/>
        <v>1437.8278447536666</v>
      </c>
      <c r="CB143">
        <f t="shared" si="81"/>
        <v>2595.4798044175</v>
      </c>
      <c r="CC143">
        <v>0</v>
      </c>
      <c r="CD143">
        <v>0</v>
      </c>
      <c r="CE143">
        <f t="shared" si="82"/>
        <v>0</v>
      </c>
      <c r="CF143">
        <f t="shared" si="83"/>
        <v>1871.7159999999999</v>
      </c>
      <c r="CG143">
        <f t="shared" si="84"/>
        <v>1437.8278447536666</v>
      </c>
      <c r="CH143">
        <f t="shared" si="85"/>
        <v>0</v>
      </c>
      <c r="CJ143" t="s">
        <v>278</v>
      </c>
      <c r="CL143" t="str">
        <f t="shared" si="86"/>
        <v/>
      </c>
    </row>
    <row r="144" spans="1:90" x14ac:dyDescent="0.25">
      <c r="A144" t="s">
        <v>114</v>
      </c>
      <c r="B144" t="s">
        <v>173</v>
      </c>
      <c r="C144" s="1">
        <v>46023</v>
      </c>
      <c r="D144" t="s">
        <v>174</v>
      </c>
      <c r="E144" t="s">
        <v>175</v>
      </c>
      <c r="F144" s="4">
        <v>1</v>
      </c>
      <c r="G144" s="4">
        <v>0.25</v>
      </c>
      <c r="H144" s="9">
        <v>7662.4125000000004</v>
      </c>
      <c r="I144" s="9">
        <v>1277.0687499999999</v>
      </c>
      <c r="J144" s="9">
        <f t="shared" si="58"/>
        <v>8939.4812500000007</v>
      </c>
      <c r="K144" s="9">
        <v>0</v>
      </c>
      <c r="L144" s="9">
        <f t="shared" si="59"/>
        <v>0</v>
      </c>
      <c r="M144">
        <v>0</v>
      </c>
      <c r="N144" s="4">
        <f t="shared" si="60"/>
        <v>0</v>
      </c>
      <c r="O144" s="9">
        <v>6129.93</v>
      </c>
      <c r="P144" s="9">
        <v>1532.4825000000001</v>
      </c>
      <c r="Q144" s="9">
        <v>0</v>
      </c>
      <c r="R144" s="9">
        <v>0</v>
      </c>
      <c r="S144" s="9">
        <v>0</v>
      </c>
      <c r="T144" s="9">
        <v>0</v>
      </c>
      <c r="U144" s="9">
        <v>0</v>
      </c>
      <c r="V144" s="9">
        <v>0</v>
      </c>
      <c r="W144" s="9">
        <f t="shared" si="61"/>
        <v>7662.4125000000004</v>
      </c>
      <c r="X144" s="9">
        <v>1277.0687499999999</v>
      </c>
      <c r="Y144" s="9">
        <v>0</v>
      </c>
      <c r="Z144" s="9">
        <v>8939.4812500000007</v>
      </c>
      <c r="AA144" s="9">
        <v>0</v>
      </c>
      <c r="AB144" s="9">
        <f t="shared" si="62"/>
        <v>8939.4812500000007</v>
      </c>
      <c r="AC144" s="9">
        <v>5101.2</v>
      </c>
      <c r="AD144" s="9">
        <v>0</v>
      </c>
      <c r="AE144" s="9">
        <v>7662.4125000000004</v>
      </c>
      <c r="AF144" s="9">
        <v>239.75639999999999</v>
      </c>
      <c r="AG144" s="9">
        <v>1203.8832</v>
      </c>
      <c r="AH144" s="9">
        <v>79.068600000000004</v>
      </c>
      <c r="AI144" s="9">
        <v>280.56599999999997</v>
      </c>
      <c r="AJ144" s="9">
        <v>10.202399999999999</v>
      </c>
      <c r="AK144" s="9">
        <v>5.1011999999999995</v>
      </c>
      <c r="AL144" s="9">
        <v>30.607199999999999</v>
      </c>
      <c r="AM144" s="9">
        <v>7.6517999999999997</v>
      </c>
      <c r="AN144" s="9">
        <v>38.259</v>
      </c>
      <c r="AO144" s="9">
        <v>76.518000000000001</v>
      </c>
      <c r="AP144" s="9">
        <v>510.11999999999989</v>
      </c>
      <c r="AQ144" s="25">
        <v>1.9E-3</v>
      </c>
      <c r="AR144" s="9">
        <f t="shared" si="63"/>
        <v>0.96922799999999976</v>
      </c>
      <c r="AS144" s="25">
        <v>9.5999999999999992E-3</v>
      </c>
      <c r="AT144" s="9">
        <f t="shared" si="64"/>
        <v>4.8971519999999984</v>
      </c>
      <c r="AU144" s="9">
        <v>2040.4800000000005</v>
      </c>
      <c r="AV144" s="25">
        <v>2.0999999999999999E-3</v>
      </c>
      <c r="AW144" s="9">
        <f t="shared" si="65"/>
        <v>4.2850080000000004</v>
      </c>
      <c r="AX144" s="25">
        <v>1.04E-2</v>
      </c>
      <c r="AY144" s="9">
        <f t="shared" si="66"/>
        <v>21.220992000000003</v>
      </c>
      <c r="AZ144" s="9">
        <v>1287.6812500000005</v>
      </c>
      <c r="BA144" s="25">
        <v>2.3999999999999998E-3</v>
      </c>
      <c r="BB144" s="9">
        <f t="shared" si="67"/>
        <v>3.0904350000000012</v>
      </c>
      <c r="BC144" s="25">
        <v>1.2200000000000001E-2</v>
      </c>
      <c r="BD144" s="9">
        <f t="shared" si="68"/>
        <v>15.709711250000007</v>
      </c>
      <c r="BE144" s="9">
        <v>510.11999999999989</v>
      </c>
      <c r="BF144" s="9">
        <v>1.9E-3</v>
      </c>
      <c r="BG144" s="9">
        <f t="shared" si="69"/>
        <v>0.96922799999999976</v>
      </c>
      <c r="BH144" s="9">
        <v>9.5999999999999992E-3</v>
      </c>
      <c r="BI144" s="9">
        <f t="shared" si="70"/>
        <v>4.8971519999999984</v>
      </c>
      <c r="BJ144" s="9">
        <v>2040.4800000000005</v>
      </c>
      <c r="BK144" s="9">
        <v>2.0999999999999999E-3</v>
      </c>
      <c r="BL144" s="9">
        <f t="shared" si="71"/>
        <v>4.2850080000000004</v>
      </c>
      <c r="BM144" s="9">
        <v>1.04E-2</v>
      </c>
      <c r="BN144" s="9">
        <f t="shared" si="72"/>
        <v>21.220992000000003</v>
      </c>
      <c r="BO144" s="9">
        <v>1095.2512500000003</v>
      </c>
      <c r="BP144" s="9">
        <v>2.3999999999999998E-3</v>
      </c>
      <c r="BQ144" s="9">
        <f t="shared" si="73"/>
        <v>2.6286030000000005</v>
      </c>
      <c r="BR144" s="9">
        <v>1.2200000000000001E-2</v>
      </c>
      <c r="BS144" s="9">
        <f t="shared" si="74"/>
        <v>13.362065250000004</v>
      </c>
      <c r="BT144" s="9">
        <f t="shared" si="75"/>
        <v>8.3446710000000017</v>
      </c>
      <c r="BU144" s="9">
        <f t="shared" si="76"/>
        <v>41.827855250000006</v>
      </c>
      <c r="BV144" s="9">
        <f t="shared" si="77"/>
        <v>339.92267099999998</v>
      </c>
      <c r="BW144">
        <f t="shared" si="78"/>
        <v>339.92267099999998</v>
      </c>
      <c r="BX144">
        <v>0</v>
      </c>
      <c r="BY144">
        <f t="shared" si="79"/>
        <v>1681.86365525</v>
      </c>
      <c r="BZ144">
        <v>2456.1719910000002</v>
      </c>
      <c r="CA144">
        <f t="shared" si="80"/>
        <v>4866.3178379999999</v>
      </c>
      <c r="CB144">
        <f t="shared" si="81"/>
        <v>9344.2761552499996</v>
      </c>
      <c r="CC144">
        <v>0</v>
      </c>
      <c r="CD144">
        <v>0</v>
      </c>
      <c r="CE144">
        <f t="shared" si="82"/>
        <v>0</v>
      </c>
      <c r="CF144">
        <f t="shared" si="83"/>
        <v>7662.4125000000004</v>
      </c>
      <c r="CG144">
        <f t="shared" si="84"/>
        <v>4866.3178379999999</v>
      </c>
      <c r="CH144">
        <f t="shared" si="85"/>
        <v>0</v>
      </c>
      <c r="CJ144" t="s">
        <v>278</v>
      </c>
      <c r="CL144" t="str">
        <f t="shared" si="86"/>
        <v/>
      </c>
    </row>
    <row r="145" spans="1:90" x14ac:dyDescent="0.25">
      <c r="A145" t="s">
        <v>114</v>
      </c>
      <c r="B145" t="s">
        <v>176</v>
      </c>
      <c r="C145" s="1">
        <v>46054</v>
      </c>
      <c r="D145" t="s">
        <v>174</v>
      </c>
      <c r="E145" t="s">
        <v>175</v>
      </c>
      <c r="F145" s="4">
        <v>1</v>
      </c>
      <c r="G145" s="4">
        <v>0.25</v>
      </c>
      <c r="H145" s="9">
        <v>7662.4125000000004</v>
      </c>
      <c r="I145" s="9">
        <v>1277.0687499999999</v>
      </c>
      <c r="J145" s="9">
        <f t="shared" si="58"/>
        <v>8939.4812500000007</v>
      </c>
      <c r="K145" s="9">
        <v>0</v>
      </c>
      <c r="L145" s="9">
        <f t="shared" si="59"/>
        <v>0</v>
      </c>
      <c r="M145">
        <v>0</v>
      </c>
      <c r="N145" s="4">
        <f t="shared" si="60"/>
        <v>0</v>
      </c>
      <c r="O145" s="9">
        <v>6129.93</v>
      </c>
      <c r="P145" s="9">
        <v>1532.4825000000001</v>
      </c>
      <c r="Q145" s="9">
        <v>0</v>
      </c>
      <c r="R145" s="9">
        <v>0</v>
      </c>
      <c r="S145" s="9">
        <v>0</v>
      </c>
      <c r="T145" s="9">
        <v>0</v>
      </c>
      <c r="U145" s="9">
        <v>0</v>
      </c>
      <c r="V145" s="9">
        <v>0</v>
      </c>
      <c r="W145" s="9">
        <f t="shared" si="61"/>
        <v>7662.4125000000004</v>
      </c>
      <c r="X145" s="9">
        <v>1277.0687499999999</v>
      </c>
      <c r="Y145" s="9">
        <v>0</v>
      </c>
      <c r="Z145" s="9">
        <v>8939.4812500000007</v>
      </c>
      <c r="AA145" s="9">
        <v>0</v>
      </c>
      <c r="AB145" s="9">
        <f t="shared" si="62"/>
        <v>8939.4812500000007</v>
      </c>
      <c r="AC145" s="9">
        <v>5101.2</v>
      </c>
      <c r="AD145" s="9">
        <v>0</v>
      </c>
      <c r="AE145" s="9">
        <v>7662.4125000000004</v>
      </c>
      <c r="AF145" s="9">
        <v>239.75639999999999</v>
      </c>
      <c r="AG145" s="9">
        <v>1203.8832</v>
      </c>
      <c r="AH145" s="9">
        <v>79.068600000000004</v>
      </c>
      <c r="AI145" s="9">
        <v>280.56599999999997</v>
      </c>
      <c r="AJ145" s="9">
        <v>10.202399999999999</v>
      </c>
      <c r="AK145" s="9">
        <v>5.1011999999999995</v>
      </c>
      <c r="AL145" s="9">
        <v>30.607199999999999</v>
      </c>
      <c r="AM145" s="9">
        <v>7.6517999999999997</v>
      </c>
      <c r="AN145" s="9">
        <v>38.259</v>
      </c>
      <c r="AO145" s="9">
        <v>76.518000000000001</v>
      </c>
      <c r="AP145" s="9">
        <v>510.11999999999989</v>
      </c>
      <c r="AQ145" s="25">
        <v>1.9E-3</v>
      </c>
      <c r="AR145" s="9">
        <f t="shared" si="63"/>
        <v>0.96922799999999976</v>
      </c>
      <c r="AS145" s="25">
        <v>9.5999999999999992E-3</v>
      </c>
      <c r="AT145" s="9">
        <f t="shared" si="64"/>
        <v>4.8971519999999984</v>
      </c>
      <c r="AU145" s="9">
        <v>2040.4800000000005</v>
      </c>
      <c r="AV145" s="25">
        <v>2.0999999999999999E-3</v>
      </c>
      <c r="AW145" s="9">
        <f t="shared" si="65"/>
        <v>4.2850080000000004</v>
      </c>
      <c r="AX145" s="25">
        <v>1.04E-2</v>
      </c>
      <c r="AY145" s="9">
        <f t="shared" si="66"/>
        <v>21.220992000000003</v>
      </c>
      <c r="AZ145" s="9">
        <v>1287.6812500000005</v>
      </c>
      <c r="BA145" s="25">
        <v>2.3999999999999998E-3</v>
      </c>
      <c r="BB145" s="9">
        <f t="shared" si="67"/>
        <v>3.0904350000000012</v>
      </c>
      <c r="BC145" s="25">
        <v>1.2200000000000001E-2</v>
      </c>
      <c r="BD145" s="9">
        <f t="shared" si="68"/>
        <v>15.709711250000007</v>
      </c>
      <c r="BE145" s="9">
        <v>510.11999999999989</v>
      </c>
      <c r="BF145" s="9">
        <v>1.9E-3</v>
      </c>
      <c r="BG145" s="9">
        <f t="shared" si="69"/>
        <v>0.96922799999999976</v>
      </c>
      <c r="BH145" s="9">
        <v>9.5999999999999992E-3</v>
      </c>
      <c r="BI145" s="9">
        <f t="shared" si="70"/>
        <v>4.8971519999999984</v>
      </c>
      <c r="BJ145" s="9">
        <v>2040.4800000000005</v>
      </c>
      <c r="BK145" s="9">
        <v>2.0999999999999999E-3</v>
      </c>
      <c r="BL145" s="9">
        <f t="shared" si="71"/>
        <v>4.2850080000000004</v>
      </c>
      <c r="BM145" s="9">
        <v>1.04E-2</v>
      </c>
      <c r="BN145" s="9">
        <f t="shared" si="72"/>
        <v>21.220992000000003</v>
      </c>
      <c r="BO145" s="9">
        <v>1095.2512500000003</v>
      </c>
      <c r="BP145" s="9">
        <v>2.3999999999999998E-3</v>
      </c>
      <c r="BQ145" s="9">
        <f t="shared" si="73"/>
        <v>2.6286030000000005</v>
      </c>
      <c r="BR145" s="9">
        <v>1.2200000000000001E-2</v>
      </c>
      <c r="BS145" s="9">
        <f t="shared" si="74"/>
        <v>13.362065250000004</v>
      </c>
      <c r="BT145" s="9">
        <f t="shared" si="75"/>
        <v>8.3446710000000017</v>
      </c>
      <c r="BU145" s="9">
        <f t="shared" si="76"/>
        <v>41.827855250000006</v>
      </c>
      <c r="BV145" s="9">
        <f t="shared" si="77"/>
        <v>339.92267099999998</v>
      </c>
      <c r="BW145">
        <f t="shared" si="78"/>
        <v>339.92267099999998</v>
      </c>
      <c r="BX145">
        <v>0</v>
      </c>
      <c r="BY145">
        <f t="shared" si="79"/>
        <v>1681.86365525</v>
      </c>
      <c r="BZ145">
        <v>2456.1719910000002</v>
      </c>
      <c r="CA145">
        <f t="shared" si="80"/>
        <v>4866.3178379999999</v>
      </c>
      <c r="CB145">
        <f t="shared" si="81"/>
        <v>9344.2761552499996</v>
      </c>
      <c r="CC145">
        <v>0</v>
      </c>
      <c r="CD145">
        <v>0</v>
      </c>
      <c r="CE145">
        <f t="shared" si="82"/>
        <v>0</v>
      </c>
      <c r="CF145">
        <f t="shared" si="83"/>
        <v>7662.4125000000004</v>
      </c>
      <c r="CG145">
        <f t="shared" si="84"/>
        <v>4866.3178379999999</v>
      </c>
      <c r="CH145">
        <f t="shared" si="85"/>
        <v>0</v>
      </c>
      <c r="CJ145" t="s">
        <v>278</v>
      </c>
      <c r="CL145" t="str">
        <f t="shared" si="86"/>
        <v/>
      </c>
    </row>
    <row r="146" spans="1:90" x14ac:dyDescent="0.25">
      <c r="A146" t="s">
        <v>114</v>
      </c>
      <c r="B146" t="s">
        <v>177</v>
      </c>
      <c r="C146" s="1">
        <v>46082</v>
      </c>
      <c r="D146" t="s">
        <v>174</v>
      </c>
      <c r="E146" t="s">
        <v>175</v>
      </c>
      <c r="F146" s="4">
        <v>1</v>
      </c>
      <c r="G146" s="4">
        <v>0.25</v>
      </c>
      <c r="H146" s="9">
        <v>7662.4125000000004</v>
      </c>
      <c r="I146" s="9">
        <v>1277.0687499999999</v>
      </c>
      <c r="J146" s="9">
        <f t="shared" si="58"/>
        <v>8939.4812500000007</v>
      </c>
      <c r="K146" s="9">
        <v>0</v>
      </c>
      <c r="L146" s="9">
        <f t="shared" si="59"/>
        <v>0</v>
      </c>
      <c r="M146">
        <v>0</v>
      </c>
      <c r="N146" s="4">
        <f t="shared" si="60"/>
        <v>0</v>
      </c>
      <c r="O146" s="9">
        <v>6129.93</v>
      </c>
      <c r="P146" s="9">
        <v>1532.4825000000001</v>
      </c>
      <c r="Q146" s="9">
        <v>0</v>
      </c>
      <c r="R146" s="9">
        <v>0</v>
      </c>
      <c r="S146" s="9">
        <v>0</v>
      </c>
      <c r="T146" s="9">
        <v>0</v>
      </c>
      <c r="U146" s="9">
        <v>0</v>
      </c>
      <c r="V146" s="9">
        <v>0</v>
      </c>
      <c r="W146" s="9">
        <f t="shared" si="61"/>
        <v>7662.4125000000004</v>
      </c>
      <c r="X146" s="9">
        <v>1277.0687499999999</v>
      </c>
      <c r="Y146" s="9">
        <v>0</v>
      </c>
      <c r="Z146" s="9">
        <v>8939.4812500000007</v>
      </c>
      <c r="AA146" s="9">
        <v>0</v>
      </c>
      <c r="AB146" s="9">
        <f t="shared" si="62"/>
        <v>8939.4812500000007</v>
      </c>
      <c r="AC146" s="9">
        <v>5101.2</v>
      </c>
      <c r="AD146" s="9">
        <v>0</v>
      </c>
      <c r="AE146" s="9">
        <v>7662.4125000000004</v>
      </c>
      <c r="AF146" s="9">
        <v>239.75639999999999</v>
      </c>
      <c r="AG146" s="9">
        <v>1203.8832</v>
      </c>
      <c r="AH146" s="9">
        <v>79.068600000000004</v>
      </c>
      <c r="AI146" s="9">
        <v>280.56599999999997</v>
      </c>
      <c r="AJ146" s="9">
        <v>10.202399999999999</v>
      </c>
      <c r="AK146" s="9">
        <v>5.1011999999999995</v>
      </c>
      <c r="AL146" s="9">
        <v>30.607199999999999</v>
      </c>
      <c r="AM146" s="9">
        <v>7.6517999999999997</v>
      </c>
      <c r="AN146" s="9">
        <v>38.259</v>
      </c>
      <c r="AO146" s="9">
        <v>76.518000000000001</v>
      </c>
      <c r="AP146" s="9">
        <v>510.11999999999989</v>
      </c>
      <c r="AQ146" s="25">
        <v>1.9E-3</v>
      </c>
      <c r="AR146" s="9">
        <f t="shared" si="63"/>
        <v>0.96922799999999976</v>
      </c>
      <c r="AS146" s="25">
        <v>9.5999999999999992E-3</v>
      </c>
      <c r="AT146" s="9">
        <f t="shared" si="64"/>
        <v>4.8971519999999984</v>
      </c>
      <c r="AU146" s="9">
        <v>2040.4800000000005</v>
      </c>
      <c r="AV146" s="25">
        <v>2.0999999999999999E-3</v>
      </c>
      <c r="AW146" s="9">
        <f t="shared" si="65"/>
        <v>4.2850080000000004</v>
      </c>
      <c r="AX146" s="25">
        <v>1.04E-2</v>
      </c>
      <c r="AY146" s="9">
        <f t="shared" si="66"/>
        <v>21.220992000000003</v>
      </c>
      <c r="AZ146" s="9">
        <v>1287.6812500000005</v>
      </c>
      <c r="BA146" s="25">
        <v>2.3999999999999998E-3</v>
      </c>
      <c r="BB146" s="9">
        <f t="shared" si="67"/>
        <v>3.0904350000000012</v>
      </c>
      <c r="BC146" s="25">
        <v>1.2200000000000001E-2</v>
      </c>
      <c r="BD146" s="9">
        <f t="shared" si="68"/>
        <v>15.709711250000007</v>
      </c>
      <c r="BE146" s="9">
        <v>510.11999999999989</v>
      </c>
      <c r="BF146" s="9">
        <v>1.9E-3</v>
      </c>
      <c r="BG146" s="9">
        <f t="shared" si="69"/>
        <v>0.96922799999999976</v>
      </c>
      <c r="BH146" s="9">
        <v>9.5999999999999992E-3</v>
      </c>
      <c r="BI146" s="9">
        <f t="shared" si="70"/>
        <v>4.8971519999999984</v>
      </c>
      <c r="BJ146" s="9">
        <v>2040.4800000000005</v>
      </c>
      <c r="BK146" s="9">
        <v>2.0999999999999999E-3</v>
      </c>
      <c r="BL146" s="9">
        <f t="shared" si="71"/>
        <v>4.2850080000000004</v>
      </c>
      <c r="BM146" s="9">
        <v>1.04E-2</v>
      </c>
      <c r="BN146" s="9">
        <f t="shared" si="72"/>
        <v>21.220992000000003</v>
      </c>
      <c r="BO146" s="9">
        <v>1095.2512500000003</v>
      </c>
      <c r="BP146" s="9">
        <v>2.3999999999999998E-3</v>
      </c>
      <c r="BQ146" s="9">
        <f t="shared" si="73"/>
        <v>2.6286030000000005</v>
      </c>
      <c r="BR146" s="9">
        <v>1.2200000000000001E-2</v>
      </c>
      <c r="BS146" s="9">
        <f t="shared" si="74"/>
        <v>13.362065250000004</v>
      </c>
      <c r="BT146" s="9">
        <f t="shared" si="75"/>
        <v>8.3446710000000017</v>
      </c>
      <c r="BU146" s="9">
        <f t="shared" si="76"/>
        <v>41.827855250000006</v>
      </c>
      <c r="BV146" s="9">
        <f t="shared" si="77"/>
        <v>339.92267099999998</v>
      </c>
      <c r="BW146">
        <f t="shared" si="78"/>
        <v>339.92267099999998</v>
      </c>
      <c r="BX146">
        <v>0</v>
      </c>
      <c r="BY146">
        <f t="shared" si="79"/>
        <v>1681.86365525</v>
      </c>
      <c r="BZ146">
        <v>2456.1719910000002</v>
      </c>
      <c r="CA146">
        <f t="shared" si="80"/>
        <v>4866.3178379999999</v>
      </c>
      <c r="CB146">
        <f t="shared" si="81"/>
        <v>9344.2761552499996</v>
      </c>
      <c r="CC146">
        <v>0</v>
      </c>
      <c r="CD146">
        <v>0</v>
      </c>
      <c r="CE146">
        <f t="shared" si="82"/>
        <v>0</v>
      </c>
      <c r="CF146">
        <f t="shared" si="83"/>
        <v>7662.4125000000004</v>
      </c>
      <c r="CG146">
        <f t="shared" si="84"/>
        <v>4866.3178379999999</v>
      </c>
      <c r="CH146">
        <f t="shared" si="85"/>
        <v>0</v>
      </c>
      <c r="CJ146" t="s">
        <v>278</v>
      </c>
      <c r="CL146" t="str">
        <f t="shared" si="86"/>
        <v/>
      </c>
    </row>
    <row r="147" spans="1:90" x14ac:dyDescent="0.25">
      <c r="A147" t="s">
        <v>114</v>
      </c>
      <c r="B147" t="s">
        <v>178</v>
      </c>
      <c r="C147" s="1">
        <v>46113</v>
      </c>
      <c r="D147" t="s">
        <v>174</v>
      </c>
      <c r="E147" t="s">
        <v>175</v>
      </c>
      <c r="F147" s="4">
        <v>1</v>
      </c>
      <c r="G147" s="4">
        <v>0.25</v>
      </c>
      <c r="H147" s="9">
        <v>7662.4125000000004</v>
      </c>
      <c r="I147" s="9">
        <v>1277.0687499999999</v>
      </c>
      <c r="J147" s="9">
        <f t="shared" si="58"/>
        <v>8939.4812500000007</v>
      </c>
      <c r="K147" s="9">
        <v>0</v>
      </c>
      <c r="L147" s="9">
        <f t="shared" si="59"/>
        <v>0</v>
      </c>
      <c r="M147">
        <v>0</v>
      </c>
      <c r="N147" s="4">
        <f t="shared" si="60"/>
        <v>0</v>
      </c>
      <c r="O147" s="9">
        <v>6129.93</v>
      </c>
      <c r="P147" s="9">
        <v>1532.4825000000001</v>
      </c>
      <c r="Q147" s="9">
        <v>0</v>
      </c>
      <c r="R147" s="9">
        <v>0</v>
      </c>
      <c r="S147" s="9">
        <v>0</v>
      </c>
      <c r="T147" s="9">
        <v>0</v>
      </c>
      <c r="U147" s="9">
        <v>0</v>
      </c>
      <c r="V147" s="9">
        <v>0</v>
      </c>
      <c r="W147" s="9">
        <f t="shared" si="61"/>
        <v>7662.4125000000004</v>
      </c>
      <c r="X147" s="9">
        <v>1277.0687499999999</v>
      </c>
      <c r="Y147" s="9">
        <v>0</v>
      </c>
      <c r="Z147" s="9">
        <v>8939.4812500000007</v>
      </c>
      <c r="AA147" s="9">
        <v>0</v>
      </c>
      <c r="AB147" s="9">
        <f t="shared" si="62"/>
        <v>8939.4812500000007</v>
      </c>
      <c r="AC147" s="9">
        <v>5101.2</v>
      </c>
      <c r="AD147" s="9">
        <v>0</v>
      </c>
      <c r="AE147" s="9">
        <v>7662.4125000000004</v>
      </c>
      <c r="AF147" s="9">
        <v>239.75639999999999</v>
      </c>
      <c r="AG147" s="9">
        <v>1203.8832</v>
      </c>
      <c r="AH147" s="9">
        <v>79.068600000000004</v>
      </c>
      <c r="AI147" s="9">
        <v>280.56599999999997</v>
      </c>
      <c r="AJ147" s="9">
        <v>10.202399999999999</v>
      </c>
      <c r="AK147" s="9">
        <v>5.1011999999999995</v>
      </c>
      <c r="AL147" s="9">
        <v>30.607199999999999</v>
      </c>
      <c r="AM147" s="9">
        <v>7.6517999999999997</v>
      </c>
      <c r="AN147" s="9">
        <v>38.259</v>
      </c>
      <c r="AO147" s="9">
        <v>76.518000000000001</v>
      </c>
      <c r="AP147" s="9">
        <v>510.11999999999989</v>
      </c>
      <c r="AQ147" s="25">
        <v>1.9E-3</v>
      </c>
      <c r="AR147" s="9">
        <f t="shared" si="63"/>
        <v>0.96922799999999976</v>
      </c>
      <c r="AS147" s="25">
        <v>9.5999999999999992E-3</v>
      </c>
      <c r="AT147" s="9">
        <f t="shared" si="64"/>
        <v>4.8971519999999984</v>
      </c>
      <c r="AU147" s="9">
        <v>2040.4800000000005</v>
      </c>
      <c r="AV147" s="25">
        <v>2.0999999999999999E-3</v>
      </c>
      <c r="AW147" s="9">
        <f t="shared" si="65"/>
        <v>4.2850080000000004</v>
      </c>
      <c r="AX147" s="25">
        <v>1.04E-2</v>
      </c>
      <c r="AY147" s="9">
        <f t="shared" si="66"/>
        <v>21.220992000000003</v>
      </c>
      <c r="AZ147" s="9">
        <v>1287.6812500000005</v>
      </c>
      <c r="BA147" s="25">
        <v>2.3999999999999998E-3</v>
      </c>
      <c r="BB147" s="9">
        <f t="shared" si="67"/>
        <v>3.0904350000000012</v>
      </c>
      <c r="BC147" s="25">
        <v>1.2200000000000001E-2</v>
      </c>
      <c r="BD147" s="9">
        <f t="shared" si="68"/>
        <v>15.709711250000007</v>
      </c>
      <c r="BE147" s="9">
        <v>510.11999999999989</v>
      </c>
      <c r="BF147" s="9">
        <v>1.9E-3</v>
      </c>
      <c r="BG147" s="9">
        <f t="shared" si="69"/>
        <v>0.96922799999999976</v>
      </c>
      <c r="BH147" s="9">
        <v>9.5999999999999992E-3</v>
      </c>
      <c r="BI147" s="9">
        <f t="shared" si="70"/>
        <v>4.8971519999999984</v>
      </c>
      <c r="BJ147" s="9">
        <v>2040.4800000000005</v>
      </c>
      <c r="BK147" s="9">
        <v>2.0999999999999999E-3</v>
      </c>
      <c r="BL147" s="9">
        <f t="shared" si="71"/>
        <v>4.2850080000000004</v>
      </c>
      <c r="BM147" s="9">
        <v>1.04E-2</v>
      </c>
      <c r="BN147" s="9">
        <f t="shared" si="72"/>
        <v>21.220992000000003</v>
      </c>
      <c r="BO147" s="9">
        <v>1095.2512500000003</v>
      </c>
      <c r="BP147" s="9">
        <v>2.3999999999999998E-3</v>
      </c>
      <c r="BQ147" s="9">
        <f t="shared" si="73"/>
        <v>2.6286030000000005</v>
      </c>
      <c r="BR147" s="9">
        <v>1.2200000000000001E-2</v>
      </c>
      <c r="BS147" s="9">
        <f t="shared" si="74"/>
        <v>13.362065250000004</v>
      </c>
      <c r="BT147" s="9">
        <f t="shared" si="75"/>
        <v>8.3446710000000017</v>
      </c>
      <c r="BU147" s="9">
        <f t="shared" si="76"/>
        <v>41.827855250000006</v>
      </c>
      <c r="BV147" s="9">
        <f t="shared" si="77"/>
        <v>339.92267099999998</v>
      </c>
      <c r="BW147">
        <f t="shared" si="78"/>
        <v>339.92267099999998</v>
      </c>
      <c r="BX147">
        <v>0</v>
      </c>
      <c r="BY147">
        <f t="shared" si="79"/>
        <v>1681.86365525</v>
      </c>
      <c r="BZ147">
        <v>2456.1719910000002</v>
      </c>
      <c r="CA147">
        <f t="shared" si="80"/>
        <v>4866.3178379999999</v>
      </c>
      <c r="CB147">
        <f t="shared" si="81"/>
        <v>9344.2761552499996</v>
      </c>
      <c r="CC147">
        <v>0</v>
      </c>
      <c r="CD147">
        <v>0</v>
      </c>
      <c r="CE147">
        <f t="shared" si="82"/>
        <v>0</v>
      </c>
      <c r="CF147">
        <f t="shared" si="83"/>
        <v>7662.4125000000004</v>
      </c>
      <c r="CG147">
        <f t="shared" si="84"/>
        <v>4866.3178379999999</v>
      </c>
      <c r="CH147">
        <f t="shared" si="85"/>
        <v>0</v>
      </c>
      <c r="CJ147" t="s">
        <v>278</v>
      </c>
      <c r="CL147" t="str">
        <f t="shared" si="86"/>
        <v/>
      </c>
    </row>
    <row r="148" spans="1:90" x14ac:dyDescent="0.25">
      <c r="A148" t="s">
        <v>114</v>
      </c>
      <c r="B148" t="s">
        <v>179</v>
      </c>
      <c r="C148" s="1">
        <v>46143</v>
      </c>
      <c r="D148" t="s">
        <v>174</v>
      </c>
      <c r="E148" t="s">
        <v>175</v>
      </c>
      <c r="F148" s="4">
        <v>1</v>
      </c>
      <c r="G148" s="4">
        <v>0.25</v>
      </c>
      <c r="H148" s="9">
        <v>7662.4125000000004</v>
      </c>
      <c r="I148" s="9">
        <v>1277.0687499999999</v>
      </c>
      <c r="J148" s="9">
        <f t="shared" si="58"/>
        <v>8939.4812500000007</v>
      </c>
      <c r="K148" s="9">
        <v>0</v>
      </c>
      <c r="L148" s="9">
        <f t="shared" si="59"/>
        <v>0</v>
      </c>
      <c r="M148">
        <v>0</v>
      </c>
      <c r="N148" s="4">
        <f t="shared" si="60"/>
        <v>0</v>
      </c>
      <c r="O148" s="9">
        <v>6129.93</v>
      </c>
      <c r="P148" s="9">
        <v>1532.4825000000001</v>
      </c>
      <c r="Q148" s="9">
        <v>0</v>
      </c>
      <c r="R148" s="9">
        <v>0</v>
      </c>
      <c r="S148" s="9">
        <v>0</v>
      </c>
      <c r="T148" s="9">
        <v>0</v>
      </c>
      <c r="U148" s="9">
        <v>0</v>
      </c>
      <c r="V148" s="9">
        <v>0</v>
      </c>
      <c r="W148" s="9">
        <f t="shared" si="61"/>
        <v>7662.4125000000004</v>
      </c>
      <c r="X148" s="9">
        <v>1277.0687499999999</v>
      </c>
      <c r="Y148" s="9">
        <v>0</v>
      </c>
      <c r="Z148" s="9">
        <v>8939.4812500000007</v>
      </c>
      <c r="AA148" s="9">
        <v>0</v>
      </c>
      <c r="AB148" s="9">
        <f t="shared" si="62"/>
        <v>8939.4812500000007</v>
      </c>
      <c r="AC148" s="9">
        <v>5101.2</v>
      </c>
      <c r="AD148" s="9">
        <v>0</v>
      </c>
      <c r="AE148" s="9">
        <v>7662.4125000000004</v>
      </c>
      <c r="AF148" s="9">
        <v>239.75639999999999</v>
      </c>
      <c r="AG148" s="9">
        <v>1203.8832</v>
      </c>
      <c r="AH148" s="9">
        <v>79.068600000000004</v>
      </c>
      <c r="AI148" s="9">
        <v>280.56599999999997</v>
      </c>
      <c r="AJ148" s="9">
        <v>10.202399999999999</v>
      </c>
      <c r="AK148" s="9">
        <v>5.1011999999999995</v>
      </c>
      <c r="AL148" s="9">
        <v>30.607199999999999</v>
      </c>
      <c r="AM148" s="9">
        <v>7.6517999999999997</v>
      </c>
      <c r="AN148" s="9">
        <v>38.259</v>
      </c>
      <c r="AO148" s="9">
        <v>76.518000000000001</v>
      </c>
      <c r="AP148" s="9">
        <v>510.11999999999989</v>
      </c>
      <c r="AQ148" s="25">
        <v>1.9E-3</v>
      </c>
      <c r="AR148" s="9">
        <f t="shared" si="63"/>
        <v>0.96922799999999976</v>
      </c>
      <c r="AS148" s="25">
        <v>9.5999999999999992E-3</v>
      </c>
      <c r="AT148" s="9">
        <f t="shared" si="64"/>
        <v>4.8971519999999984</v>
      </c>
      <c r="AU148" s="9">
        <v>2040.4800000000005</v>
      </c>
      <c r="AV148" s="25">
        <v>2.0999999999999999E-3</v>
      </c>
      <c r="AW148" s="9">
        <f t="shared" si="65"/>
        <v>4.2850080000000004</v>
      </c>
      <c r="AX148" s="25">
        <v>1.04E-2</v>
      </c>
      <c r="AY148" s="9">
        <f t="shared" si="66"/>
        <v>21.220992000000003</v>
      </c>
      <c r="AZ148" s="9">
        <v>1287.6812500000005</v>
      </c>
      <c r="BA148" s="25">
        <v>2.3999999999999998E-3</v>
      </c>
      <c r="BB148" s="9">
        <f t="shared" si="67"/>
        <v>3.0904350000000012</v>
      </c>
      <c r="BC148" s="25">
        <v>1.2200000000000001E-2</v>
      </c>
      <c r="BD148" s="9">
        <f t="shared" si="68"/>
        <v>15.709711250000007</v>
      </c>
      <c r="BE148" s="9">
        <v>510.11999999999989</v>
      </c>
      <c r="BF148" s="9">
        <v>1.9E-3</v>
      </c>
      <c r="BG148" s="9">
        <f t="shared" si="69"/>
        <v>0.96922799999999976</v>
      </c>
      <c r="BH148" s="9">
        <v>9.5999999999999992E-3</v>
      </c>
      <c r="BI148" s="9">
        <f t="shared" si="70"/>
        <v>4.8971519999999984</v>
      </c>
      <c r="BJ148" s="9">
        <v>2040.4800000000005</v>
      </c>
      <c r="BK148" s="9">
        <v>2.0999999999999999E-3</v>
      </c>
      <c r="BL148" s="9">
        <f t="shared" si="71"/>
        <v>4.2850080000000004</v>
      </c>
      <c r="BM148" s="9">
        <v>1.04E-2</v>
      </c>
      <c r="BN148" s="9">
        <f t="shared" si="72"/>
        <v>21.220992000000003</v>
      </c>
      <c r="BO148" s="9">
        <v>1095.2512500000003</v>
      </c>
      <c r="BP148" s="9">
        <v>2.3999999999999998E-3</v>
      </c>
      <c r="BQ148" s="9">
        <f t="shared" si="73"/>
        <v>2.6286030000000005</v>
      </c>
      <c r="BR148" s="9">
        <v>1.2200000000000001E-2</v>
      </c>
      <c r="BS148" s="9">
        <f t="shared" si="74"/>
        <v>13.362065250000004</v>
      </c>
      <c r="BT148" s="9">
        <f t="shared" si="75"/>
        <v>8.3446710000000017</v>
      </c>
      <c r="BU148" s="9">
        <f t="shared" si="76"/>
        <v>41.827855250000006</v>
      </c>
      <c r="BV148" s="9">
        <f t="shared" si="77"/>
        <v>339.92267099999998</v>
      </c>
      <c r="BW148">
        <f t="shared" si="78"/>
        <v>339.92267099999998</v>
      </c>
      <c r="BX148">
        <v>0</v>
      </c>
      <c r="BY148">
        <f t="shared" si="79"/>
        <v>1681.86365525</v>
      </c>
      <c r="BZ148">
        <v>2456.1719910000002</v>
      </c>
      <c r="CA148">
        <f t="shared" si="80"/>
        <v>4866.3178379999999</v>
      </c>
      <c r="CB148">
        <f t="shared" si="81"/>
        <v>9344.2761552499996</v>
      </c>
      <c r="CC148">
        <v>0</v>
      </c>
      <c r="CD148">
        <v>0</v>
      </c>
      <c r="CE148">
        <f t="shared" si="82"/>
        <v>0</v>
      </c>
      <c r="CF148">
        <f t="shared" si="83"/>
        <v>7662.4125000000004</v>
      </c>
      <c r="CG148">
        <f t="shared" si="84"/>
        <v>4866.3178379999999</v>
      </c>
      <c r="CH148">
        <f t="shared" si="85"/>
        <v>0</v>
      </c>
      <c r="CJ148" t="s">
        <v>278</v>
      </c>
      <c r="CL148" t="str">
        <f t="shared" si="86"/>
        <v/>
      </c>
    </row>
    <row r="149" spans="1:90" x14ac:dyDescent="0.25">
      <c r="A149" t="s">
        <v>114</v>
      </c>
      <c r="B149" t="s">
        <v>180</v>
      </c>
      <c r="C149" s="1">
        <v>46174</v>
      </c>
      <c r="D149" t="s">
        <v>174</v>
      </c>
      <c r="E149" t="s">
        <v>175</v>
      </c>
      <c r="F149" s="4">
        <v>1</v>
      </c>
      <c r="G149" s="4">
        <v>0.25</v>
      </c>
      <c r="H149" s="9">
        <v>7662.4125000000004</v>
      </c>
      <c r="I149" s="9">
        <v>1277.0687499999999</v>
      </c>
      <c r="J149" s="9">
        <f t="shared" si="58"/>
        <v>8939.4812500000007</v>
      </c>
      <c r="K149" s="9">
        <v>0</v>
      </c>
      <c r="L149" s="9">
        <f t="shared" si="59"/>
        <v>0</v>
      </c>
      <c r="M149">
        <v>0</v>
      </c>
      <c r="N149" s="4">
        <f t="shared" si="60"/>
        <v>0</v>
      </c>
      <c r="O149" s="9">
        <v>6129.93</v>
      </c>
      <c r="P149" s="9">
        <v>1532.4825000000001</v>
      </c>
      <c r="Q149" s="9">
        <v>0</v>
      </c>
      <c r="R149" s="9">
        <v>0</v>
      </c>
      <c r="S149" s="9">
        <v>0</v>
      </c>
      <c r="T149" s="9">
        <v>0</v>
      </c>
      <c r="U149" s="9">
        <v>0</v>
      </c>
      <c r="V149" s="9">
        <v>0</v>
      </c>
      <c r="W149" s="9">
        <f t="shared" si="61"/>
        <v>7662.4125000000004</v>
      </c>
      <c r="X149" s="9">
        <v>1277.0687499999999</v>
      </c>
      <c r="Y149" s="9">
        <v>0</v>
      </c>
      <c r="Z149" s="9">
        <v>8939.4812500000007</v>
      </c>
      <c r="AA149" s="9">
        <v>0</v>
      </c>
      <c r="AB149" s="9">
        <f t="shared" si="62"/>
        <v>8939.4812500000007</v>
      </c>
      <c r="AC149" s="9">
        <v>5101.2</v>
      </c>
      <c r="AD149" s="9">
        <v>0</v>
      </c>
      <c r="AE149" s="9">
        <v>7662.4125000000004</v>
      </c>
      <c r="AF149" s="9">
        <v>239.75639999999999</v>
      </c>
      <c r="AG149" s="9">
        <v>1203.8832</v>
      </c>
      <c r="AH149" s="9">
        <v>79.068600000000004</v>
      </c>
      <c r="AI149" s="9">
        <v>280.56599999999997</v>
      </c>
      <c r="AJ149" s="9">
        <v>10.202399999999999</v>
      </c>
      <c r="AK149" s="9">
        <v>5.1011999999999995</v>
      </c>
      <c r="AL149" s="9">
        <v>30.607199999999999</v>
      </c>
      <c r="AM149" s="9">
        <v>7.6517999999999997</v>
      </c>
      <c r="AN149" s="9">
        <v>38.259</v>
      </c>
      <c r="AO149" s="9">
        <v>76.518000000000001</v>
      </c>
      <c r="AP149" s="9">
        <v>510.11999999999989</v>
      </c>
      <c r="AQ149" s="25">
        <v>1.9E-3</v>
      </c>
      <c r="AR149" s="9">
        <f t="shared" si="63"/>
        <v>0.96922799999999976</v>
      </c>
      <c r="AS149" s="25">
        <v>9.5999999999999992E-3</v>
      </c>
      <c r="AT149" s="9">
        <f t="shared" si="64"/>
        <v>4.8971519999999984</v>
      </c>
      <c r="AU149" s="9">
        <v>2040.4800000000005</v>
      </c>
      <c r="AV149" s="25">
        <v>2.0999999999999999E-3</v>
      </c>
      <c r="AW149" s="9">
        <f t="shared" si="65"/>
        <v>4.2850080000000004</v>
      </c>
      <c r="AX149" s="25">
        <v>1.04E-2</v>
      </c>
      <c r="AY149" s="9">
        <f t="shared" si="66"/>
        <v>21.220992000000003</v>
      </c>
      <c r="AZ149" s="9">
        <v>1287.6812500000005</v>
      </c>
      <c r="BA149" s="25">
        <v>2.3999999999999998E-3</v>
      </c>
      <c r="BB149" s="9">
        <f t="shared" si="67"/>
        <v>3.0904350000000012</v>
      </c>
      <c r="BC149" s="25">
        <v>1.2200000000000001E-2</v>
      </c>
      <c r="BD149" s="9">
        <f t="shared" si="68"/>
        <v>15.709711250000007</v>
      </c>
      <c r="BE149" s="9">
        <v>510.11999999999989</v>
      </c>
      <c r="BF149" s="9">
        <v>1.9E-3</v>
      </c>
      <c r="BG149" s="9">
        <f t="shared" si="69"/>
        <v>0.96922799999999976</v>
      </c>
      <c r="BH149" s="9">
        <v>9.5999999999999992E-3</v>
      </c>
      <c r="BI149" s="9">
        <f t="shared" si="70"/>
        <v>4.8971519999999984</v>
      </c>
      <c r="BJ149" s="9">
        <v>2040.4800000000005</v>
      </c>
      <c r="BK149" s="9">
        <v>2.0999999999999999E-3</v>
      </c>
      <c r="BL149" s="9">
        <f t="shared" si="71"/>
        <v>4.2850080000000004</v>
      </c>
      <c r="BM149" s="9">
        <v>1.04E-2</v>
      </c>
      <c r="BN149" s="9">
        <f t="shared" si="72"/>
        <v>21.220992000000003</v>
      </c>
      <c r="BO149" s="9">
        <v>1095.2512500000003</v>
      </c>
      <c r="BP149" s="9">
        <v>2.3999999999999998E-3</v>
      </c>
      <c r="BQ149" s="9">
        <f t="shared" si="73"/>
        <v>2.6286030000000005</v>
      </c>
      <c r="BR149" s="9">
        <v>1.2200000000000001E-2</v>
      </c>
      <c r="BS149" s="9">
        <f t="shared" si="74"/>
        <v>13.362065250000004</v>
      </c>
      <c r="BT149" s="9">
        <f t="shared" si="75"/>
        <v>8.3446710000000017</v>
      </c>
      <c r="BU149" s="9">
        <f t="shared" si="76"/>
        <v>41.827855250000006</v>
      </c>
      <c r="BV149" s="9">
        <f t="shared" si="77"/>
        <v>339.92267099999998</v>
      </c>
      <c r="BW149">
        <f t="shared" si="78"/>
        <v>339.92267099999998</v>
      </c>
      <c r="BX149">
        <v>0</v>
      </c>
      <c r="BY149">
        <f t="shared" si="79"/>
        <v>1681.86365525</v>
      </c>
      <c r="BZ149">
        <v>2456.1719910000002</v>
      </c>
      <c r="CA149">
        <f t="shared" si="80"/>
        <v>4866.3178379999999</v>
      </c>
      <c r="CB149">
        <f t="shared" si="81"/>
        <v>9344.2761552499996</v>
      </c>
      <c r="CC149">
        <v>0</v>
      </c>
      <c r="CD149">
        <v>0</v>
      </c>
      <c r="CE149">
        <f t="shared" si="82"/>
        <v>0</v>
      </c>
      <c r="CF149">
        <f t="shared" si="83"/>
        <v>7662.4125000000004</v>
      </c>
      <c r="CG149">
        <f t="shared" si="84"/>
        <v>4866.3178379999999</v>
      </c>
      <c r="CH149">
        <f t="shared" si="85"/>
        <v>0</v>
      </c>
      <c r="CJ149" t="s">
        <v>278</v>
      </c>
      <c r="CL149" t="str">
        <f t="shared" si="86"/>
        <v/>
      </c>
    </row>
    <row r="150" spans="1:90" x14ac:dyDescent="0.25">
      <c r="A150" t="s">
        <v>114</v>
      </c>
      <c r="B150" t="s">
        <v>181</v>
      </c>
      <c r="C150" s="1">
        <v>46204</v>
      </c>
      <c r="D150" t="s">
        <v>182</v>
      </c>
      <c r="E150" t="s">
        <v>175</v>
      </c>
      <c r="F150" s="4">
        <v>1</v>
      </c>
      <c r="G150" s="4">
        <v>0.25</v>
      </c>
      <c r="H150" s="9">
        <v>7662.4125000000004</v>
      </c>
      <c r="I150" s="9">
        <v>1277.0687499999999</v>
      </c>
      <c r="J150" s="9">
        <f t="shared" si="58"/>
        <v>8939.4812500000007</v>
      </c>
      <c r="K150" s="9">
        <v>0</v>
      </c>
      <c r="L150" s="9">
        <f t="shared" si="59"/>
        <v>0</v>
      </c>
      <c r="M150">
        <v>0</v>
      </c>
      <c r="N150" s="4">
        <f t="shared" si="60"/>
        <v>0</v>
      </c>
      <c r="O150" s="9">
        <v>6129.93</v>
      </c>
      <c r="P150" s="9">
        <v>1532.4825000000001</v>
      </c>
      <c r="Q150" s="9">
        <v>0</v>
      </c>
      <c r="R150" s="9">
        <v>0</v>
      </c>
      <c r="S150" s="9">
        <v>0</v>
      </c>
      <c r="T150" s="9">
        <v>0</v>
      </c>
      <c r="U150" s="9">
        <v>0</v>
      </c>
      <c r="V150" s="9">
        <v>0</v>
      </c>
      <c r="W150" s="9">
        <f t="shared" si="61"/>
        <v>7662.4125000000004</v>
      </c>
      <c r="X150" s="9">
        <v>0</v>
      </c>
      <c r="Y150" s="9">
        <v>0</v>
      </c>
      <c r="Z150" s="9">
        <v>0</v>
      </c>
      <c r="AA150" s="9">
        <v>0</v>
      </c>
      <c r="AB150" s="9">
        <f t="shared" si="62"/>
        <v>0</v>
      </c>
      <c r="AC150" s="9">
        <v>0</v>
      </c>
      <c r="AD150" s="9">
        <v>0</v>
      </c>
      <c r="AE150" s="9">
        <v>7662.4125000000004</v>
      </c>
      <c r="AF150" s="9">
        <v>0</v>
      </c>
      <c r="AG150" s="9">
        <v>0</v>
      </c>
      <c r="AH150" s="9">
        <v>0</v>
      </c>
      <c r="AI150" s="9">
        <v>0</v>
      </c>
      <c r="AJ150" s="9">
        <v>0</v>
      </c>
      <c r="AK150" s="9">
        <v>0</v>
      </c>
      <c r="AL150" s="9">
        <v>0</v>
      </c>
      <c r="AM150" s="9">
        <v>0</v>
      </c>
      <c r="AN150" s="9">
        <v>0</v>
      </c>
      <c r="AO150" s="9">
        <v>0</v>
      </c>
      <c r="AP150" s="9">
        <v>0</v>
      </c>
      <c r="AQ150" s="25">
        <v>0</v>
      </c>
      <c r="AR150" s="9">
        <f t="shared" si="63"/>
        <v>0</v>
      </c>
      <c r="AS150" s="25">
        <v>0</v>
      </c>
      <c r="AT150" s="9">
        <f t="shared" si="64"/>
        <v>0</v>
      </c>
      <c r="AU150" s="9">
        <v>0</v>
      </c>
      <c r="AV150" s="25">
        <v>0</v>
      </c>
      <c r="AW150" s="9">
        <f t="shared" si="65"/>
        <v>0</v>
      </c>
      <c r="AX150" s="25">
        <v>0</v>
      </c>
      <c r="AY150" s="9">
        <f t="shared" si="66"/>
        <v>0</v>
      </c>
      <c r="AZ150" s="9">
        <v>0</v>
      </c>
      <c r="BA150" s="25">
        <v>0</v>
      </c>
      <c r="BB150" s="9">
        <f t="shared" si="67"/>
        <v>0</v>
      </c>
      <c r="BC150" s="25">
        <v>0</v>
      </c>
      <c r="BD150" s="9">
        <f t="shared" si="68"/>
        <v>0</v>
      </c>
      <c r="BE150" s="9">
        <v>0</v>
      </c>
      <c r="BF150" s="9">
        <v>0</v>
      </c>
      <c r="BG150" s="9">
        <f t="shared" si="69"/>
        <v>0</v>
      </c>
      <c r="BH150" s="9">
        <v>0</v>
      </c>
      <c r="BI150" s="9">
        <f t="shared" si="70"/>
        <v>0</v>
      </c>
      <c r="BJ150" s="9">
        <v>0</v>
      </c>
      <c r="BK150" s="9">
        <v>0</v>
      </c>
      <c r="BL150" s="9">
        <f t="shared" si="71"/>
        <v>0</v>
      </c>
      <c r="BM150" s="9">
        <v>0</v>
      </c>
      <c r="BN150" s="9">
        <f t="shared" si="72"/>
        <v>0</v>
      </c>
      <c r="BO150" s="9">
        <v>0</v>
      </c>
      <c r="BP150" s="9">
        <v>0</v>
      </c>
      <c r="BQ150" s="9">
        <f t="shared" si="73"/>
        <v>0</v>
      </c>
      <c r="BR150" s="9">
        <v>0</v>
      </c>
      <c r="BS150" s="9">
        <f t="shared" si="74"/>
        <v>0</v>
      </c>
      <c r="BT150" s="9">
        <f t="shared" si="75"/>
        <v>0</v>
      </c>
      <c r="BU150" s="9">
        <f t="shared" si="76"/>
        <v>0</v>
      </c>
      <c r="BV150" s="9">
        <f t="shared" si="77"/>
        <v>0</v>
      </c>
      <c r="BW150">
        <f t="shared" si="78"/>
        <v>0</v>
      </c>
      <c r="BX150">
        <v>0</v>
      </c>
      <c r="BY150">
        <f t="shared" si="79"/>
        <v>0</v>
      </c>
      <c r="BZ150">
        <v>2456.1719910000002</v>
      </c>
      <c r="CA150">
        <f t="shared" si="80"/>
        <v>5206.2405090000002</v>
      </c>
      <c r="CB150">
        <f t="shared" si="81"/>
        <v>7662.4125000000004</v>
      </c>
      <c r="CC150">
        <v>0</v>
      </c>
      <c r="CD150">
        <v>0</v>
      </c>
      <c r="CE150">
        <f t="shared" si="82"/>
        <v>0</v>
      </c>
      <c r="CF150">
        <f t="shared" si="83"/>
        <v>7662.4125000000004</v>
      </c>
      <c r="CG150">
        <f t="shared" si="84"/>
        <v>5206.2405090000002</v>
      </c>
      <c r="CH150">
        <f t="shared" si="85"/>
        <v>0</v>
      </c>
      <c r="CJ150" t="s">
        <v>278</v>
      </c>
      <c r="CL150" t="str">
        <f t="shared" si="86"/>
        <v/>
      </c>
    </row>
    <row r="151" spans="1:90" x14ac:dyDescent="0.25">
      <c r="A151" t="s">
        <v>114</v>
      </c>
      <c r="B151" t="s">
        <v>183</v>
      </c>
      <c r="C151" s="1">
        <v>46204</v>
      </c>
      <c r="D151" t="s">
        <v>174</v>
      </c>
      <c r="E151" t="s">
        <v>175</v>
      </c>
      <c r="F151" s="4">
        <v>1</v>
      </c>
      <c r="G151" s="4">
        <v>0.25</v>
      </c>
      <c r="H151" s="9">
        <v>7662.4125000000004</v>
      </c>
      <c r="I151" s="9">
        <v>1277.0687499999999</v>
      </c>
      <c r="J151" s="9">
        <f t="shared" si="58"/>
        <v>8939.4812500000007</v>
      </c>
      <c r="K151" s="9">
        <v>0</v>
      </c>
      <c r="L151" s="9">
        <f t="shared" si="59"/>
        <v>0</v>
      </c>
      <c r="M151">
        <v>0</v>
      </c>
      <c r="N151" s="4">
        <f t="shared" si="60"/>
        <v>0</v>
      </c>
      <c r="O151" s="9">
        <v>6129.93</v>
      </c>
      <c r="P151" s="9">
        <v>1532.4825000000001</v>
      </c>
      <c r="Q151" s="9">
        <v>0</v>
      </c>
      <c r="R151" s="9">
        <v>0</v>
      </c>
      <c r="S151" s="9">
        <v>0</v>
      </c>
      <c r="T151" s="9">
        <v>0</v>
      </c>
      <c r="U151" s="9">
        <v>0</v>
      </c>
      <c r="V151" s="9">
        <v>0</v>
      </c>
      <c r="W151" s="9">
        <f t="shared" si="61"/>
        <v>7662.4125000000004</v>
      </c>
      <c r="X151" s="9">
        <v>1277.0687499999999</v>
      </c>
      <c r="Y151" s="9">
        <v>0</v>
      </c>
      <c r="Z151" s="9">
        <v>8939.4812500000007</v>
      </c>
      <c r="AA151" s="9">
        <v>0</v>
      </c>
      <c r="AB151" s="9">
        <f t="shared" si="62"/>
        <v>8939.4812500000007</v>
      </c>
      <c r="AC151" s="9">
        <v>5101.2</v>
      </c>
      <c r="AD151" s="9">
        <v>0</v>
      </c>
      <c r="AE151" s="9">
        <v>7662.4125000000004</v>
      </c>
      <c r="AF151" s="9">
        <v>239.75639999999999</v>
      </c>
      <c r="AG151" s="9">
        <v>1203.8832</v>
      </c>
      <c r="AH151" s="9">
        <v>79.068600000000004</v>
      </c>
      <c r="AI151" s="9">
        <v>280.56599999999997</v>
      </c>
      <c r="AJ151" s="9">
        <v>10.202399999999999</v>
      </c>
      <c r="AK151" s="9">
        <v>5.1011999999999995</v>
      </c>
      <c r="AL151" s="9">
        <v>30.607199999999999</v>
      </c>
      <c r="AM151" s="9">
        <v>7.6517999999999997</v>
      </c>
      <c r="AN151" s="9">
        <v>38.259</v>
      </c>
      <c r="AO151" s="9">
        <v>76.518000000000001</v>
      </c>
      <c r="AP151" s="9">
        <v>510.11999999999989</v>
      </c>
      <c r="AQ151" s="25">
        <v>1.9E-3</v>
      </c>
      <c r="AR151" s="9">
        <f t="shared" si="63"/>
        <v>0.96922799999999976</v>
      </c>
      <c r="AS151" s="25">
        <v>9.5999999999999992E-3</v>
      </c>
      <c r="AT151" s="9">
        <f t="shared" si="64"/>
        <v>4.8971519999999984</v>
      </c>
      <c r="AU151" s="9">
        <v>2040.4800000000005</v>
      </c>
      <c r="AV151" s="25">
        <v>2.0999999999999999E-3</v>
      </c>
      <c r="AW151" s="9">
        <f t="shared" si="65"/>
        <v>4.2850080000000004</v>
      </c>
      <c r="AX151" s="25">
        <v>1.04E-2</v>
      </c>
      <c r="AY151" s="9">
        <f t="shared" si="66"/>
        <v>21.220992000000003</v>
      </c>
      <c r="AZ151" s="9">
        <v>1287.6812500000005</v>
      </c>
      <c r="BA151" s="25">
        <v>2.3999999999999998E-3</v>
      </c>
      <c r="BB151" s="9">
        <f t="shared" si="67"/>
        <v>3.0904350000000012</v>
      </c>
      <c r="BC151" s="25">
        <v>1.2200000000000001E-2</v>
      </c>
      <c r="BD151" s="9">
        <f t="shared" si="68"/>
        <v>15.709711250000007</v>
      </c>
      <c r="BE151" s="9">
        <v>510.11999999999989</v>
      </c>
      <c r="BF151" s="9">
        <v>1.9E-3</v>
      </c>
      <c r="BG151" s="9">
        <f t="shared" si="69"/>
        <v>0.96922799999999976</v>
      </c>
      <c r="BH151" s="9">
        <v>9.5999999999999992E-3</v>
      </c>
      <c r="BI151" s="9">
        <f t="shared" si="70"/>
        <v>4.8971519999999984</v>
      </c>
      <c r="BJ151" s="9">
        <v>2040.4800000000005</v>
      </c>
      <c r="BK151" s="9">
        <v>2.0999999999999999E-3</v>
      </c>
      <c r="BL151" s="9">
        <f t="shared" si="71"/>
        <v>4.2850080000000004</v>
      </c>
      <c r="BM151" s="9">
        <v>1.04E-2</v>
      </c>
      <c r="BN151" s="9">
        <f t="shared" si="72"/>
        <v>21.220992000000003</v>
      </c>
      <c r="BO151" s="9">
        <v>1095.2512500000003</v>
      </c>
      <c r="BP151" s="9">
        <v>2.3999999999999998E-3</v>
      </c>
      <c r="BQ151" s="9">
        <f t="shared" si="73"/>
        <v>2.6286030000000005</v>
      </c>
      <c r="BR151" s="9">
        <v>1.2200000000000001E-2</v>
      </c>
      <c r="BS151" s="9">
        <f t="shared" si="74"/>
        <v>13.362065250000004</v>
      </c>
      <c r="BT151" s="9">
        <f t="shared" si="75"/>
        <v>8.3446710000000017</v>
      </c>
      <c r="BU151" s="9">
        <f t="shared" si="76"/>
        <v>41.827855250000006</v>
      </c>
      <c r="BV151" s="9">
        <f t="shared" si="77"/>
        <v>339.92267099999998</v>
      </c>
      <c r="BW151">
        <f t="shared" si="78"/>
        <v>339.92267099999998</v>
      </c>
      <c r="BX151">
        <v>0</v>
      </c>
      <c r="BY151">
        <f t="shared" si="79"/>
        <v>1681.86365525</v>
      </c>
      <c r="BZ151">
        <v>2456.1719910000002</v>
      </c>
      <c r="CA151">
        <f t="shared" si="80"/>
        <v>4866.3178379999999</v>
      </c>
      <c r="CB151">
        <f t="shared" si="81"/>
        <v>9344.2761552499996</v>
      </c>
      <c r="CC151">
        <v>0</v>
      </c>
      <c r="CD151">
        <v>0</v>
      </c>
      <c r="CE151">
        <f t="shared" si="82"/>
        <v>0</v>
      </c>
      <c r="CF151">
        <f t="shared" si="83"/>
        <v>7662.4125000000004</v>
      </c>
      <c r="CG151">
        <f t="shared" si="84"/>
        <v>4866.3178379999999</v>
      </c>
      <c r="CH151">
        <f t="shared" si="85"/>
        <v>0</v>
      </c>
      <c r="CJ151" t="s">
        <v>278</v>
      </c>
      <c r="CL151" t="str">
        <f t="shared" si="86"/>
        <v/>
      </c>
    </row>
    <row r="152" spans="1:90" x14ac:dyDescent="0.25">
      <c r="A152" t="s">
        <v>114</v>
      </c>
      <c r="B152" t="s">
        <v>184</v>
      </c>
      <c r="C152" s="1">
        <v>46235</v>
      </c>
      <c r="D152" t="s">
        <v>174</v>
      </c>
      <c r="E152" t="s">
        <v>175</v>
      </c>
      <c r="F152" s="4">
        <v>1</v>
      </c>
      <c r="G152" s="4">
        <v>0.25</v>
      </c>
      <c r="H152" s="9">
        <v>7662.4125000000004</v>
      </c>
      <c r="I152" s="9">
        <v>1277.0687499999999</v>
      </c>
      <c r="J152" s="9">
        <f t="shared" si="58"/>
        <v>8939.4812500000007</v>
      </c>
      <c r="K152" s="9">
        <v>0</v>
      </c>
      <c r="L152" s="9">
        <f t="shared" si="59"/>
        <v>0</v>
      </c>
      <c r="M152">
        <v>0</v>
      </c>
      <c r="N152" s="4">
        <f t="shared" si="60"/>
        <v>0</v>
      </c>
      <c r="O152" s="9">
        <v>6129.93</v>
      </c>
      <c r="P152" s="9">
        <v>1532.4825000000001</v>
      </c>
      <c r="Q152" s="9">
        <v>0</v>
      </c>
      <c r="R152" s="9">
        <v>0</v>
      </c>
      <c r="S152" s="9">
        <v>0</v>
      </c>
      <c r="T152" s="9">
        <v>0</v>
      </c>
      <c r="U152" s="9">
        <v>0</v>
      </c>
      <c r="V152" s="9">
        <v>0</v>
      </c>
      <c r="W152" s="9">
        <f t="shared" si="61"/>
        <v>7662.4125000000004</v>
      </c>
      <c r="X152" s="9">
        <v>1277.0687499999999</v>
      </c>
      <c r="Y152" s="9">
        <v>0</v>
      </c>
      <c r="Z152" s="9">
        <v>8939.4812500000007</v>
      </c>
      <c r="AA152" s="9">
        <v>0</v>
      </c>
      <c r="AB152" s="9">
        <f t="shared" si="62"/>
        <v>8939.4812500000007</v>
      </c>
      <c r="AC152" s="9">
        <v>5101.2</v>
      </c>
      <c r="AD152" s="9">
        <v>0</v>
      </c>
      <c r="AE152" s="9">
        <v>7662.4125000000004</v>
      </c>
      <c r="AF152" s="9">
        <v>239.75639999999999</v>
      </c>
      <c r="AG152" s="9">
        <v>1203.8832</v>
      </c>
      <c r="AH152" s="9">
        <v>79.068600000000004</v>
      </c>
      <c r="AI152" s="9">
        <v>280.56599999999997</v>
      </c>
      <c r="AJ152" s="9">
        <v>10.202399999999999</v>
      </c>
      <c r="AK152" s="9">
        <v>5.1011999999999995</v>
      </c>
      <c r="AL152" s="9">
        <v>30.607199999999999</v>
      </c>
      <c r="AM152" s="9">
        <v>7.6517999999999997</v>
      </c>
      <c r="AN152" s="9">
        <v>38.259</v>
      </c>
      <c r="AO152" s="9">
        <v>76.518000000000001</v>
      </c>
      <c r="AP152" s="9">
        <v>510.11999999999989</v>
      </c>
      <c r="AQ152" s="25">
        <v>1.9E-3</v>
      </c>
      <c r="AR152" s="9">
        <f t="shared" si="63"/>
        <v>0.96922799999999976</v>
      </c>
      <c r="AS152" s="25">
        <v>9.5999999999999992E-3</v>
      </c>
      <c r="AT152" s="9">
        <f t="shared" si="64"/>
        <v>4.8971519999999984</v>
      </c>
      <c r="AU152" s="9">
        <v>2040.4800000000005</v>
      </c>
      <c r="AV152" s="25">
        <v>2.0999999999999999E-3</v>
      </c>
      <c r="AW152" s="9">
        <f t="shared" si="65"/>
        <v>4.2850080000000004</v>
      </c>
      <c r="AX152" s="25">
        <v>1.04E-2</v>
      </c>
      <c r="AY152" s="9">
        <f t="shared" si="66"/>
        <v>21.220992000000003</v>
      </c>
      <c r="AZ152" s="9">
        <v>1287.6812500000005</v>
      </c>
      <c r="BA152" s="25">
        <v>2.3999999999999998E-3</v>
      </c>
      <c r="BB152" s="9">
        <f t="shared" si="67"/>
        <v>3.0904350000000012</v>
      </c>
      <c r="BC152" s="25">
        <v>1.2200000000000001E-2</v>
      </c>
      <c r="BD152" s="9">
        <f t="shared" si="68"/>
        <v>15.709711250000007</v>
      </c>
      <c r="BE152" s="9">
        <v>510.11999999999989</v>
      </c>
      <c r="BF152" s="9">
        <v>1.9E-3</v>
      </c>
      <c r="BG152" s="9">
        <f t="shared" si="69"/>
        <v>0.96922799999999976</v>
      </c>
      <c r="BH152" s="9">
        <v>9.5999999999999992E-3</v>
      </c>
      <c r="BI152" s="9">
        <f t="shared" si="70"/>
        <v>4.8971519999999984</v>
      </c>
      <c r="BJ152" s="9">
        <v>2040.4800000000005</v>
      </c>
      <c r="BK152" s="9">
        <v>2.0999999999999999E-3</v>
      </c>
      <c r="BL152" s="9">
        <f t="shared" si="71"/>
        <v>4.2850080000000004</v>
      </c>
      <c r="BM152" s="9">
        <v>1.04E-2</v>
      </c>
      <c r="BN152" s="9">
        <f t="shared" si="72"/>
        <v>21.220992000000003</v>
      </c>
      <c r="BO152" s="9">
        <v>1095.2512500000003</v>
      </c>
      <c r="BP152" s="9">
        <v>2.3999999999999998E-3</v>
      </c>
      <c r="BQ152" s="9">
        <f t="shared" si="73"/>
        <v>2.6286030000000005</v>
      </c>
      <c r="BR152" s="9">
        <v>1.2200000000000001E-2</v>
      </c>
      <c r="BS152" s="9">
        <f t="shared" si="74"/>
        <v>13.362065250000004</v>
      </c>
      <c r="BT152" s="9">
        <f t="shared" si="75"/>
        <v>8.3446710000000017</v>
      </c>
      <c r="BU152" s="9">
        <f t="shared" si="76"/>
        <v>41.827855250000006</v>
      </c>
      <c r="BV152" s="9">
        <f t="shared" si="77"/>
        <v>339.92267099999998</v>
      </c>
      <c r="BW152">
        <f t="shared" si="78"/>
        <v>339.92267099999998</v>
      </c>
      <c r="BX152">
        <v>0</v>
      </c>
      <c r="BY152">
        <f t="shared" si="79"/>
        <v>1681.86365525</v>
      </c>
      <c r="BZ152">
        <v>2456.1719910000002</v>
      </c>
      <c r="CA152">
        <f t="shared" si="80"/>
        <v>4866.3178379999999</v>
      </c>
      <c r="CB152">
        <f t="shared" si="81"/>
        <v>9344.2761552499996</v>
      </c>
      <c r="CC152">
        <v>0</v>
      </c>
      <c r="CD152">
        <v>0</v>
      </c>
      <c r="CE152">
        <f t="shared" si="82"/>
        <v>0</v>
      </c>
      <c r="CF152">
        <f t="shared" si="83"/>
        <v>7662.4125000000004</v>
      </c>
      <c r="CG152">
        <f t="shared" si="84"/>
        <v>4866.3178379999999</v>
      </c>
      <c r="CH152">
        <f t="shared" si="85"/>
        <v>0</v>
      </c>
      <c r="CJ152" t="s">
        <v>278</v>
      </c>
      <c r="CL152" t="str">
        <f t="shared" si="86"/>
        <v/>
      </c>
    </row>
    <row r="153" spans="1:90" x14ac:dyDescent="0.25">
      <c r="A153" t="s">
        <v>114</v>
      </c>
      <c r="B153" t="s">
        <v>185</v>
      </c>
      <c r="C153" s="1">
        <v>46266</v>
      </c>
      <c r="D153" t="s">
        <v>174</v>
      </c>
      <c r="E153" t="s">
        <v>175</v>
      </c>
      <c r="F153" s="4">
        <v>1</v>
      </c>
      <c r="G153" s="4">
        <v>0.25</v>
      </c>
      <c r="H153" s="9">
        <v>7662.4125000000004</v>
      </c>
      <c r="I153" s="9">
        <v>1277.0687499999999</v>
      </c>
      <c r="J153" s="9">
        <f t="shared" si="58"/>
        <v>8939.4812500000007</v>
      </c>
      <c r="K153" s="9">
        <v>0</v>
      </c>
      <c r="L153" s="9">
        <f t="shared" si="59"/>
        <v>0</v>
      </c>
      <c r="M153">
        <v>0</v>
      </c>
      <c r="N153" s="4">
        <f t="shared" si="60"/>
        <v>0</v>
      </c>
      <c r="O153" s="9">
        <v>6129.93</v>
      </c>
      <c r="P153" s="9">
        <v>1532.4825000000001</v>
      </c>
      <c r="Q153" s="9">
        <v>0</v>
      </c>
      <c r="R153" s="9">
        <v>0</v>
      </c>
      <c r="S153" s="9">
        <v>0</v>
      </c>
      <c r="T153" s="9">
        <v>0</v>
      </c>
      <c r="U153" s="9">
        <v>0</v>
      </c>
      <c r="V153" s="9">
        <v>0</v>
      </c>
      <c r="W153" s="9">
        <f t="shared" si="61"/>
        <v>7662.4125000000004</v>
      </c>
      <c r="X153" s="9">
        <v>1277.0687499999999</v>
      </c>
      <c r="Y153" s="9">
        <v>0</v>
      </c>
      <c r="Z153" s="9">
        <v>8939.4812500000007</v>
      </c>
      <c r="AA153" s="9">
        <v>0</v>
      </c>
      <c r="AB153" s="9">
        <f t="shared" si="62"/>
        <v>8939.4812500000007</v>
      </c>
      <c r="AC153" s="9">
        <v>5101.2</v>
      </c>
      <c r="AD153" s="9">
        <v>0</v>
      </c>
      <c r="AE153" s="9">
        <v>7662.4125000000004</v>
      </c>
      <c r="AF153" s="9">
        <v>239.75639999999999</v>
      </c>
      <c r="AG153" s="9">
        <v>1203.8832</v>
      </c>
      <c r="AH153" s="9">
        <v>79.068600000000004</v>
      </c>
      <c r="AI153" s="9">
        <v>280.56599999999997</v>
      </c>
      <c r="AJ153" s="9">
        <v>10.202399999999999</v>
      </c>
      <c r="AK153" s="9">
        <v>5.1011999999999995</v>
      </c>
      <c r="AL153" s="9">
        <v>30.607199999999999</v>
      </c>
      <c r="AM153" s="9">
        <v>7.6517999999999997</v>
      </c>
      <c r="AN153" s="9">
        <v>38.259</v>
      </c>
      <c r="AO153" s="9">
        <v>76.518000000000001</v>
      </c>
      <c r="AP153" s="9">
        <v>510.11999999999989</v>
      </c>
      <c r="AQ153" s="25">
        <v>1.9E-3</v>
      </c>
      <c r="AR153" s="9">
        <f t="shared" si="63"/>
        <v>0.96922799999999976</v>
      </c>
      <c r="AS153" s="25">
        <v>9.5999999999999992E-3</v>
      </c>
      <c r="AT153" s="9">
        <f t="shared" si="64"/>
        <v>4.8971519999999984</v>
      </c>
      <c r="AU153" s="9">
        <v>2040.4800000000005</v>
      </c>
      <c r="AV153" s="25">
        <v>2.0999999999999999E-3</v>
      </c>
      <c r="AW153" s="9">
        <f t="shared" si="65"/>
        <v>4.2850080000000004</v>
      </c>
      <c r="AX153" s="25">
        <v>1.04E-2</v>
      </c>
      <c r="AY153" s="9">
        <f t="shared" si="66"/>
        <v>21.220992000000003</v>
      </c>
      <c r="AZ153" s="9">
        <v>1287.6812500000005</v>
      </c>
      <c r="BA153" s="25">
        <v>2.3999999999999998E-3</v>
      </c>
      <c r="BB153" s="9">
        <f t="shared" si="67"/>
        <v>3.0904350000000012</v>
      </c>
      <c r="BC153" s="25">
        <v>1.2200000000000001E-2</v>
      </c>
      <c r="BD153" s="9">
        <f t="shared" si="68"/>
        <v>15.709711250000007</v>
      </c>
      <c r="BE153" s="9">
        <v>510.11999999999989</v>
      </c>
      <c r="BF153" s="9">
        <v>1.9E-3</v>
      </c>
      <c r="BG153" s="9">
        <f t="shared" si="69"/>
        <v>0.96922799999999976</v>
      </c>
      <c r="BH153" s="9">
        <v>9.5999999999999992E-3</v>
      </c>
      <c r="BI153" s="9">
        <f t="shared" si="70"/>
        <v>4.8971519999999984</v>
      </c>
      <c r="BJ153" s="9">
        <v>2040.4800000000005</v>
      </c>
      <c r="BK153" s="9">
        <v>2.0999999999999999E-3</v>
      </c>
      <c r="BL153" s="9">
        <f t="shared" si="71"/>
        <v>4.2850080000000004</v>
      </c>
      <c r="BM153" s="9">
        <v>1.04E-2</v>
      </c>
      <c r="BN153" s="9">
        <f t="shared" si="72"/>
        <v>21.220992000000003</v>
      </c>
      <c r="BO153" s="9">
        <v>1095.2512500000003</v>
      </c>
      <c r="BP153" s="9">
        <v>2.3999999999999998E-3</v>
      </c>
      <c r="BQ153" s="9">
        <f t="shared" si="73"/>
        <v>2.6286030000000005</v>
      </c>
      <c r="BR153" s="9">
        <v>1.2200000000000001E-2</v>
      </c>
      <c r="BS153" s="9">
        <f t="shared" si="74"/>
        <v>13.362065250000004</v>
      </c>
      <c r="BT153" s="9">
        <f t="shared" si="75"/>
        <v>8.3446710000000017</v>
      </c>
      <c r="BU153" s="9">
        <f t="shared" si="76"/>
        <v>41.827855250000006</v>
      </c>
      <c r="BV153" s="9">
        <f t="shared" si="77"/>
        <v>339.92267099999998</v>
      </c>
      <c r="BW153">
        <f t="shared" si="78"/>
        <v>339.92267099999998</v>
      </c>
      <c r="BX153">
        <v>0</v>
      </c>
      <c r="BY153">
        <f t="shared" si="79"/>
        <v>1681.86365525</v>
      </c>
      <c r="BZ153">
        <v>2456.1719910000002</v>
      </c>
      <c r="CA153">
        <f t="shared" si="80"/>
        <v>4866.3178379999999</v>
      </c>
      <c r="CB153">
        <f t="shared" si="81"/>
        <v>9344.2761552499996</v>
      </c>
      <c r="CC153">
        <v>0</v>
      </c>
      <c r="CD153">
        <v>0</v>
      </c>
      <c r="CE153">
        <f t="shared" si="82"/>
        <v>0</v>
      </c>
      <c r="CF153">
        <f t="shared" si="83"/>
        <v>7662.4125000000004</v>
      </c>
      <c r="CG153">
        <f t="shared" si="84"/>
        <v>4866.3178379999999</v>
      </c>
      <c r="CH153">
        <f t="shared" si="85"/>
        <v>0</v>
      </c>
      <c r="CJ153" t="s">
        <v>278</v>
      </c>
      <c r="CL153" t="str">
        <f t="shared" si="86"/>
        <v/>
      </c>
    </row>
    <row r="154" spans="1:90" x14ac:dyDescent="0.25">
      <c r="A154" t="s">
        <v>114</v>
      </c>
      <c r="B154" t="s">
        <v>186</v>
      </c>
      <c r="C154" s="1">
        <v>46296</v>
      </c>
      <c r="D154" t="s">
        <v>174</v>
      </c>
      <c r="E154" t="s">
        <v>175</v>
      </c>
      <c r="F154" s="4">
        <v>1</v>
      </c>
      <c r="G154" s="4">
        <v>0.25</v>
      </c>
      <c r="H154" s="9">
        <v>7662.4125000000004</v>
      </c>
      <c r="I154" s="9">
        <v>1277.0687499999999</v>
      </c>
      <c r="J154" s="9">
        <f t="shared" si="58"/>
        <v>8939.4812500000007</v>
      </c>
      <c r="K154" s="9">
        <v>0</v>
      </c>
      <c r="L154" s="9">
        <f t="shared" si="59"/>
        <v>0</v>
      </c>
      <c r="M154">
        <v>0</v>
      </c>
      <c r="N154" s="4">
        <f t="shared" si="60"/>
        <v>0</v>
      </c>
      <c r="O154" s="9">
        <v>6129.93</v>
      </c>
      <c r="P154" s="9">
        <v>1532.4825000000001</v>
      </c>
      <c r="Q154" s="9">
        <v>0</v>
      </c>
      <c r="R154" s="9">
        <v>0</v>
      </c>
      <c r="S154" s="9">
        <v>0</v>
      </c>
      <c r="T154" s="9">
        <v>0</v>
      </c>
      <c r="U154" s="9">
        <v>0</v>
      </c>
      <c r="V154" s="9">
        <v>0</v>
      </c>
      <c r="W154" s="9">
        <f t="shared" si="61"/>
        <v>7662.4125000000004</v>
      </c>
      <c r="X154" s="9">
        <v>1277.0687499999999</v>
      </c>
      <c r="Y154" s="9">
        <v>0</v>
      </c>
      <c r="Z154" s="9">
        <v>8939.4812500000007</v>
      </c>
      <c r="AA154" s="9">
        <v>0</v>
      </c>
      <c r="AB154" s="9">
        <f t="shared" si="62"/>
        <v>8939.4812500000007</v>
      </c>
      <c r="AC154" s="9">
        <v>5101.2</v>
      </c>
      <c r="AD154" s="9">
        <v>0</v>
      </c>
      <c r="AE154" s="9">
        <v>7662.4125000000004</v>
      </c>
      <c r="AF154" s="9">
        <v>239.75639999999999</v>
      </c>
      <c r="AG154" s="9">
        <v>1203.8832</v>
      </c>
      <c r="AH154" s="9">
        <v>79.068600000000004</v>
      </c>
      <c r="AI154" s="9">
        <v>280.56599999999997</v>
      </c>
      <c r="AJ154" s="9">
        <v>10.202399999999999</v>
      </c>
      <c r="AK154" s="9">
        <v>5.1011999999999995</v>
      </c>
      <c r="AL154" s="9">
        <v>30.607199999999999</v>
      </c>
      <c r="AM154" s="9">
        <v>7.6517999999999997</v>
      </c>
      <c r="AN154" s="9">
        <v>38.259</v>
      </c>
      <c r="AO154" s="9">
        <v>76.518000000000001</v>
      </c>
      <c r="AP154" s="9">
        <v>510.11999999999989</v>
      </c>
      <c r="AQ154" s="25">
        <v>1.9E-3</v>
      </c>
      <c r="AR154" s="9">
        <f t="shared" si="63"/>
        <v>0.96922799999999976</v>
      </c>
      <c r="AS154" s="25">
        <v>9.5999999999999992E-3</v>
      </c>
      <c r="AT154" s="9">
        <f t="shared" si="64"/>
        <v>4.8971519999999984</v>
      </c>
      <c r="AU154" s="9">
        <v>2040.4800000000005</v>
      </c>
      <c r="AV154" s="25">
        <v>2.0999999999999999E-3</v>
      </c>
      <c r="AW154" s="9">
        <f t="shared" si="65"/>
        <v>4.2850080000000004</v>
      </c>
      <c r="AX154" s="25">
        <v>1.04E-2</v>
      </c>
      <c r="AY154" s="9">
        <f t="shared" si="66"/>
        <v>21.220992000000003</v>
      </c>
      <c r="AZ154" s="9">
        <v>1287.6812500000005</v>
      </c>
      <c r="BA154" s="25">
        <v>2.3999999999999998E-3</v>
      </c>
      <c r="BB154" s="9">
        <f t="shared" si="67"/>
        <v>3.0904350000000012</v>
      </c>
      <c r="BC154" s="25">
        <v>1.2200000000000001E-2</v>
      </c>
      <c r="BD154" s="9">
        <f t="shared" si="68"/>
        <v>15.709711250000007</v>
      </c>
      <c r="BE154" s="9">
        <v>510.11999999999989</v>
      </c>
      <c r="BF154" s="9">
        <v>1.9E-3</v>
      </c>
      <c r="BG154" s="9">
        <f t="shared" si="69"/>
        <v>0.96922799999999976</v>
      </c>
      <c r="BH154" s="9">
        <v>9.5999999999999992E-3</v>
      </c>
      <c r="BI154" s="9">
        <f t="shared" si="70"/>
        <v>4.8971519999999984</v>
      </c>
      <c r="BJ154" s="9">
        <v>2040.4800000000005</v>
      </c>
      <c r="BK154" s="9">
        <v>2.0999999999999999E-3</v>
      </c>
      <c r="BL154" s="9">
        <f t="shared" si="71"/>
        <v>4.2850080000000004</v>
      </c>
      <c r="BM154" s="9">
        <v>1.04E-2</v>
      </c>
      <c r="BN154" s="9">
        <f t="shared" si="72"/>
        <v>21.220992000000003</v>
      </c>
      <c r="BO154" s="9">
        <v>1095.2512500000003</v>
      </c>
      <c r="BP154" s="9">
        <v>2.3999999999999998E-3</v>
      </c>
      <c r="BQ154" s="9">
        <f t="shared" si="73"/>
        <v>2.6286030000000005</v>
      </c>
      <c r="BR154" s="9">
        <v>1.2200000000000001E-2</v>
      </c>
      <c r="BS154" s="9">
        <f t="shared" si="74"/>
        <v>13.362065250000004</v>
      </c>
      <c r="BT154" s="9">
        <f t="shared" si="75"/>
        <v>8.3446710000000017</v>
      </c>
      <c r="BU154" s="9">
        <f t="shared" si="76"/>
        <v>41.827855250000006</v>
      </c>
      <c r="BV154" s="9">
        <f t="shared" si="77"/>
        <v>339.92267099999998</v>
      </c>
      <c r="BW154">
        <f t="shared" si="78"/>
        <v>339.92267099999998</v>
      </c>
      <c r="BX154">
        <v>0</v>
      </c>
      <c r="BY154">
        <f t="shared" si="79"/>
        <v>1681.86365525</v>
      </c>
      <c r="BZ154">
        <v>2456.1719910000002</v>
      </c>
      <c r="CA154">
        <f t="shared" si="80"/>
        <v>4866.3178379999999</v>
      </c>
      <c r="CB154">
        <f t="shared" si="81"/>
        <v>9344.2761552499996</v>
      </c>
      <c r="CC154">
        <v>0</v>
      </c>
      <c r="CD154">
        <v>0</v>
      </c>
      <c r="CE154">
        <f t="shared" si="82"/>
        <v>0</v>
      </c>
      <c r="CF154">
        <f t="shared" si="83"/>
        <v>7662.4125000000004</v>
      </c>
      <c r="CG154">
        <f t="shared" si="84"/>
        <v>4866.3178379999999</v>
      </c>
      <c r="CH154">
        <f t="shared" si="85"/>
        <v>0</v>
      </c>
      <c r="CJ154" t="s">
        <v>278</v>
      </c>
      <c r="CL154" t="str">
        <f t="shared" si="86"/>
        <v/>
      </c>
    </row>
    <row r="155" spans="1:90" x14ac:dyDescent="0.25">
      <c r="A155" t="s">
        <v>114</v>
      </c>
      <c r="B155" t="s">
        <v>187</v>
      </c>
      <c r="C155" s="1">
        <v>46327</v>
      </c>
      <c r="D155" t="s">
        <v>174</v>
      </c>
      <c r="E155" t="s">
        <v>175</v>
      </c>
      <c r="F155" s="4">
        <v>1</v>
      </c>
      <c r="G155" s="4">
        <v>0.25</v>
      </c>
      <c r="H155" s="9">
        <v>7662.4125000000004</v>
      </c>
      <c r="I155" s="9">
        <v>1277.0687499999999</v>
      </c>
      <c r="J155" s="9">
        <f t="shared" si="58"/>
        <v>8939.4812500000007</v>
      </c>
      <c r="K155" s="9">
        <v>0</v>
      </c>
      <c r="L155" s="9">
        <f t="shared" si="59"/>
        <v>0</v>
      </c>
      <c r="M155">
        <v>0</v>
      </c>
      <c r="N155" s="4">
        <f t="shared" si="60"/>
        <v>0</v>
      </c>
      <c r="O155" s="9">
        <v>6129.93</v>
      </c>
      <c r="P155" s="9">
        <v>1532.4825000000001</v>
      </c>
      <c r="Q155" s="9">
        <v>0</v>
      </c>
      <c r="R155" s="9">
        <v>0</v>
      </c>
      <c r="S155" s="9">
        <v>0</v>
      </c>
      <c r="T155" s="9">
        <v>0</v>
      </c>
      <c r="U155" s="9">
        <v>0</v>
      </c>
      <c r="V155" s="9">
        <v>0</v>
      </c>
      <c r="W155" s="9">
        <f t="shared" si="61"/>
        <v>7662.4125000000004</v>
      </c>
      <c r="X155" s="9">
        <v>1277.0687499999999</v>
      </c>
      <c r="Y155" s="9">
        <v>0</v>
      </c>
      <c r="Z155" s="9">
        <v>8939.4812500000007</v>
      </c>
      <c r="AA155" s="9">
        <v>0</v>
      </c>
      <c r="AB155" s="9">
        <f t="shared" si="62"/>
        <v>8939.4812500000007</v>
      </c>
      <c r="AC155" s="9">
        <v>5101.2</v>
      </c>
      <c r="AD155" s="9">
        <v>0</v>
      </c>
      <c r="AE155" s="9">
        <v>7662.4125000000004</v>
      </c>
      <c r="AF155" s="9">
        <v>239.75639999999999</v>
      </c>
      <c r="AG155" s="9">
        <v>1203.8832</v>
      </c>
      <c r="AH155" s="9">
        <v>79.068600000000004</v>
      </c>
      <c r="AI155" s="9">
        <v>280.56599999999997</v>
      </c>
      <c r="AJ155" s="9">
        <v>10.202399999999999</v>
      </c>
      <c r="AK155" s="9">
        <v>5.1011999999999995</v>
      </c>
      <c r="AL155" s="9">
        <v>30.607199999999999</v>
      </c>
      <c r="AM155" s="9">
        <v>7.6517999999999997</v>
      </c>
      <c r="AN155" s="9">
        <v>38.259</v>
      </c>
      <c r="AO155" s="9">
        <v>76.518000000000001</v>
      </c>
      <c r="AP155" s="9">
        <v>510.11999999999989</v>
      </c>
      <c r="AQ155" s="25">
        <v>1.9E-3</v>
      </c>
      <c r="AR155" s="9">
        <f t="shared" si="63"/>
        <v>0.96922799999999976</v>
      </c>
      <c r="AS155" s="25">
        <v>9.5999999999999992E-3</v>
      </c>
      <c r="AT155" s="9">
        <f t="shared" si="64"/>
        <v>4.8971519999999984</v>
      </c>
      <c r="AU155" s="9">
        <v>2040.4800000000005</v>
      </c>
      <c r="AV155" s="25">
        <v>2.0999999999999999E-3</v>
      </c>
      <c r="AW155" s="9">
        <f t="shared" si="65"/>
        <v>4.2850080000000004</v>
      </c>
      <c r="AX155" s="25">
        <v>1.04E-2</v>
      </c>
      <c r="AY155" s="9">
        <f t="shared" si="66"/>
        <v>21.220992000000003</v>
      </c>
      <c r="AZ155" s="9">
        <v>1287.6812500000005</v>
      </c>
      <c r="BA155" s="25">
        <v>2.3999999999999998E-3</v>
      </c>
      <c r="BB155" s="9">
        <f t="shared" si="67"/>
        <v>3.0904350000000012</v>
      </c>
      <c r="BC155" s="25">
        <v>1.2200000000000001E-2</v>
      </c>
      <c r="BD155" s="9">
        <f t="shared" si="68"/>
        <v>15.709711250000007</v>
      </c>
      <c r="BE155" s="9">
        <v>510.11999999999989</v>
      </c>
      <c r="BF155" s="9">
        <v>1.9E-3</v>
      </c>
      <c r="BG155" s="9">
        <f t="shared" si="69"/>
        <v>0.96922799999999976</v>
      </c>
      <c r="BH155" s="9">
        <v>9.5999999999999992E-3</v>
      </c>
      <c r="BI155" s="9">
        <f t="shared" si="70"/>
        <v>4.8971519999999984</v>
      </c>
      <c r="BJ155" s="9">
        <v>2040.4800000000005</v>
      </c>
      <c r="BK155" s="9">
        <v>2.0999999999999999E-3</v>
      </c>
      <c r="BL155" s="9">
        <f t="shared" si="71"/>
        <v>4.2850080000000004</v>
      </c>
      <c r="BM155" s="9">
        <v>1.04E-2</v>
      </c>
      <c r="BN155" s="9">
        <f t="shared" si="72"/>
        <v>21.220992000000003</v>
      </c>
      <c r="BO155" s="9">
        <v>1095.2512500000003</v>
      </c>
      <c r="BP155" s="9">
        <v>2.3999999999999998E-3</v>
      </c>
      <c r="BQ155" s="9">
        <f t="shared" si="73"/>
        <v>2.6286030000000005</v>
      </c>
      <c r="BR155" s="9">
        <v>1.2200000000000001E-2</v>
      </c>
      <c r="BS155" s="9">
        <f t="shared" si="74"/>
        <v>13.362065250000004</v>
      </c>
      <c r="BT155" s="9">
        <f t="shared" si="75"/>
        <v>8.3446710000000017</v>
      </c>
      <c r="BU155" s="9">
        <f t="shared" si="76"/>
        <v>41.827855250000006</v>
      </c>
      <c r="BV155" s="9">
        <f t="shared" si="77"/>
        <v>339.92267099999998</v>
      </c>
      <c r="BW155">
        <f t="shared" si="78"/>
        <v>339.92267099999998</v>
      </c>
      <c r="BX155">
        <v>0</v>
      </c>
      <c r="BY155">
        <f t="shared" si="79"/>
        <v>1681.86365525</v>
      </c>
      <c r="BZ155">
        <v>2456.1719910000002</v>
      </c>
      <c r="CA155">
        <f t="shared" si="80"/>
        <v>4866.3178379999999</v>
      </c>
      <c r="CB155">
        <f t="shared" si="81"/>
        <v>9344.2761552499996</v>
      </c>
      <c r="CC155">
        <v>0</v>
      </c>
      <c r="CD155">
        <v>0</v>
      </c>
      <c r="CE155">
        <f t="shared" si="82"/>
        <v>0</v>
      </c>
      <c r="CF155">
        <f t="shared" si="83"/>
        <v>7662.4125000000004</v>
      </c>
      <c r="CG155">
        <f t="shared" si="84"/>
        <v>4866.3178379999999</v>
      </c>
      <c r="CH155">
        <f t="shared" si="85"/>
        <v>0</v>
      </c>
      <c r="CJ155" t="s">
        <v>278</v>
      </c>
      <c r="CL155" t="str">
        <f t="shared" si="86"/>
        <v/>
      </c>
    </row>
    <row r="156" spans="1:90" x14ac:dyDescent="0.25">
      <c r="A156" t="s">
        <v>114</v>
      </c>
      <c r="B156" t="s">
        <v>188</v>
      </c>
      <c r="C156" s="1">
        <v>46357</v>
      </c>
      <c r="D156" t="s">
        <v>182</v>
      </c>
      <c r="E156" t="s">
        <v>175</v>
      </c>
      <c r="F156" s="4">
        <v>1</v>
      </c>
      <c r="G156" s="4">
        <v>0.25</v>
      </c>
      <c r="H156" s="9">
        <v>7662.4125000000004</v>
      </c>
      <c r="I156" s="9">
        <v>1277.0687499999999</v>
      </c>
      <c r="J156" s="9">
        <f t="shared" si="58"/>
        <v>8939.4812500000007</v>
      </c>
      <c r="K156" s="9">
        <v>0</v>
      </c>
      <c r="L156" s="9">
        <f t="shared" si="59"/>
        <v>0</v>
      </c>
      <c r="M156">
        <v>0</v>
      </c>
      <c r="N156" s="4">
        <f t="shared" si="60"/>
        <v>0</v>
      </c>
      <c r="O156" s="9">
        <v>6129.93</v>
      </c>
      <c r="P156" s="9">
        <v>1532.4825000000001</v>
      </c>
      <c r="Q156" s="9">
        <v>0</v>
      </c>
      <c r="R156" s="9">
        <v>0</v>
      </c>
      <c r="S156" s="9">
        <v>0</v>
      </c>
      <c r="T156" s="9">
        <v>0</v>
      </c>
      <c r="U156" s="9">
        <v>0</v>
      </c>
      <c r="V156" s="9">
        <v>0</v>
      </c>
      <c r="W156" s="9">
        <f t="shared" si="61"/>
        <v>7662.4125000000004</v>
      </c>
      <c r="X156" s="9">
        <v>0</v>
      </c>
      <c r="Y156" s="9">
        <v>0</v>
      </c>
      <c r="Z156" s="9">
        <v>0</v>
      </c>
      <c r="AA156" s="9">
        <v>0</v>
      </c>
      <c r="AB156" s="9">
        <f t="shared" si="62"/>
        <v>0</v>
      </c>
      <c r="AC156" s="9">
        <v>0</v>
      </c>
      <c r="AD156" s="9">
        <v>0</v>
      </c>
      <c r="AE156" s="9">
        <v>7662.4125000000004</v>
      </c>
      <c r="AF156" s="9">
        <v>0</v>
      </c>
      <c r="AG156" s="9">
        <v>0</v>
      </c>
      <c r="AH156" s="9">
        <v>0</v>
      </c>
      <c r="AI156" s="9">
        <v>0</v>
      </c>
      <c r="AJ156" s="9">
        <v>0</v>
      </c>
      <c r="AK156" s="9">
        <v>0</v>
      </c>
      <c r="AL156" s="9">
        <v>0</v>
      </c>
      <c r="AM156" s="9">
        <v>0</v>
      </c>
      <c r="AN156" s="9">
        <v>0</v>
      </c>
      <c r="AO156" s="9">
        <v>0</v>
      </c>
      <c r="AP156" s="9">
        <v>0</v>
      </c>
      <c r="AQ156" s="25">
        <v>0</v>
      </c>
      <c r="AR156" s="9">
        <f t="shared" si="63"/>
        <v>0</v>
      </c>
      <c r="AS156" s="25">
        <v>0</v>
      </c>
      <c r="AT156" s="9">
        <f t="shared" si="64"/>
        <v>0</v>
      </c>
      <c r="AU156" s="9">
        <v>0</v>
      </c>
      <c r="AV156" s="25">
        <v>0</v>
      </c>
      <c r="AW156" s="9">
        <f t="shared" si="65"/>
        <v>0</v>
      </c>
      <c r="AX156" s="25">
        <v>0</v>
      </c>
      <c r="AY156" s="9">
        <f t="shared" si="66"/>
        <v>0</v>
      </c>
      <c r="AZ156" s="9">
        <v>0</v>
      </c>
      <c r="BA156" s="25">
        <v>0</v>
      </c>
      <c r="BB156" s="9">
        <f t="shared" si="67"/>
        <v>0</v>
      </c>
      <c r="BC156" s="25">
        <v>0</v>
      </c>
      <c r="BD156" s="9">
        <f t="shared" si="68"/>
        <v>0</v>
      </c>
      <c r="BE156" s="9">
        <v>0</v>
      </c>
      <c r="BF156" s="9">
        <v>0</v>
      </c>
      <c r="BG156" s="9">
        <f t="shared" si="69"/>
        <v>0</v>
      </c>
      <c r="BH156" s="9">
        <v>0</v>
      </c>
      <c r="BI156" s="9">
        <f t="shared" si="70"/>
        <v>0</v>
      </c>
      <c r="BJ156" s="9">
        <v>0</v>
      </c>
      <c r="BK156" s="9">
        <v>0</v>
      </c>
      <c r="BL156" s="9">
        <f t="shared" si="71"/>
        <v>0</v>
      </c>
      <c r="BM156" s="9">
        <v>0</v>
      </c>
      <c r="BN156" s="9">
        <f t="shared" si="72"/>
        <v>0</v>
      </c>
      <c r="BO156" s="9">
        <v>0</v>
      </c>
      <c r="BP156" s="9">
        <v>0</v>
      </c>
      <c r="BQ156" s="9">
        <f t="shared" si="73"/>
        <v>0</v>
      </c>
      <c r="BR156" s="9">
        <v>0</v>
      </c>
      <c r="BS156" s="9">
        <f t="shared" si="74"/>
        <v>0</v>
      </c>
      <c r="BT156" s="9">
        <f t="shared" si="75"/>
        <v>0</v>
      </c>
      <c r="BU156" s="9">
        <f t="shared" si="76"/>
        <v>0</v>
      </c>
      <c r="BV156" s="9">
        <f t="shared" si="77"/>
        <v>0</v>
      </c>
      <c r="BW156">
        <f t="shared" si="78"/>
        <v>0</v>
      </c>
      <c r="BX156">
        <v>0</v>
      </c>
      <c r="BY156">
        <f t="shared" si="79"/>
        <v>0</v>
      </c>
      <c r="BZ156">
        <v>2456.1719910000002</v>
      </c>
      <c r="CA156">
        <f t="shared" si="80"/>
        <v>5206.2405090000002</v>
      </c>
      <c r="CB156">
        <f t="shared" si="81"/>
        <v>7662.4125000000004</v>
      </c>
      <c r="CC156">
        <v>0</v>
      </c>
      <c r="CD156">
        <v>0</v>
      </c>
      <c r="CE156">
        <f t="shared" si="82"/>
        <v>0</v>
      </c>
      <c r="CF156">
        <f t="shared" si="83"/>
        <v>7662.4125000000004</v>
      </c>
      <c r="CG156">
        <f t="shared" si="84"/>
        <v>5206.2405090000002</v>
      </c>
      <c r="CH156">
        <f t="shared" si="85"/>
        <v>0</v>
      </c>
      <c r="CJ156" t="s">
        <v>278</v>
      </c>
      <c r="CL156" t="str">
        <f t="shared" si="86"/>
        <v/>
      </c>
    </row>
    <row r="157" spans="1:90" x14ac:dyDescent="0.25">
      <c r="A157" t="s">
        <v>114</v>
      </c>
      <c r="B157" t="s">
        <v>189</v>
      </c>
      <c r="C157" s="1">
        <v>46357</v>
      </c>
      <c r="D157" t="s">
        <v>174</v>
      </c>
      <c r="E157" t="s">
        <v>175</v>
      </c>
      <c r="F157" s="4">
        <v>1</v>
      </c>
      <c r="G157" s="4">
        <v>0.25</v>
      </c>
      <c r="H157" s="9">
        <v>7662.4125000000004</v>
      </c>
      <c r="I157" s="9">
        <v>1277.0687499999999</v>
      </c>
      <c r="J157" s="9">
        <f t="shared" si="58"/>
        <v>8939.4812500000007</v>
      </c>
      <c r="K157" s="9">
        <v>0</v>
      </c>
      <c r="L157" s="9">
        <f t="shared" si="59"/>
        <v>0</v>
      </c>
      <c r="M157">
        <v>0</v>
      </c>
      <c r="N157" s="4">
        <f t="shared" si="60"/>
        <v>0</v>
      </c>
      <c r="O157" s="9">
        <v>6129.93</v>
      </c>
      <c r="P157" s="9">
        <v>1532.4825000000001</v>
      </c>
      <c r="Q157" s="9">
        <v>0</v>
      </c>
      <c r="R157" s="9">
        <v>0</v>
      </c>
      <c r="S157" s="9">
        <v>0</v>
      </c>
      <c r="T157" s="9">
        <v>0</v>
      </c>
      <c r="U157" s="9">
        <v>0</v>
      </c>
      <c r="V157" s="9">
        <v>0</v>
      </c>
      <c r="W157" s="9">
        <f t="shared" si="61"/>
        <v>7662.4125000000004</v>
      </c>
      <c r="X157" s="9">
        <v>1277.0687499999999</v>
      </c>
      <c r="Y157" s="9">
        <v>0</v>
      </c>
      <c r="Z157" s="9">
        <v>8939.4812500000007</v>
      </c>
      <c r="AA157" s="9">
        <v>0</v>
      </c>
      <c r="AB157" s="9">
        <f t="shared" si="62"/>
        <v>8939.4812500000007</v>
      </c>
      <c r="AC157" s="9">
        <v>5101.2</v>
      </c>
      <c r="AD157" s="9">
        <v>0</v>
      </c>
      <c r="AE157" s="9">
        <v>7662.4125000000004</v>
      </c>
      <c r="AF157" s="9">
        <v>239.75639999999999</v>
      </c>
      <c r="AG157" s="9">
        <v>1203.8832</v>
      </c>
      <c r="AH157" s="9">
        <v>79.068600000000004</v>
      </c>
      <c r="AI157" s="9">
        <v>280.56599999999997</v>
      </c>
      <c r="AJ157" s="9">
        <v>10.202399999999999</v>
      </c>
      <c r="AK157" s="9">
        <v>5.1011999999999995</v>
      </c>
      <c r="AL157" s="9">
        <v>30.607199999999999</v>
      </c>
      <c r="AM157" s="9">
        <v>7.6517999999999997</v>
      </c>
      <c r="AN157" s="9">
        <v>38.259</v>
      </c>
      <c r="AO157" s="9">
        <v>76.518000000000001</v>
      </c>
      <c r="AP157" s="9">
        <v>510.11999999999989</v>
      </c>
      <c r="AQ157" s="25">
        <v>1.9E-3</v>
      </c>
      <c r="AR157" s="9">
        <f t="shared" si="63"/>
        <v>0.96922799999999976</v>
      </c>
      <c r="AS157" s="25">
        <v>9.5999999999999992E-3</v>
      </c>
      <c r="AT157" s="9">
        <f t="shared" si="64"/>
        <v>4.8971519999999984</v>
      </c>
      <c r="AU157" s="9">
        <v>2040.4800000000005</v>
      </c>
      <c r="AV157" s="25">
        <v>2.0999999999999999E-3</v>
      </c>
      <c r="AW157" s="9">
        <f t="shared" si="65"/>
        <v>4.2850080000000004</v>
      </c>
      <c r="AX157" s="25">
        <v>1.04E-2</v>
      </c>
      <c r="AY157" s="9">
        <f t="shared" si="66"/>
        <v>21.220992000000003</v>
      </c>
      <c r="AZ157" s="9">
        <v>1287.6812500000005</v>
      </c>
      <c r="BA157" s="25">
        <v>2.3999999999999998E-3</v>
      </c>
      <c r="BB157" s="9">
        <f t="shared" si="67"/>
        <v>3.0904350000000012</v>
      </c>
      <c r="BC157" s="25">
        <v>1.2200000000000001E-2</v>
      </c>
      <c r="BD157" s="9">
        <f t="shared" si="68"/>
        <v>15.709711250000007</v>
      </c>
      <c r="BE157" s="9">
        <v>510.11999999999989</v>
      </c>
      <c r="BF157" s="9">
        <v>1.9E-3</v>
      </c>
      <c r="BG157" s="9">
        <f t="shared" si="69"/>
        <v>0.96922799999999976</v>
      </c>
      <c r="BH157" s="9">
        <v>9.5999999999999992E-3</v>
      </c>
      <c r="BI157" s="9">
        <f t="shared" si="70"/>
        <v>4.8971519999999984</v>
      </c>
      <c r="BJ157" s="9">
        <v>2040.4800000000005</v>
      </c>
      <c r="BK157" s="9">
        <v>2.0999999999999999E-3</v>
      </c>
      <c r="BL157" s="9">
        <f t="shared" si="71"/>
        <v>4.2850080000000004</v>
      </c>
      <c r="BM157" s="9">
        <v>1.04E-2</v>
      </c>
      <c r="BN157" s="9">
        <f t="shared" si="72"/>
        <v>21.220992000000003</v>
      </c>
      <c r="BO157" s="9">
        <v>1095.2512500000003</v>
      </c>
      <c r="BP157" s="9">
        <v>2.3999999999999998E-3</v>
      </c>
      <c r="BQ157" s="9">
        <f t="shared" si="73"/>
        <v>2.6286030000000005</v>
      </c>
      <c r="BR157" s="9">
        <v>1.2200000000000001E-2</v>
      </c>
      <c r="BS157" s="9">
        <f t="shared" si="74"/>
        <v>13.362065250000004</v>
      </c>
      <c r="BT157" s="9">
        <f t="shared" si="75"/>
        <v>8.3446710000000017</v>
      </c>
      <c r="BU157" s="9">
        <f t="shared" si="76"/>
        <v>41.827855250000006</v>
      </c>
      <c r="BV157" s="9">
        <f t="shared" si="77"/>
        <v>339.92267099999998</v>
      </c>
      <c r="BW157">
        <f t="shared" si="78"/>
        <v>339.92267099999998</v>
      </c>
      <c r="BX157">
        <v>0</v>
      </c>
      <c r="BY157">
        <f t="shared" si="79"/>
        <v>1681.86365525</v>
      </c>
      <c r="BZ157">
        <v>2456.1719910000002</v>
      </c>
      <c r="CA157">
        <f t="shared" si="80"/>
        <v>4866.3178379999999</v>
      </c>
      <c r="CB157">
        <f t="shared" si="81"/>
        <v>9344.2761552499996</v>
      </c>
      <c r="CC157">
        <v>0</v>
      </c>
      <c r="CD157">
        <v>0</v>
      </c>
      <c r="CE157">
        <f t="shared" si="82"/>
        <v>0</v>
      </c>
      <c r="CF157">
        <f t="shared" si="83"/>
        <v>7662.4125000000004</v>
      </c>
      <c r="CG157">
        <f t="shared" si="84"/>
        <v>4866.3178379999999</v>
      </c>
      <c r="CH157">
        <f t="shared" si="85"/>
        <v>0</v>
      </c>
      <c r="CJ157" t="s">
        <v>278</v>
      </c>
      <c r="CL157" t="str">
        <f t="shared" si="86"/>
        <v/>
      </c>
    </row>
    <row r="158" spans="1:90" x14ac:dyDescent="0.25">
      <c r="A158" t="s">
        <v>116</v>
      </c>
      <c r="B158" t="s">
        <v>173</v>
      </c>
      <c r="C158" s="1">
        <v>46023</v>
      </c>
      <c r="D158" t="s">
        <v>174</v>
      </c>
      <c r="E158" t="s">
        <v>175</v>
      </c>
      <c r="F158" s="4">
        <v>1</v>
      </c>
      <c r="G158" s="4">
        <v>0.25</v>
      </c>
      <c r="H158" s="9">
        <v>5898.5249999999996</v>
      </c>
      <c r="I158" s="9">
        <v>783.51</v>
      </c>
      <c r="J158" s="9">
        <f t="shared" si="58"/>
        <v>6682.0349999999999</v>
      </c>
      <c r="K158" s="9">
        <v>0</v>
      </c>
      <c r="L158" s="9">
        <f t="shared" si="59"/>
        <v>0</v>
      </c>
      <c r="M158">
        <v>0</v>
      </c>
      <c r="N158" s="4">
        <f t="shared" si="60"/>
        <v>0</v>
      </c>
      <c r="O158" s="9">
        <v>4646.1499999999996</v>
      </c>
      <c r="P158" s="9">
        <v>1179.7049999999999</v>
      </c>
      <c r="Q158" s="9">
        <v>41.29</v>
      </c>
      <c r="R158" s="9">
        <v>31.38</v>
      </c>
      <c r="S158" s="9">
        <v>0</v>
      </c>
      <c r="T158" s="9">
        <v>0</v>
      </c>
      <c r="U158" s="9">
        <v>0</v>
      </c>
      <c r="V158" s="9">
        <v>0</v>
      </c>
      <c r="W158" s="9">
        <f t="shared" si="61"/>
        <v>5898.5249999999996</v>
      </c>
      <c r="X158" s="9">
        <v>783.51</v>
      </c>
      <c r="Y158" s="9">
        <v>0</v>
      </c>
      <c r="Z158" s="9">
        <v>6682.0349999999999</v>
      </c>
      <c r="AA158" s="9">
        <v>0</v>
      </c>
      <c r="AB158" s="9">
        <f t="shared" si="62"/>
        <v>6682.0349999999999</v>
      </c>
      <c r="AC158" s="9">
        <v>5101.2</v>
      </c>
      <c r="AD158" s="9">
        <v>0</v>
      </c>
      <c r="AE158" s="9">
        <v>5857.2349999999997</v>
      </c>
      <c r="AF158" s="9">
        <v>239.75639999999999</v>
      </c>
      <c r="AG158" s="9">
        <v>1203.8832</v>
      </c>
      <c r="AH158" s="9">
        <v>79.068600000000004</v>
      </c>
      <c r="AI158" s="9">
        <v>280.56599999999997</v>
      </c>
      <c r="AJ158" s="9">
        <v>10.202399999999999</v>
      </c>
      <c r="AK158" s="9">
        <v>5.1011999999999995</v>
      </c>
      <c r="AL158" s="9">
        <v>30.607199999999999</v>
      </c>
      <c r="AM158" s="9">
        <v>7.6517999999999997</v>
      </c>
      <c r="AN158" s="9">
        <v>38.259</v>
      </c>
      <c r="AO158" s="9">
        <v>76.518000000000001</v>
      </c>
      <c r="AP158" s="9">
        <v>510.11999999999989</v>
      </c>
      <c r="AQ158" s="25">
        <v>1.9E-3</v>
      </c>
      <c r="AR158" s="9">
        <f t="shared" si="63"/>
        <v>0.96922799999999976</v>
      </c>
      <c r="AS158" s="25">
        <v>9.5999999999999992E-3</v>
      </c>
      <c r="AT158" s="9">
        <f t="shared" si="64"/>
        <v>4.8971519999999984</v>
      </c>
      <c r="AU158" s="9">
        <v>1070.7150000000001</v>
      </c>
      <c r="AV158" s="25">
        <v>2.0999999999999999E-3</v>
      </c>
      <c r="AW158" s="9">
        <f t="shared" si="65"/>
        <v>2.2485015000000002</v>
      </c>
      <c r="AX158" s="25">
        <v>1.04E-2</v>
      </c>
      <c r="AY158" s="9">
        <f t="shared" si="66"/>
        <v>11.135436</v>
      </c>
      <c r="AZ158" s="9">
        <v>0</v>
      </c>
      <c r="BA158" s="25">
        <v>0</v>
      </c>
      <c r="BB158" s="9">
        <f t="shared" si="67"/>
        <v>0</v>
      </c>
      <c r="BC158" s="25">
        <v>0</v>
      </c>
      <c r="BD158" s="9">
        <f t="shared" si="68"/>
        <v>0</v>
      </c>
      <c r="BE158" s="9">
        <v>510.11999999999989</v>
      </c>
      <c r="BF158" s="9">
        <v>1.9E-3</v>
      </c>
      <c r="BG158" s="9">
        <f t="shared" si="69"/>
        <v>0.96922799999999976</v>
      </c>
      <c r="BH158" s="9">
        <v>9.5999999999999992E-3</v>
      </c>
      <c r="BI158" s="9">
        <f t="shared" si="70"/>
        <v>4.8971519999999984</v>
      </c>
      <c r="BJ158" s="9">
        <v>1178.7049999999999</v>
      </c>
      <c r="BK158" s="9">
        <v>2.0999999999999999E-3</v>
      </c>
      <c r="BL158" s="9">
        <f t="shared" si="71"/>
        <v>2.4752804999999998</v>
      </c>
      <c r="BM158" s="9">
        <v>1.04E-2</v>
      </c>
      <c r="BN158" s="9">
        <f t="shared" si="72"/>
        <v>12.258531999999999</v>
      </c>
      <c r="BO158" s="9">
        <v>0</v>
      </c>
      <c r="BP158" s="9">
        <v>0</v>
      </c>
      <c r="BQ158" s="9">
        <f t="shared" si="73"/>
        <v>0</v>
      </c>
      <c r="BR158" s="9">
        <v>0</v>
      </c>
      <c r="BS158" s="9">
        <f t="shared" si="74"/>
        <v>0</v>
      </c>
      <c r="BT158" s="9">
        <f t="shared" si="75"/>
        <v>3.2177294999999999</v>
      </c>
      <c r="BU158" s="9">
        <f t="shared" si="76"/>
        <v>16.032587999999997</v>
      </c>
      <c r="BV158" s="9">
        <f t="shared" si="77"/>
        <v>334.79572949999999</v>
      </c>
      <c r="BW158">
        <f t="shared" si="78"/>
        <v>334.79572949999999</v>
      </c>
      <c r="BX158">
        <v>0</v>
      </c>
      <c r="BY158">
        <f t="shared" si="79"/>
        <v>1656.0683879999999</v>
      </c>
      <c r="BZ158">
        <v>1761.8112399999998</v>
      </c>
      <c r="CA158">
        <f t="shared" si="80"/>
        <v>3801.9180305</v>
      </c>
      <c r="CB158">
        <f t="shared" si="81"/>
        <v>7554.5933879999993</v>
      </c>
      <c r="CC158">
        <v>0</v>
      </c>
      <c r="CD158">
        <v>0</v>
      </c>
      <c r="CE158">
        <f t="shared" si="82"/>
        <v>0</v>
      </c>
      <c r="CF158">
        <f t="shared" si="83"/>
        <v>5898.5249999999996</v>
      </c>
      <c r="CG158">
        <f t="shared" si="84"/>
        <v>3801.9180305</v>
      </c>
      <c r="CH158">
        <f t="shared" si="85"/>
        <v>0</v>
      </c>
      <c r="CJ158" t="s">
        <v>278</v>
      </c>
      <c r="CL158" t="str">
        <f t="shared" si="86"/>
        <v/>
      </c>
    </row>
    <row r="159" spans="1:90" x14ac:dyDescent="0.25">
      <c r="A159" t="s">
        <v>116</v>
      </c>
      <c r="B159" t="s">
        <v>176</v>
      </c>
      <c r="C159" s="1">
        <v>46054</v>
      </c>
      <c r="D159" t="s">
        <v>174</v>
      </c>
      <c r="E159" t="s">
        <v>175</v>
      </c>
      <c r="F159" s="4">
        <v>1</v>
      </c>
      <c r="G159" s="4">
        <v>0.25</v>
      </c>
      <c r="H159" s="9">
        <v>5898.5249999999996</v>
      </c>
      <c r="I159" s="9">
        <v>783.51</v>
      </c>
      <c r="J159" s="9">
        <f t="shared" si="58"/>
        <v>6682.0349999999999</v>
      </c>
      <c r="K159" s="9">
        <v>0</v>
      </c>
      <c r="L159" s="9">
        <f t="shared" si="59"/>
        <v>0</v>
      </c>
      <c r="M159">
        <v>0</v>
      </c>
      <c r="N159" s="4">
        <f t="shared" si="60"/>
        <v>0</v>
      </c>
      <c r="O159" s="9">
        <v>4646.1499999999996</v>
      </c>
      <c r="P159" s="9">
        <v>1179.7049999999999</v>
      </c>
      <c r="Q159" s="9">
        <v>41.29</v>
      </c>
      <c r="R159" s="9">
        <v>31.38</v>
      </c>
      <c r="S159" s="9">
        <v>0</v>
      </c>
      <c r="T159" s="9">
        <v>0</v>
      </c>
      <c r="U159" s="9">
        <v>0</v>
      </c>
      <c r="V159" s="9">
        <v>0</v>
      </c>
      <c r="W159" s="9">
        <f t="shared" si="61"/>
        <v>5898.5249999999996</v>
      </c>
      <c r="X159" s="9">
        <v>783.51</v>
      </c>
      <c r="Y159" s="9">
        <v>0</v>
      </c>
      <c r="Z159" s="9">
        <v>6682.0349999999999</v>
      </c>
      <c r="AA159" s="9">
        <v>0</v>
      </c>
      <c r="AB159" s="9">
        <f t="shared" si="62"/>
        <v>6682.0349999999999</v>
      </c>
      <c r="AC159" s="9">
        <v>5101.2</v>
      </c>
      <c r="AD159" s="9">
        <v>0</v>
      </c>
      <c r="AE159" s="9">
        <v>5857.2349999999997</v>
      </c>
      <c r="AF159" s="9">
        <v>239.75639999999999</v>
      </c>
      <c r="AG159" s="9">
        <v>1203.8832</v>
      </c>
      <c r="AH159" s="9">
        <v>79.068600000000004</v>
      </c>
      <c r="AI159" s="9">
        <v>280.56599999999997</v>
      </c>
      <c r="AJ159" s="9">
        <v>10.202399999999999</v>
      </c>
      <c r="AK159" s="9">
        <v>5.1011999999999995</v>
      </c>
      <c r="AL159" s="9">
        <v>30.607199999999999</v>
      </c>
      <c r="AM159" s="9">
        <v>7.6517999999999997</v>
      </c>
      <c r="AN159" s="9">
        <v>38.259</v>
      </c>
      <c r="AO159" s="9">
        <v>76.518000000000001</v>
      </c>
      <c r="AP159" s="9">
        <v>510.11999999999989</v>
      </c>
      <c r="AQ159" s="25">
        <v>1.9E-3</v>
      </c>
      <c r="AR159" s="9">
        <f t="shared" si="63"/>
        <v>0.96922799999999976</v>
      </c>
      <c r="AS159" s="25">
        <v>9.5999999999999992E-3</v>
      </c>
      <c r="AT159" s="9">
        <f t="shared" si="64"/>
        <v>4.8971519999999984</v>
      </c>
      <c r="AU159" s="9">
        <v>1070.7150000000001</v>
      </c>
      <c r="AV159" s="25">
        <v>2.0999999999999999E-3</v>
      </c>
      <c r="AW159" s="9">
        <f t="shared" si="65"/>
        <v>2.2485015000000002</v>
      </c>
      <c r="AX159" s="25">
        <v>1.04E-2</v>
      </c>
      <c r="AY159" s="9">
        <f t="shared" si="66"/>
        <v>11.135436</v>
      </c>
      <c r="AZ159" s="9">
        <v>0</v>
      </c>
      <c r="BA159" s="25">
        <v>0</v>
      </c>
      <c r="BB159" s="9">
        <f t="shared" si="67"/>
        <v>0</v>
      </c>
      <c r="BC159" s="25">
        <v>0</v>
      </c>
      <c r="BD159" s="9">
        <f t="shared" si="68"/>
        <v>0</v>
      </c>
      <c r="BE159" s="9">
        <v>510.11999999999989</v>
      </c>
      <c r="BF159" s="9">
        <v>1.9E-3</v>
      </c>
      <c r="BG159" s="9">
        <f t="shared" si="69"/>
        <v>0.96922799999999976</v>
      </c>
      <c r="BH159" s="9">
        <v>9.5999999999999992E-3</v>
      </c>
      <c r="BI159" s="9">
        <f t="shared" si="70"/>
        <v>4.8971519999999984</v>
      </c>
      <c r="BJ159" s="9">
        <v>1178.7049999999999</v>
      </c>
      <c r="BK159" s="9">
        <v>2.0999999999999999E-3</v>
      </c>
      <c r="BL159" s="9">
        <f t="shared" si="71"/>
        <v>2.4752804999999998</v>
      </c>
      <c r="BM159" s="9">
        <v>1.04E-2</v>
      </c>
      <c r="BN159" s="9">
        <f t="shared" si="72"/>
        <v>12.258531999999999</v>
      </c>
      <c r="BO159" s="9">
        <v>0</v>
      </c>
      <c r="BP159" s="9">
        <v>0</v>
      </c>
      <c r="BQ159" s="9">
        <f t="shared" si="73"/>
        <v>0</v>
      </c>
      <c r="BR159" s="9">
        <v>0</v>
      </c>
      <c r="BS159" s="9">
        <f t="shared" si="74"/>
        <v>0</v>
      </c>
      <c r="BT159" s="9">
        <f t="shared" si="75"/>
        <v>3.2177294999999999</v>
      </c>
      <c r="BU159" s="9">
        <f t="shared" si="76"/>
        <v>16.032587999999997</v>
      </c>
      <c r="BV159" s="9">
        <f t="shared" si="77"/>
        <v>334.79572949999999</v>
      </c>
      <c r="BW159">
        <f t="shared" si="78"/>
        <v>334.79572949999999</v>
      </c>
      <c r="BX159">
        <v>0</v>
      </c>
      <c r="BY159">
        <f t="shared" si="79"/>
        <v>1656.0683879999999</v>
      </c>
      <c r="BZ159">
        <v>1761.8112399999998</v>
      </c>
      <c r="CA159">
        <f t="shared" si="80"/>
        <v>3801.9180305</v>
      </c>
      <c r="CB159">
        <f t="shared" si="81"/>
        <v>7554.5933879999993</v>
      </c>
      <c r="CC159">
        <v>0</v>
      </c>
      <c r="CD159">
        <v>0</v>
      </c>
      <c r="CE159">
        <f t="shared" si="82"/>
        <v>0</v>
      </c>
      <c r="CF159">
        <f t="shared" si="83"/>
        <v>5898.5249999999996</v>
      </c>
      <c r="CG159">
        <f t="shared" si="84"/>
        <v>3801.9180305</v>
      </c>
      <c r="CH159">
        <f t="shared" si="85"/>
        <v>0</v>
      </c>
      <c r="CJ159" t="s">
        <v>278</v>
      </c>
      <c r="CL159" t="str">
        <f t="shared" si="86"/>
        <v/>
      </c>
    </row>
    <row r="160" spans="1:90" x14ac:dyDescent="0.25">
      <c r="A160" t="s">
        <v>116</v>
      </c>
      <c r="B160" t="s">
        <v>177</v>
      </c>
      <c r="C160" s="1">
        <v>46082</v>
      </c>
      <c r="D160" t="s">
        <v>174</v>
      </c>
      <c r="E160" t="s">
        <v>175</v>
      </c>
      <c r="F160" s="4">
        <v>1</v>
      </c>
      <c r="G160" s="4">
        <v>0.25</v>
      </c>
      <c r="H160" s="9">
        <v>5898.5249999999996</v>
      </c>
      <c r="I160" s="9">
        <v>783.51</v>
      </c>
      <c r="J160" s="9">
        <f t="shared" si="58"/>
        <v>6682.0349999999999</v>
      </c>
      <c r="K160" s="9">
        <v>0</v>
      </c>
      <c r="L160" s="9">
        <f t="shared" si="59"/>
        <v>0</v>
      </c>
      <c r="M160">
        <v>0</v>
      </c>
      <c r="N160" s="4">
        <f t="shared" si="60"/>
        <v>0</v>
      </c>
      <c r="O160" s="9">
        <v>4646.1499999999996</v>
      </c>
      <c r="P160" s="9">
        <v>1179.7049999999999</v>
      </c>
      <c r="Q160" s="9">
        <v>41.29</v>
      </c>
      <c r="R160" s="9">
        <v>31.38</v>
      </c>
      <c r="S160" s="9">
        <v>0</v>
      </c>
      <c r="T160" s="9">
        <v>0</v>
      </c>
      <c r="U160" s="9">
        <v>0</v>
      </c>
      <c r="V160" s="9">
        <v>0</v>
      </c>
      <c r="W160" s="9">
        <f t="shared" si="61"/>
        <v>5898.5249999999996</v>
      </c>
      <c r="X160" s="9">
        <v>783.51</v>
      </c>
      <c r="Y160" s="9">
        <v>0</v>
      </c>
      <c r="Z160" s="9">
        <v>6682.0349999999999</v>
      </c>
      <c r="AA160" s="9">
        <v>0</v>
      </c>
      <c r="AB160" s="9">
        <f t="shared" si="62"/>
        <v>6682.0349999999999</v>
      </c>
      <c r="AC160" s="9">
        <v>5101.2</v>
      </c>
      <c r="AD160" s="9">
        <v>0</v>
      </c>
      <c r="AE160" s="9">
        <v>5857.2349999999997</v>
      </c>
      <c r="AF160" s="9">
        <v>239.75639999999999</v>
      </c>
      <c r="AG160" s="9">
        <v>1203.8832</v>
      </c>
      <c r="AH160" s="9">
        <v>79.068600000000004</v>
      </c>
      <c r="AI160" s="9">
        <v>280.56599999999997</v>
      </c>
      <c r="AJ160" s="9">
        <v>10.202399999999999</v>
      </c>
      <c r="AK160" s="9">
        <v>5.1011999999999995</v>
      </c>
      <c r="AL160" s="9">
        <v>30.607199999999999</v>
      </c>
      <c r="AM160" s="9">
        <v>7.6517999999999997</v>
      </c>
      <c r="AN160" s="9">
        <v>38.259</v>
      </c>
      <c r="AO160" s="9">
        <v>76.518000000000001</v>
      </c>
      <c r="AP160" s="9">
        <v>510.11999999999989</v>
      </c>
      <c r="AQ160" s="25">
        <v>1.9E-3</v>
      </c>
      <c r="AR160" s="9">
        <f t="shared" si="63"/>
        <v>0.96922799999999976</v>
      </c>
      <c r="AS160" s="25">
        <v>9.5999999999999992E-3</v>
      </c>
      <c r="AT160" s="9">
        <f t="shared" si="64"/>
        <v>4.8971519999999984</v>
      </c>
      <c r="AU160" s="9">
        <v>1070.7150000000001</v>
      </c>
      <c r="AV160" s="25">
        <v>2.0999999999999999E-3</v>
      </c>
      <c r="AW160" s="9">
        <f t="shared" si="65"/>
        <v>2.2485015000000002</v>
      </c>
      <c r="AX160" s="25">
        <v>1.04E-2</v>
      </c>
      <c r="AY160" s="9">
        <f t="shared" si="66"/>
        <v>11.135436</v>
      </c>
      <c r="AZ160" s="9">
        <v>0</v>
      </c>
      <c r="BA160" s="25">
        <v>0</v>
      </c>
      <c r="BB160" s="9">
        <f t="shared" si="67"/>
        <v>0</v>
      </c>
      <c r="BC160" s="25">
        <v>0</v>
      </c>
      <c r="BD160" s="9">
        <f t="shared" si="68"/>
        <v>0</v>
      </c>
      <c r="BE160" s="9">
        <v>510.11999999999989</v>
      </c>
      <c r="BF160" s="9">
        <v>1.9E-3</v>
      </c>
      <c r="BG160" s="9">
        <f t="shared" si="69"/>
        <v>0.96922799999999976</v>
      </c>
      <c r="BH160" s="9">
        <v>9.5999999999999992E-3</v>
      </c>
      <c r="BI160" s="9">
        <f t="shared" si="70"/>
        <v>4.8971519999999984</v>
      </c>
      <c r="BJ160" s="9">
        <v>1178.7049999999999</v>
      </c>
      <c r="BK160" s="9">
        <v>2.0999999999999999E-3</v>
      </c>
      <c r="BL160" s="9">
        <f t="shared" si="71"/>
        <v>2.4752804999999998</v>
      </c>
      <c r="BM160" s="9">
        <v>1.04E-2</v>
      </c>
      <c r="BN160" s="9">
        <f t="shared" si="72"/>
        <v>12.258531999999999</v>
      </c>
      <c r="BO160" s="9">
        <v>0</v>
      </c>
      <c r="BP160" s="9">
        <v>0</v>
      </c>
      <c r="BQ160" s="9">
        <f t="shared" si="73"/>
        <v>0</v>
      </c>
      <c r="BR160" s="9">
        <v>0</v>
      </c>
      <c r="BS160" s="9">
        <f t="shared" si="74"/>
        <v>0</v>
      </c>
      <c r="BT160" s="9">
        <f t="shared" si="75"/>
        <v>3.2177294999999999</v>
      </c>
      <c r="BU160" s="9">
        <f t="shared" si="76"/>
        <v>16.032587999999997</v>
      </c>
      <c r="BV160" s="9">
        <f t="shared" si="77"/>
        <v>334.79572949999999</v>
      </c>
      <c r="BW160">
        <f t="shared" si="78"/>
        <v>334.79572949999999</v>
      </c>
      <c r="BX160">
        <v>0</v>
      </c>
      <c r="BY160">
        <f t="shared" si="79"/>
        <v>1656.0683879999999</v>
      </c>
      <c r="BZ160">
        <v>1761.8112399999998</v>
      </c>
      <c r="CA160">
        <f t="shared" si="80"/>
        <v>3801.9180305</v>
      </c>
      <c r="CB160">
        <f t="shared" si="81"/>
        <v>7554.5933879999993</v>
      </c>
      <c r="CC160">
        <v>0</v>
      </c>
      <c r="CD160">
        <v>0</v>
      </c>
      <c r="CE160">
        <f t="shared" si="82"/>
        <v>0</v>
      </c>
      <c r="CF160">
        <f t="shared" si="83"/>
        <v>5898.5249999999996</v>
      </c>
      <c r="CG160">
        <f t="shared" si="84"/>
        <v>3801.9180305</v>
      </c>
      <c r="CH160">
        <f t="shared" si="85"/>
        <v>0</v>
      </c>
      <c r="CJ160" t="s">
        <v>278</v>
      </c>
      <c r="CL160" t="str">
        <f t="shared" si="86"/>
        <v/>
      </c>
    </row>
    <row r="161" spans="1:90" x14ac:dyDescent="0.25">
      <c r="A161" t="s">
        <v>116</v>
      </c>
      <c r="B161" t="s">
        <v>178</v>
      </c>
      <c r="C161" s="1">
        <v>46113</v>
      </c>
      <c r="D161" t="s">
        <v>174</v>
      </c>
      <c r="E161" t="s">
        <v>175</v>
      </c>
      <c r="F161" s="4">
        <v>1</v>
      </c>
      <c r="G161" s="4">
        <v>0.25</v>
      </c>
      <c r="H161" s="9">
        <v>5898.5249999999996</v>
      </c>
      <c r="I161" s="9">
        <v>783.51</v>
      </c>
      <c r="J161" s="9">
        <f t="shared" si="58"/>
        <v>6682.0349999999999</v>
      </c>
      <c r="K161" s="9">
        <v>0</v>
      </c>
      <c r="L161" s="9">
        <f t="shared" si="59"/>
        <v>0</v>
      </c>
      <c r="M161">
        <v>0</v>
      </c>
      <c r="N161" s="4">
        <f t="shared" si="60"/>
        <v>0</v>
      </c>
      <c r="O161" s="9">
        <v>4646.1499999999996</v>
      </c>
      <c r="P161" s="9">
        <v>1179.7049999999999</v>
      </c>
      <c r="Q161" s="9">
        <v>41.29</v>
      </c>
      <c r="R161" s="9">
        <v>31.38</v>
      </c>
      <c r="S161" s="9">
        <v>0</v>
      </c>
      <c r="T161" s="9">
        <v>0</v>
      </c>
      <c r="U161" s="9">
        <v>0</v>
      </c>
      <c r="V161" s="9">
        <v>0</v>
      </c>
      <c r="W161" s="9">
        <f t="shared" si="61"/>
        <v>5898.5249999999996</v>
      </c>
      <c r="X161" s="9">
        <v>783.51</v>
      </c>
      <c r="Y161" s="9">
        <v>0</v>
      </c>
      <c r="Z161" s="9">
        <v>6682.0349999999999</v>
      </c>
      <c r="AA161" s="9">
        <v>0</v>
      </c>
      <c r="AB161" s="9">
        <f t="shared" si="62"/>
        <v>6682.0349999999999</v>
      </c>
      <c r="AC161" s="9">
        <v>5101.2</v>
      </c>
      <c r="AD161" s="9">
        <v>0</v>
      </c>
      <c r="AE161" s="9">
        <v>5857.2349999999997</v>
      </c>
      <c r="AF161" s="9">
        <v>239.75639999999999</v>
      </c>
      <c r="AG161" s="9">
        <v>1203.8832</v>
      </c>
      <c r="AH161" s="9">
        <v>79.068600000000004</v>
      </c>
      <c r="AI161" s="9">
        <v>280.56599999999997</v>
      </c>
      <c r="AJ161" s="9">
        <v>10.202399999999999</v>
      </c>
      <c r="AK161" s="9">
        <v>5.1011999999999995</v>
      </c>
      <c r="AL161" s="9">
        <v>30.607199999999999</v>
      </c>
      <c r="AM161" s="9">
        <v>7.6517999999999997</v>
      </c>
      <c r="AN161" s="9">
        <v>38.259</v>
      </c>
      <c r="AO161" s="9">
        <v>76.518000000000001</v>
      </c>
      <c r="AP161" s="9">
        <v>510.11999999999989</v>
      </c>
      <c r="AQ161" s="25">
        <v>1.9E-3</v>
      </c>
      <c r="AR161" s="9">
        <f t="shared" si="63"/>
        <v>0.96922799999999976</v>
      </c>
      <c r="AS161" s="25">
        <v>9.5999999999999992E-3</v>
      </c>
      <c r="AT161" s="9">
        <f t="shared" si="64"/>
        <v>4.8971519999999984</v>
      </c>
      <c r="AU161" s="9">
        <v>1070.7150000000001</v>
      </c>
      <c r="AV161" s="25">
        <v>2.0999999999999999E-3</v>
      </c>
      <c r="AW161" s="9">
        <f t="shared" si="65"/>
        <v>2.2485015000000002</v>
      </c>
      <c r="AX161" s="25">
        <v>1.04E-2</v>
      </c>
      <c r="AY161" s="9">
        <f t="shared" si="66"/>
        <v>11.135436</v>
      </c>
      <c r="AZ161" s="9">
        <v>0</v>
      </c>
      <c r="BA161" s="25">
        <v>0</v>
      </c>
      <c r="BB161" s="9">
        <f t="shared" si="67"/>
        <v>0</v>
      </c>
      <c r="BC161" s="25">
        <v>0</v>
      </c>
      <c r="BD161" s="9">
        <f t="shared" si="68"/>
        <v>0</v>
      </c>
      <c r="BE161" s="9">
        <v>510.11999999999989</v>
      </c>
      <c r="BF161" s="9">
        <v>1.9E-3</v>
      </c>
      <c r="BG161" s="9">
        <f t="shared" si="69"/>
        <v>0.96922799999999976</v>
      </c>
      <c r="BH161" s="9">
        <v>9.5999999999999992E-3</v>
      </c>
      <c r="BI161" s="9">
        <f t="shared" si="70"/>
        <v>4.8971519999999984</v>
      </c>
      <c r="BJ161" s="9">
        <v>1178.7049999999999</v>
      </c>
      <c r="BK161" s="9">
        <v>2.0999999999999999E-3</v>
      </c>
      <c r="BL161" s="9">
        <f t="shared" si="71"/>
        <v>2.4752804999999998</v>
      </c>
      <c r="BM161" s="9">
        <v>1.04E-2</v>
      </c>
      <c r="BN161" s="9">
        <f t="shared" si="72"/>
        <v>12.258531999999999</v>
      </c>
      <c r="BO161" s="9">
        <v>0</v>
      </c>
      <c r="BP161" s="9">
        <v>0</v>
      </c>
      <c r="BQ161" s="9">
        <f t="shared" si="73"/>
        <v>0</v>
      </c>
      <c r="BR161" s="9">
        <v>0</v>
      </c>
      <c r="BS161" s="9">
        <f t="shared" si="74"/>
        <v>0</v>
      </c>
      <c r="BT161" s="9">
        <f t="shared" si="75"/>
        <v>3.2177294999999999</v>
      </c>
      <c r="BU161" s="9">
        <f t="shared" si="76"/>
        <v>16.032587999999997</v>
      </c>
      <c r="BV161" s="9">
        <f t="shared" si="77"/>
        <v>334.79572949999999</v>
      </c>
      <c r="BW161">
        <f t="shared" si="78"/>
        <v>334.79572949999999</v>
      </c>
      <c r="BX161">
        <v>0</v>
      </c>
      <c r="BY161">
        <f t="shared" si="79"/>
        <v>1656.0683879999999</v>
      </c>
      <c r="BZ161">
        <v>1761.8112399999998</v>
      </c>
      <c r="CA161">
        <f t="shared" si="80"/>
        <v>3801.9180305</v>
      </c>
      <c r="CB161">
        <f t="shared" si="81"/>
        <v>7554.5933879999993</v>
      </c>
      <c r="CC161">
        <v>0</v>
      </c>
      <c r="CD161">
        <v>0</v>
      </c>
      <c r="CE161">
        <f t="shared" si="82"/>
        <v>0</v>
      </c>
      <c r="CF161">
        <f t="shared" si="83"/>
        <v>5898.5249999999996</v>
      </c>
      <c r="CG161">
        <f t="shared" si="84"/>
        <v>3801.9180305</v>
      </c>
      <c r="CH161">
        <f t="shared" si="85"/>
        <v>0</v>
      </c>
      <c r="CJ161" t="s">
        <v>278</v>
      </c>
      <c r="CL161" t="str">
        <f t="shared" si="86"/>
        <v/>
      </c>
    </row>
    <row r="162" spans="1:90" x14ac:dyDescent="0.25">
      <c r="A162" t="s">
        <v>116</v>
      </c>
      <c r="B162" t="s">
        <v>179</v>
      </c>
      <c r="C162" s="1">
        <v>46143</v>
      </c>
      <c r="D162" t="s">
        <v>174</v>
      </c>
      <c r="E162" t="s">
        <v>175</v>
      </c>
      <c r="F162" s="4">
        <v>1</v>
      </c>
      <c r="G162" s="4">
        <v>0.25</v>
      </c>
      <c r="H162" s="9">
        <v>5898.5249999999996</v>
      </c>
      <c r="I162" s="9">
        <v>783.51</v>
      </c>
      <c r="J162" s="9">
        <f t="shared" si="58"/>
        <v>6682.0349999999999</v>
      </c>
      <c r="K162" s="9">
        <v>0</v>
      </c>
      <c r="L162" s="9">
        <f t="shared" si="59"/>
        <v>0</v>
      </c>
      <c r="M162">
        <v>0</v>
      </c>
      <c r="N162" s="4">
        <f t="shared" si="60"/>
        <v>0</v>
      </c>
      <c r="O162" s="9">
        <v>4646.1499999999996</v>
      </c>
      <c r="P162" s="9">
        <v>1179.7049999999999</v>
      </c>
      <c r="Q162" s="9">
        <v>41.29</v>
      </c>
      <c r="R162" s="9">
        <v>31.38</v>
      </c>
      <c r="S162" s="9">
        <v>0</v>
      </c>
      <c r="T162" s="9">
        <v>0</v>
      </c>
      <c r="U162" s="9">
        <v>0</v>
      </c>
      <c r="V162" s="9">
        <v>0</v>
      </c>
      <c r="W162" s="9">
        <f t="shared" si="61"/>
        <v>5898.5249999999996</v>
      </c>
      <c r="X162" s="9">
        <v>783.51</v>
      </c>
      <c r="Y162" s="9">
        <v>0</v>
      </c>
      <c r="Z162" s="9">
        <v>6682.0349999999999</v>
      </c>
      <c r="AA162" s="9">
        <v>0</v>
      </c>
      <c r="AB162" s="9">
        <f t="shared" si="62"/>
        <v>6682.0349999999999</v>
      </c>
      <c r="AC162" s="9">
        <v>5101.2</v>
      </c>
      <c r="AD162" s="9">
        <v>0</v>
      </c>
      <c r="AE162" s="9">
        <v>5857.2349999999997</v>
      </c>
      <c r="AF162" s="9">
        <v>239.75639999999999</v>
      </c>
      <c r="AG162" s="9">
        <v>1203.8832</v>
      </c>
      <c r="AH162" s="9">
        <v>79.068600000000004</v>
      </c>
      <c r="AI162" s="9">
        <v>280.56599999999997</v>
      </c>
      <c r="AJ162" s="9">
        <v>10.202399999999999</v>
      </c>
      <c r="AK162" s="9">
        <v>5.1011999999999995</v>
      </c>
      <c r="AL162" s="9">
        <v>30.607199999999999</v>
      </c>
      <c r="AM162" s="9">
        <v>7.6517999999999997</v>
      </c>
      <c r="AN162" s="9">
        <v>38.259</v>
      </c>
      <c r="AO162" s="9">
        <v>76.518000000000001</v>
      </c>
      <c r="AP162" s="9">
        <v>510.11999999999989</v>
      </c>
      <c r="AQ162" s="25">
        <v>1.9E-3</v>
      </c>
      <c r="AR162" s="9">
        <f t="shared" si="63"/>
        <v>0.96922799999999976</v>
      </c>
      <c r="AS162" s="25">
        <v>9.5999999999999992E-3</v>
      </c>
      <c r="AT162" s="9">
        <f t="shared" si="64"/>
        <v>4.8971519999999984</v>
      </c>
      <c r="AU162" s="9">
        <v>1070.7150000000001</v>
      </c>
      <c r="AV162" s="25">
        <v>2.0999999999999999E-3</v>
      </c>
      <c r="AW162" s="9">
        <f t="shared" si="65"/>
        <v>2.2485015000000002</v>
      </c>
      <c r="AX162" s="25">
        <v>1.04E-2</v>
      </c>
      <c r="AY162" s="9">
        <f t="shared" si="66"/>
        <v>11.135436</v>
      </c>
      <c r="AZ162" s="9">
        <v>0</v>
      </c>
      <c r="BA162" s="25">
        <v>0</v>
      </c>
      <c r="BB162" s="9">
        <f t="shared" si="67"/>
        <v>0</v>
      </c>
      <c r="BC162" s="25">
        <v>0</v>
      </c>
      <c r="BD162" s="9">
        <f t="shared" si="68"/>
        <v>0</v>
      </c>
      <c r="BE162" s="9">
        <v>510.11999999999989</v>
      </c>
      <c r="BF162" s="9">
        <v>1.9E-3</v>
      </c>
      <c r="BG162" s="9">
        <f t="shared" si="69"/>
        <v>0.96922799999999976</v>
      </c>
      <c r="BH162" s="9">
        <v>9.5999999999999992E-3</v>
      </c>
      <c r="BI162" s="9">
        <f t="shared" si="70"/>
        <v>4.8971519999999984</v>
      </c>
      <c r="BJ162" s="9">
        <v>1178.7049999999999</v>
      </c>
      <c r="BK162" s="9">
        <v>2.0999999999999999E-3</v>
      </c>
      <c r="BL162" s="9">
        <f t="shared" si="71"/>
        <v>2.4752804999999998</v>
      </c>
      <c r="BM162" s="9">
        <v>1.04E-2</v>
      </c>
      <c r="BN162" s="9">
        <f t="shared" si="72"/>
        <v>12.258531999999999</v>
      </c>
      <c r="BO162" s="9">
        <v>0</v>
      </c>
      <c r="BP162" s="9">
        <v>0</v>
      </c>
      <c r="BQ162" s="9">
        <f t="shared" si="73"/>
        <v>0</v>
      </c>
      <c r="BR162" s="9">
        <v>0</v>
      </c>
      <c r="BS162" s="9">
        <f t="shared" si="74"/>
        <v>0</v>
      </c>
      <c r="BT162" s="9">
        <f t="shared" si="75"/>
        <v>3.2177294999999999</v>
      </c>
      <c r="BU162" s="9">
        <f t="shared" si="76"/>
        <v>16.032587999999997</v>
      </c>
      <c r="BV162" s="9">
        <f t="shared" si="77"/>
        <v>334.79572949999999</v>
      </c>
      <c r="BW162">
        <f t="shared" si="78"/>
        <v>334.79572949999999</v>
      </c>
      <c r="BX162">
        <v>0</v>
      </c>
      <c r="BY162">
        <f t="shared" si="79"/>
        <v>1656.0683879999999</v>
      </c>
      <c r="BZ162">
        <v>1761.8112399999998</v>
      </c>
      <c r="CA162">
        <f t="shared" si="80"/>
        <v>3801.9180305</v>
      </c>
      <c r="CB162">
        <f t="shared" si="81"/>
        <v>7554.5933879999993</v>
      </c>
      <c r="CC162">
        <v>0</v>
      </c>
      <c r="CD162">
        <v>0</v>
      </c>
      <c r="CE162">
        <f t="shared" si="82"/>
        <v>0</v>
      </c>
      <c r="CF162">
        <f t="shared" si="83"/>
        <v>5898.5249999999996</v>
      </c>
      <c r="CG162">
        <f t="shared" si="84"/>
        <v>3801.9180305</v>
      </c>
      <c r="CH162">
        <f t="shared" si="85"/>
        <v>0</v>
      </c>
      <c r="CJ162" t="s">
        <v>278</v>
      </c>
      <c r="CL162" t="str">
        <f t="shared" si="86"/>
        <v/>
      </c>
    </row>
    <row r="163" spans="1:90" x14ac:dyDescent="0.25">
      <c r="A163" t="s">
        <v>116</v>
      </c>
      <c r="B163" t="s">
        <v>180</v>
      </c>
      <c r="C163" s="1">
        <v>46174</v>
      </c>
      <c r="D163" t="s">
        <v>174</v>
      </c>
      <c r="E163" t="s">
        <v>175</v>
      </c>
      <c r="F163" s="4">
        <v>1</v>
      </c>
      <c r="G163" s="4">
        <v>0.25</v>
      </c>
      <c r="H163" s="9">
        <v>5898.5249999999996</v>
      </c>
      <c r="I163" s="9">
        <v>783.51</v>
      </c>
      <c r="J163" s="9">
        <f t="shared" si="58"/>
        <v>6682.0349999999999</v>
      </c>
      <c r="K163" s="9">
        <v>0</v>
      </c>
      <c r="L163" s="9">
        <f t="shared" si="59"/>
        <v>0</v>
      </c>
      <c r="M163">
        <v>0</v>
      </c>
      <c r="N163" s="4">
        <f t="shared" si="60"/>
        <v>0</v>
      </c>
      <c r="O163" s="9">
        <v>4646.1499999999996</v>
      </c>
      <c r="P163" s="9">
        <v>1179.7049999999999</v>
      </c>
      <c r="Q163" s="9">
        <v>41.29</v>
      </c>
      <c r="R163" s="9">
        <v>31.38</v>
      </c>
      <c r="S163" s="9">
        <v>0</v>
      </c>
      <c r="T163" s="9">
        <v>0</v>
      </c>
      <c r="U163" s="9">
        <v>0</v>
      </c>
      <c r="V163" s="9">
        <v>0</v>
      </c>
      <c r="W163" s="9">
        <f t="shared" si="61"/>
        <v>5898.5249999999996</v>
      </c>
      <c r="X163" s="9">
        <v>783.51</v>
      </c>
      <c r="Y163" s="9">
        <v>0</v>
      </c>
      <c r="Z163" s="9">
        <v>6682.0349999999999</v>
      </c>
      <c r="AA163" s="9">
        <v>0</v>
      </c>
      <c r="AB163" s="9">
        <f t="shared" si="62"/>
        <v>6682.0349999999999</v>
      </c>
      <c r="AC163" s="9">
        <v>5101.2</v>
      </c>
      <c r="AD163" s="9">
        <v>0</v>
      </c>
      <c r="AE163" s="9">
        <v>5857.2349999999997</v>
      </c>
      <c r="AF163" s="9">
        <v>239.75639999999999</v>
      </c>
      <c r="AG163" s="9">
        <v>1203.8832</v>
      </c>
      <c r="AH163" s="9">
        <v>79.068600000000004</v>
      </c>
      <c r="AI163" s="9">
        <v>280.56599999999997</v>
      </c>
      <c r="AJ163" s="9">
        <v>10.202399999999999</v>
      </c>
      <c r="AK163" s="9">
        <v>5.1011999999999995</v>
      </c>
      <c r="AL163" s="9">
        <v>30.607199999999999</v>
      </c>
      <c r="AM163" s="9">
        <v>7.6517999999999997</v>
      </c>
      <c r="AN163" s="9">
        <v>38.259</v>
      </c>
      <c r="AO163" s="9">
        <v>76.518000000000001</v>
      </c>
      <c r="AP163" s="9">
        <v>510.11999999999989</v>
      </c>
      <c r="AQ163" s="25">
        <v>1.9E-3</v>
      </c>
      <c r="AR163" s="9">
        <f t="shared" si="63"/>
        <v>0.96922799999999976</v>
      </c>
      <c r="AS163" s="25">
        <v>9.5999999999999992E-3</v>
      </c>
      <c r="AT163" s="9">
        <f t="shared" si="64"/>
        <v>4.8971519999999984</v>
      </c>
      <c r="AU163" s="9">
        <v>1070.7150000000001</v>
      </c>
      <c r="AV163" s="25">
        <v>2.0999999999999999E-3</v>
      </c>
      <c r="AW163" s="9">
        <f t="shared" si="65"/>
        <v>2.2485015000000002</v>
      </c>
      <c r="AX163" s="25">
        <v>1.04E-2</v>
      </c>
      <c r="AY163" s="9">
        <f t="shared" si="66"/>
        <v>11.135436</v>
      </c>
      <c r="AZ163" s="9">
        <v>0</v>
      </c>
      <c r="BA163" s="25">
        <v>0</v>
      </c>
      <c r="BB163" s="9">
        <f t="shared" si="67"/>
        <v>0</v>
      </c>
      <c r="BC163" s="25">
        <v>0</v>
      </c>
      <c r="BD163" s="9">
        <f t="shared" si="68"/>
        <v>0</v>
      </c>
      <c r="BE163" s="9">
        <v>510.11999999999989</v>
      </c>
      <c r="BF163" s="9">
        <v>1.9E-3</v>
      </c>
      <c r="BG163" s="9">
        <f t="shared" si="69"/>
        <v>0.96922799999999976</v>
      </c>
      <c r="BH163" s="9">
        <v>9.5999999999999992E-3</v>
      </c>
      <c r="BI163" s="9">
        <f t="shared" si="70"/>
        <v>4.8971519999999984</v>
      </c>
      <c r="BJ163" s="9">
        <v>1178.7049999999999</v>
      </c>
      <c r="BK163" s="9">
        <v>2.0999999999999999E-3</v>
      </c>
      <c r="BL163" s="9">
        <f t="shared" si="71"/>
        <v>2.4752804999999998</v>
      </c>
      <c r="BM163" s="9">
        <v>1.04E-2</v>
      </c>
      <c r="BN163" s="9">
        <f t="shared" si="72"/>
        <v>12.258531999999999</v>
      </c>
      <c r="BO163" s="9">
        <v>0</v>
      </c>
      <c r="BP163" s="9">
        <v>0</v>
      </c>
      <c r="BQ163" s="9">
        <f t="shared" si="73"/>
        <v>0</v>
      </c>
      <c r="BR163" s="9">
        <v>0</v>
      </c>
      <c r="BS163" s="9">
        <f t="shared" si="74"/>
        <v>0</v>
      </c>
      <c r="BT163" s="9">
        <f t="shared" si="75"/>
        <v>3.2177294999999999</v>
      </c>
      <c r="BU163" s="9">
        <f t="shared" si="76"/>
        <v>16.032587999999997</v>
      </c>
      <c r="BV163" s="9">
        <f t="shared" si="77"/>
        <v>334.79572949999999</v>
      </c>
      <c r="BW163">
        <f t="shared" si="78"/>
        <v>334.79572949999999</v>
      </c>
      <c r="BX163">
        <v>0</v>
      </c>
      <c r="BY163">
        <f t="shared" si="79"/>
        <v>1656.0683879999999</v>
      </c>
      <c r="BZ163">
        <v>1761.8112399999998</v>
      </c>
      <c r="CA163">
        <f t="shared" si="80"/>
        <v>3801.9180305</v>
      </c>
      <c r="CB163">
        <f t="shared" si="81"/>
        <v>7554.5933879999993</v>
      </c>
      <c r="CC163">
        <v>0</v>
      </c>
      <c r="CD163">
        <v>0</v>
      </c>
      <c r="CE163">
        <f t="shared" si="82"/>
        <v>0</v>
      </c>
      <c r="CF163">
        <f t="shared" si="83"/>
        <v>5898.5249999999996</v>
      </c>
      <c r="CG163">
        <f t="shared" si="84"/>
        <v>3801.9180305</v>
      </c>
      <c r="CH163">
        <f t="shared" si="85"/>
        <v>0</v>
      </c>
      <c r="CJ163" t="s">
        <v>278</v>
      </c>
      <c r="CL163" t="str">
        <f t="shared" si="86"/>
        <v/>
      </c>
    </row>
    <row r="164" spans="1:90" x14ac:dyDescent="0.25">
      <c r="A164" t="s">
        <v>116</v>
      </c>
      <c r="B164" t="s">
        <v>181</v>
      </c>
      <c r="C164" s="1">
        <v>46204</v>
      </c>
      <c r="D164" t="s">
        <v>182</v>
      </c>
      <c r="E164" t="s">
        <v>175</v>
      </c>
      <c r="F164" s="4">
        <v>1</v>
      </c>
      <c r="G164" s="4">
        <v>0.25</v>
      </c>
      <c r="H164" s="9">
        <v>5898.5249999999996</v>
      </c>
      <c r="I164" s="9">
        <v>783.51</v>
      </c>
      <c r="J164" s="9">
        <f t="shared" si="58"/>
        <v>6682.0349999999999</v>
      </c>
      <c r="K164" s="9">
        <v>0</v>
      </c>
      <c r="L164" s="9">
        <f t="shared" si="59"/>
        <v>0</v>
      </c>
      <c r="M164">
        <v>0</v>
      </c>
      <c r="N164" s="4">
        <f t="shared" si="60"/>
        <v>0</v>
      </c>
      <c r="O164" s="9">
        <v>4646.1499999999996</v>
      </c>
      <c r="P164" s="9">
        <v>1179.7049999999999</v>
      </c>
      <c r="Q164" s="9">
        <v>41.29</v>
      </c>
      <c r="R164" s="9">
        <v>31.38</v>
      </c>
      <c r="S164" s="9">
        <v>0</v>
      </c>
      <c r="T164" s="9">
        <v>0</v>
      </c>
      <c r="U164" s="9">
        <v>0</v>
      </c>
      <c r="V164" s="9">
        <v>0</v>
      </c>
      <c r="W164" s="9">
        <f t="shared" si="61"/>
        <v>5898.5249999999996</v>
      </c>
      <c r="X164" s="9">
        <v>0</v>
      </c>
      <c r="Y164" s="9">
        <v>0</v>
      </c>
      <c r="Z164" s="9">
        <v>0</v>
      </c>
      <c r="AA164" s="9">
        <v>0</v>
      </c>
      <c r="AB164" s="9">
        <f t="shared" si="62"/>
        <v>0</v>
      </c>
      <c r="AC164" s="9">
        <v>0</v>
      </c>
      <c r="AD164" s="9">
        <v>0</v>
      </c>
      <c r="AE164" s="9">
        <v>5857.2349999999997</v>
      </c>
      <c r="AF164" s="9">
        <v>0</v>
      </c>
      <c r="AG164" s="9">
        <v>0</v>
      </c>
      <c r="AH164" s="9">
        <v>0</v>
      </c>
      <c r="AI164" s="9">
        <v>0</v>
      </c>
      <c r="AJ164" s="9">
        <v>0</v>
      </c>
      <c r="AK164" s="9">
        <v>0</v>
      </c>
      <c r="AL164" s="9">
        <v>0</v>
      </c>
      <c r="AM164" s="9">
        <v>0</v>
      </c>
      <c r="AN164" s="9">
        <v>0</v>
      </c>
      <c r="AO164" s="9">
        <v>0</v>
      </c>
      <c r="AP164" s="9">
        <v>0</v>
      </c>
      <c r="AQ164" s="25">
        <v>0</v>
      </c>
      <c r="AR164" s="9">
        <f t="shared" si="63"/>
        <v>0</v>
      </c>
      <c r="AS164" s="25">
        <v>0</v>
      </c>
      <c r="AT164" s="9">
        <f t="shared" si="64"/>
        <v>0</v>
      </c>
      <c r="AU164" s="9">
        <v>0</v>
      </c>
      <c r="AV164" s="25">
        <v>0</v>
      </c>
      <c r="AW164" s="9">
        <f t="shared" si="65"/>
        <v>0</v>
      </c>
      <c r="AX164" s="25">
        <v>0</v>
      </c>
      <c r="AY164" s="9">
        <f t="shared" si="66"/>
        <v>0</v>
      </c>
      <c r="AZ164" s="9">
        <v>0</v>
      </c>
      <c r="BA164" s="25">
        <v>0</v>
      </c>
      <c r="BB164" s="9">
        <f t="shared" si="67"/>
        <v>0</v>
      </c>
      <c r="BC164" s="25">
        <v>0</v>
      </c>
      <c r="BD164" s="9">
        <f t="shared" si="68"/>
        <v>0</v>
      </c>
      <c r="BE164" s="9">
        <v>0</v>
      </c>
      <c r="BF164" s="9">
        <v>0</v>
      </c>
      <c r="BG164" s="9">
        <f t="shared" si="69"/>
        <v>0</v>
      </c>
      <c r="BH164" s="9">
        <v>0</v>
      </c>
      <c r="BI164" s="9">
        <f t="shared" si="70"/>
        <v>0</v>
      </c>
      <c r="BJ164" s="9">
        <v>0</v>
      </c>
      <c r="BK164" s="9">
        <v>0</v>
      </c>
      <c r="BL164" s="9">
        <f t="shared" si="71"/>
        <v>0</v>
      </c>
      <c r="BM164" s="9">
        <v>0</v>
      </c>
      <c r="BN164" s="9">
        <f t="shared" si="72"/>
        <v>0</v>
      </c>
      <c r="BO164" s="9">
        <v>0</v>
      </c>
      <c r="BP164" s="9">
        <v>0</v>
      </c>
      <c r="BQ164" s="9">
        <f t="shared" si="73"/>
        <v>0</v>
      </c>
      <c r="BR164" s="9">
        <v>0</v>
      </c>
      <c r="BS164" s="9">
        <f t="shared" si="74"/>
        <v>0</v>
      </c>
      <c r="BT164" s="9">
        <f t="shared" si="75"/>
        <v>0</v>
      </c>
      <c r="BU164" s="9">
        <f t="shared" si="76"/>
        <v>0</v>
      </c>
      <c r="BV164" s="9">
        <f t="shared" si="77"/>
        <v>0</v>
      </c>
      <c r="BW164">
        <f t="shared" si="78"/>
        <v>0</v>
      </c>
      <c r="BX164">
        <v>0</v>
      </c>
      <c r="BY164">
        <f t="shared" si="79"/>
        <v>0</v>
      </c>
      <c r="BZ164">
        <v>1761.8112399999998</v>
      </c>
      <c r="CA164">
        <f t="shared" si="80"/>
        <v>4136.7137599999996</v>
      </c>
      <c r="CB164">
        <f t="shared" si="81"/>
        <v>5898.5249999999996</v>
      </c>
      <c r="CC164">
        <v>0</v>
      </c>
      <c r="CD164">
        <v>0</v>
      </c>
      <c r="CE164">
        <f t="shared" si="82"/>
        <v>0</v>
      </c>
      <c r="CF164">
        <f t="shared" si="83"/>
        <v>5898.5249999999996</v>
      </c>
      <c r="CG164">
        <f t="shared" si="84"/>
        <v>4136.7137599999996</v>
      </c>
      <c r="CH164">
        <f t="shared" si="85"/>
        <v>0</v>
      </c>
      <c r="CJ164" t="s">
        <v>278</v>
      </c>
      <c r="CL164" t="str">
        <f t="shared" si="86"/>
        <v/>
      </c>
    </row>
    <row r="165" spans="1:90" x14ac:dyDescent="0.25">
      <c r="A165" t="s">
        <v>116</v>
      </c>
      <c r="B165" t="s">
        <v>183</v>
      </c>
      <c r="C165" s="1">
        <v>46204</v>
      </c>
      <c r="D165" t="s">
        <v>174</v>
      </c>
      <c r="E165" t="s">
        <v>190</v>
      </c>
      <c r="F165" s="4">
        <v>0.77500000000000002</v>
      </c>
      <c r="G165" s="4">
        <v>0.25</v>
      </c>
      <c r="H165" s="9">
        <v>5898.5249999999996</v>
      </c>
      <c r="I165" s="9">
        <v>783.51</v>
      </c>
      <c r="J165" s="9">
        <f t="shared" si="58"/>
        <v>6682.0349999999999</v>
      </c>
      <c r="K165" s="9">
        <v>170.04</v>
      </c>
      <c r="L165" s="9">
        <f t="shared" si="59"/>
        <v>5101.2</v>
      </c>
      <c r="M165">
        <v>6.75</v>
      </c>
      <c r="N165" s="4">
        <f t="shared" si="60"/>
        <v>0.22500000000000001</v>
      </c>
      <c r="O165" s="9">
        <v>3600.7662499999997</v>
      </c>
      <c r="P165" s="9">
        <v>914.27137499999992</v>
      </c>
      <c r="Q165" s="9">
        <v>41.29</v>
      </c>
      <c r="R165" s="9">
        <v>31.38</v>
      </c>
      <c r="S165" s="9">
        <v>0</v>
      </c>
      <c r="T165" s="9">
        <v>0</v>
      </c>
      <c r="U165" s="9">
        <v>0</v>
      </c>
      <c r="V165" s="9">
        <v>0</v>
      </c>
      <c r="W165" s="9">
        <v>3673.4362500000002</v>
      </c>
      <c r="X165" s="9">
        <v>605.239375</v>
      </c>
      <c r="Y165" s="9">
        <v>0</v>
      </c>
      <c r="Z165" s="9">
        <v>4278.6756249999999</v>
      </c>
      <c r="AA165" s="9">
        <v>1147.77</v>
      </c>
      <c r="AB165" s="9">
        <v>5426.4456250000003</v>
      </c>
      <c r="AC165" s="9">
        <v>3953.43</v>
      </c>
      <c r="AD165" s="9">
        <v>0</v>
      </c>
      <c r="AE165" s="9">
        <v>4546.417625</v>
      </c>
      <c r="AF165" s="9">
        <v>185.81120999999999</v>
      </c>
      <c r="AG165" s="9">
        <v>1203.8832</v>
      </c>
      <c r="AH165" s="9">
        <v>61.278164999999994</v>
      </c>
      <c r="AI165" s="9">
        <v>280.56599999999997</v>
      </c>
      <c r="AJ165" s="9">
        <v>10.202399999999999</v>
      </c>
      <c r="AK165" s="9">
        <v>3.95343</v>
      </c>
      <c r="AL165" s="9">
        <v>30.607199999999999</v>
      </c>
      <c r="AM165" s="9">
        <v>5.9301449999999996</v>
      </c>
      <c r="AN165" s="9">
        <v>38.259</v>
      </c>
      <c r="AO165" s="9">
        <v>76.518000000000001</v>
      </c>
      <c r="AP165" s="9">
        <v>0</v>
      </c>
      <c r="AQ165" s="25">
        <v>0</v>
      </c>
      <c r="AR165" s="9">
        <v>0</v>
      </c>
      <c r="AS165" s="25">
        <v>0</v>
      </c>
      <c r="AT165" s="9">
        <f t="shared" si="64"/>
        <v>0</v>
      </c>
      <c r="AU165" s="9">
        <v>0</v>
      </c>
      <c r="AV165" s="25">
        <v>0</v>
      </c>
      <c r="AW165" s="9">
        <f t="shared" si="65"/>
        <v>0</v>
      </c>
      <c r="AX165" s="25">
        <v>0</v>
      </c>
      <c r="AY165" s="9">
        <f t="shared" si="66"/>
        <v>0</v>
      </c>
      <c r="AZ165" s="9">
        <v>0</v>
      </c>
      <c r="BA165" s="25">
        <v>0</v>
      </c>
      <c r="BB165" s="9">
        <f t="shared" si="67"/>
        <v>0</v>
      </c>
      <c r="BC165" s="25">
        <v>0</v>
      </c>
      <c r="BD165" s="9">
        <f t="shared" si="68"/>
        <v>0</v>
      </c>
      <c r="BE165" s="9">
        <v>325.24562500000047</v>
      </c>
      <c r="BF165" s="9">
        <v>1.9E-3</v>
      </c>
      <c r="BG165" s="9">
        <f t="shared" si="69"/>
        <v>0.61796668750000094</v>
      </c>
      <c r="BH165" s="9">
        <v>9.5999999999999992E-3</v>
      </c>
      <c r="BI165" s="9">
        <f t="shared" si="70"/>
        <v>3.1223580000000042</v>
      </c>
      <c r="BJ165" s="9">
        <v>0</v>
      </c>
      <c r="BK165" s="9">
        <v>0</v>
      </c>
      <c r="BL165" s="9">
        <f t="shared" si="71"/>
        <v>0</v>
      </c>
      <c r="BM165" s="9">
        <v>0</v>
      </c>
      <c r="BN165" s="9">
        <f t="shared" si="72"/>
        <v>0</v>
      </c>
      <c r="BO165" s="9">
        <v>0</v>
      </c>
      <c r="BP165" s="9">
        <v>0</v>
      </c>
      <c r="BQ165" s="9">
        <f t="shared" si="73"/>
        <v>0</v>
      </c>
      <c r="BR165" s="9">
        <v>0</v>
      </c>
      <c r="BS165" s="9">
        <f t="shared" si="74"/>
        <v>0</v>
      </c>
      <c r="BT165" s="9">
        <f t="shared" si="75"/>
        <v>0</v>
      </c>
      <c r="BU165" s="9">
        <f t="shared" si="76"/>
        <v>0</v>
      </c>
      <c r="BV165" s="9">
        <f t="shared" si="77"/>
        <v>256.97294999999997</v>
      </c>
      <c r="BW165">
        <f t="shared" si="78"/>
        <v>256.97294999999997</v>
      </c>
      <c r="BX165">
        <v>0</v>
      </c>
      <c r="BY165">
        <f t="shared" si="79"/>
        <v>1640.0357999999999</v>
      </c>
      <c r="BZ165">
        <v>1761.8112399999998</v>
      </c>
      <c r="CA165">
        <f t="shared" si="80"/>
        <v>1654.6520600000006</v>
      </c>
      <c r="CB165">
        <f t="shared" si="81"/>
        <v>5313.4720500000003</v>
      </c>
      <c r="CC165">
        <v>1147.77</v>
      </c>
      <c r="CD165">
        <v>0</v>
      </c>
      <c r="CE165">
        <f t="shared" si="82"/>
        <v>1147.77</v>
      </c>
      <c r="CF165">
        <f t="shared" si="83"/>
        <v>4821.2062500000002</v>
      </c>
      <c r="CG165">
        <f t="shared" si="84"/>
        <v>2802.4220600000008</v>
      </c>
      <c r="CH165">
        <f t="shared" si="85"/>
        <v>355.68787500000002</v>
      </c>
      <c r="CJ165" t="s">
        <v>278</v>
      </c>
      <c r="CL165" t="str">
        <f t="shared" si="86"/>
        <v>OK</v>
      </c>
    </row>
    <row r="166" spans="1:90" x14ac:dyDescent="0.25">
      <c r="A166" t="s">
        <v>116</v>
      </c>
      <c r="B166" t="s">
        <v>184</v>
      </c>
      <c r="C166" s="1">
        <v>46235</v>
      </c>
      <c r="D166" t="s">
        <v>174</v>
      </c>
      <c r="E166" t="s">
        <v>175</v>
      </c>
      <c r="F166" s="4">
        <v>1</v>
      </c>
      <c r="G166" s="4">
        <v>0.25</v>
      </c>
      <c r="H166" s="9">
        <v>5898.5249999999996</v>
      </c>
      <c r="I166" s="9">
        <v>783.51</v>
      </c>
      <c r="J166" s="9">
        <f t="shared" si="58"/>
        <v>6682.0349999999999</v>
      </c>
      <c r="K166" s="9">
        <v>0</v>
      </c>
      <c r="L166" s="9">
        <f t="shared" si="59"/>
        <v>0</v>
      </c>
      <c r="M166">
        <v>0</v>
      </c>
      <c r="N166" s="4">
        <f t="shared" si="60"/>
        <v>0</v>
      </c>
      <c r="O166" s="9">
        <v>4646.1499999999996</v>
      </c>
      <c r="P166" s="9">
        <v>1179.7049999999999</v>
      </c>
      <c r="Q166" s="9">
        <v>41.29</v>
      </c>
      <c r="R166" s="9">
        <v>31.38</v>
      </c>
      <c r="S166" s="9">
        <v>0</v>
      </c>
      <c r="T166" s="9">
        <v>0</v>
      </c>
      <c r="U166" s="9">
        <v>0</v>
      </c>
      <c r="V166" s="9">
        <v>0</v>
      </c>
      <c r="W166" s="9">
        <f t="shared" si="61"/>
        <v>5898.5249999999996</v>
      </c>
      <c r="X166" s="9">
        <v>783.51</v>
      </c>
      <c r="Y166" s="9">
        <v>0</v>
      </c>
      <c r="Z166" s="9">
        <v>6682.0349999999999</v>
      </c>
      <c r="AA166" s="9">
        <v>0</v>
      </c>
      <c r="AB166" s="9">
        <f t="shared" si="62"/>
        <v>6682.0349999999999</v>
      </c>
      <c r="AC166" s="9">
        <v>5101.2</v>
      </c>
      <c r="AD166" s="9">
        <v>0</v>
      </c>
      <c r="AE166" s="9">
        <v>5857.2349999999997</v>
      </c>
      <c r="AF166" s="9">
        <v>239.75639999999999</v>
      </c>
      <c r="AG166" s="9">
        <v>1203.8832</v>
      </c>
      <c r="AH166" s="9">
        <v>79.068600000000004</v>
      </c>
      <c r="AI166" s="9">
        <v>280.56599999999997</v>
      </c>
      <c r="AJ166" s="9">
        <v>10.202399999999999</v>
      </c>
      <c r="AK166" s="9">
        <v>5.1011999999999995</v>
      </c>
      <c r="AL166" s="9">
        <v>30.607199999999999</v>
      </c>
      <c r="AM166" s="9">
        <v>7.6517999999999997</v>
      </c>
      <c r="AN166" s="9">
        <v>38.259</v>
      </c>
      <c r="AO166" s="9">
        <v>76.518000000000001</v>
      </c>
      <c r="AP166" s="9">
        <v>510.11999999999989</v>
      </c>
      <c r="AQ166" s="25">
        <v>1.9E-3</v>
      </c>
      <c r="AR166" s="9">
        <f t="shared" si="63"/>
        <v>0.96922799999999976</v>
      </c>
      <c r="AS166" s="25">
        <v>9.5999999999999992E-3</v>
      </c>
      <c r="AT166" s="9">
        <f t="shared" si="64"/>
        <v>4.8971519999999984</v>
      </c>
      <c r="AU166" s="9">
        <v>1070.7150000000001</v>
      </c>
      <c r="AV166" s="25">
        <v>2.0999999999999999E-3</v>
      </c>
      <c r="AW166" s="9">
        <f t="shared" si="65"/>
        <v>2.2485015000000002</v>
      </c>
      <c r="AX166" s="25">
        <v>1.04E-2</v>
      </c>
      <c r="AY166" s="9">
        <f t="shared" si="66"/>
        <v>11.135436</v>
      </c>
      <c r="AZ166" s="9">
        <v>0</v>
      </c>
      <c r="BA166" s="25">
        <v>0</v>
      </c>
      <c r="BB166" s="9">
        <f t="shared" si="67"/>
        <v>0</v>
      </c>
      <c r="BC166" s="25">
        <v>0</v>
      </c>
      <c r="BD166" s="9">
        <f t="shared" si="68"/>
        <v>0</v>
      </c>
      <c r="BE166" s="9">
        <v>510.11999999999989</v>
      </c>
      <c r="BF166" s="9">
        <v>1.9E-3</v>
      </c>
      <c r="BG166" s="9">
        <f t="shared" si="69"/>
        <v>0.96922799999999976</v>
      </c>
      <c r="BH166" s="9">
        <v>9.5999999999999992E-3</v>
      </c>
      <c r="BI166" s="9">
        <f t="shared" si="70"/>
        <v>4.8971519999999984</v>
      </c>
      <c r="BJ166" s="9">
        <v>1178.7049999999999</v>
      </c>
      <c r="BK166" s="9">
        <v>2.0999999999999999E-3</v>
      </c>
      <c r="BL166" s="9">
        <f t="shared" si="71"/>
        <v>2.4752804999999998</v>
      </c>
      <c r="BM166" s="9">
        <v>1.04E-2</v>
      </c>
      <c r="BN166" s="9">
        <f t="shared" si="72"/>
        <v>12.258531999999999</v>
      </c>
      <c r="BO166" s="9">
        <v>0</v>
      </c>
      <c r="BP166" s="9">
        <v>0</v>
      </c>
      <c r="BQ166" s="9">
        <f t="shared" si="73"/>
        <v>0</v>
      </c>
      <c r="BR166" s="9">
        <v>0</v>
      </c>
      <c r="BS166" s="9">
        <f t="shared" si="74"/>
        <v>0</v>
      </c>
      <c r="BT166" s="9">
        <f t="shared" si="75"/>
        <v>3.2177294999999999</v>
      </c>
      <c r="BU166" s="9">
        <f t="shared" si="76"/>
        <v>16.032587999999997</v>
      </c>
      <c r="BV166" s="9">
        <f t="shared" si="77"/>
        <v>334.79572949999999</v>
      </c>
      <c r="BW166">
        <f t="shared" si="78"/>
        <v>334.79572949999999</v>
      </c>
      <c r="BX166">
        <v>0</v>
      </c>
      <c r="BY166">
        <f t="shared" si="79"/>
        <v>1656.0683879999999</v>
      </c>
      <c r="BZ166">
        <v>1761.8112399999998</v>
      </c>
      <c r="CA166">
        <f t="shared" si="80"/>
        <v>3801.9180305</v>
      </c>
      <c r="CB166">
        <f t="shared" si="81"/>
        <v>7554.5933879999993</v>
      </c>
      <c r="CC166">
        <v>0</v>
      </c>
      <c r="CD166">
        <v>0</v>
      </c>
      <c r="CE166">
        <f t="shared" si="82"/>
        <v>0</v>
      </c>
      <c r="CF166">
        <f t="shared" si="83"/>
        <v>5898.5249999999996</v>
      </c>
      <c r="CG166">
        <f t="shared" si="84"/>
        <v>3801.9180305</v>
      </c>
      <c r="CH166">
        <f t="shared" si="85"/>
        <v>0</v>
      </c>
      <c r="CJ166" t="s">
        <v>278</v>
      </c>
      <c r="CL166" t="str">
        <f t="shared" si="86"/>
        <v/>
      </c>
    </row>
    <row r="167" spans="1:90" x14ac:dyDescent="0.25">
      <c r="A167" t="s">
        <v>116</v>
      </c>
      <c r="B167" t="s">
        <v>185</v>
      </c>
      <c r="C167" s="1">
        <v>46266</v>
      </c>
      <c r="D167" t="s">
        <v>174</v>
      </c>
      <c r="E167" t="s">
        <v>190</v>
      </c>
      <c r="F167" s="4">
        <v>0.875</v>
      </c>
      <c r="G167" s="4">
        <v>0.25</v>
      </c>
      <c r="H167" s="9">
        <v>5898.5249999999996</v>
      </c>
      <c r="I167" s="9">
        <v>783.51</v>
      </c>
      <c r="J167" s="9">
        <f t="shared" si="58"/>
        <v>6682.0349999999999</v>
      </c>
      <c r="K167" s="9">
        <v>170.04</v>
      </c>
      <c r="L167" s="9">
        <f t="shared" si="59"/>
        <v>5101.2</v>
      </c>
      <c r="M167">
        <v>3.75</v>
      </c>
      <c r="N167" s="4">
        <f t="shared" si="60"/>
        <v>0.125</v>
      </c>
      <c r="O167" s="9">
        <v>4065.3812499999995</v>
      </c>
      <c r="P167" s="9">
        <v>1032.2418749999999</v>
      </c>
      <c r="Q167" s="9">
        <v>41.29</v>
      </c>
      <c r="R167" s="9">
        <v>31.38</v>
      </c>
      <c r="S167" s="9">
        <v>0</v>
      </c>
      <c r="T167" s="9">
        <v>0</v>
      </c>
      <c r="U167" s="9">
        <v>0</v>
      </c>
      <c r="V167" s="9">
        <v>0</v>
      </c>
      <c r="W167" s="9">
        <v>5170.2931249999992</v>
      </c>
      <c r="X167" s="9">
        <v>861.71552083333313</v>
      </c>
      <c r="Y167" s="9">
        <v>0</v>
      </c>
      <c r="Z167" s="9">
        <v>6131.8086458333328</v>
      </c>
      <c r="AA167" s="9">
        <v>637.64999999999964</v>
      </c>
      <c r="AB167" s="9">
        <f t="shared" si="62"/>
        <v>6769.4586458333324</v>
      </c>
      <c r="AC167" s="9">
        <v>4463.55</v>
      </c>
      <c r="AD167" s="9">
        <v>0</v>
      </c>
      <c r="AE167" s="9">
        <v>5228.8031249999995</v>
      </c>
      <c r="AF167" s="9">
        <v>209.78685000000002</v>
      </c>
      <c r="AG167" s="9">
        <v>1203.8832</v>
      </c>
      <c r="AH167" s="9">
        <v>69.185024999999996</v>
      </c>
      <c r="AI167" s="9">
        <v>280.56599999999997</v>
      </c>
      <c r="AJ167" s="9">
        <v>10.202399999999999</v>
      </c>
      <c r="AK167" s="9">
        <v>4.4635500000000006</v>
      </c>
      <c r="AL167" s="9">
        <v>30.607199999999999</v>
      </c>
      <c r="AM167" s="9">
        <v>6.6953250000000004</v>
      </c>
      <c r="AN167" s="9">
        <v>38.259</v>
      </c>
      <c r="AO167" s="9">
        <v>76.518000000000001</v>
      </c>
      <c r="AP167" s="9">
        <v>510.11999999999989</v>
      </c>
      <c r="AQ167" s="25">
        <v>1.9E-3</v>
      </c>
      <c r="AR167" s="9">
        <v>0.96922799999999976</v>
      </c>
      <c r="AS167" s="25">
        <v>9.5999999999999992E-3</v>
      </c>
      <c r="AT167" s="9">
        <f t="shared" si="64"/>
        <v>4.8971519999999984</v>
      </c>
      <c r="AU167" s="9">
        <v>520.48864583333307</v>
      </c>
      <c r="AV167" s="25">
        <v>2.0999999999999999E-3</v>
      </c>
      <c r="AW167" s="9">
        <f t="shared" si="65"/>
        <v>1.0930261562499994</v>
      </c>
      <c r="AX167" s="25">
        <v>1.04E-2</v>
      </c>
      <c r="AY167" s="9">
        <f t="shared" si="66"/>
        <v>5.4130819166666635</v>
      </c>
      <c r="AZ167" s="9">
        <v>0</v>
      </c>
      <c r="BA167" s="25">
        <v>0</v>
      </c>
      <c r="BB167" s="9">
        <f t="shared" si="67"/>
        <v>0</v>
      </c>
      <c r="BC167" s="25">
        <v>0</v>
      </c>
      <c r="BD167" s="9">
        <f t="shared" si="68"/>
        <v>0</v>
      </c>
      <c r="BE167" s="9">
        <v>510.11999999999989</v>
      </c>
      <c r="BF167" s="9">
        <v>1.9E-3</v>
      </c>
      <c r="BG167" s="9">
        <f t="shared" si="69"/>
        <v>0.96922799999999976</v>
      </c>
      <c r="BH167" s="9">
        <v>9.5999999999999992E-3</v>
      </c>
      <c r="BI167" s="9">
        <f t="shared" si="70"/>
        <v>4.8971519999999984</v>
      </c>
      <c r="BJ167" s="9">
        <v>1257.0878124999999</v>
      </c>
      <c r="BK167" s="9">
        <v>2.0999999999999999E-3</v>
      </c>
      <c r="BL167" s="9">
        <f t="shared" si="71"/>
        <v>2.6398844062499998</v>
      </c>
      <c r="BM167" s="9">
        <v>1.04E-2</v>
      </c>
      <c r="BN167" s="9">
        <f t="shared" si="72"/>
        <v>13.073713249999999</v>
      </c>
      <c r="BO167" s="9">
        <v>0</v>
      </c>
      <c r="BP167" s="9">
        <v>0</v>
      </c>
      <c r="BQ167" s="9">
        <f t="shared" si="73"/>
        <v>0</v>
      </c>
      <c r="BR167" s="9">
        <v>0</v>
      </c>
      <c r="BS167" s="9">
        <f t="shared" si="74"/>
        <v>0</v>
      </c>
      <c r="BT167" s="9">
        <f t="shared" si="75"/>
        <v>2.062254156249999</v>
      </c>
      <c r="BU167" s="9">
        <f t="shared" si="76"/>
        <v>10.310233916666661</v>
      </c>
      <c r="BV167" s="9">
        <f t="shared" si="77"/>
        <v>292.19300415625003</v>
      </c>
      <c r="BW167">
        <f t="shared" si="78"/>
        <v>366.64920415625005</v>
      </c>
      <c r="BX167">
        <v>74.45620000000001</v>
      </c>
      <c r="BY167">
        <f t="shared" si="79"/>
        <v>1650.3460339166666</v>
      </c>
      <c r="BZ167">
        <v>1537.2681187499998</v>
      </c>
      <c r="CA167">
        <f t="shared" si="80"/>
        <v>3340.8320020937495</v>
      </c>
      <c r="CB167">
        <f t="shared" si="81"/>
        <v>6820.639158916666</v>
      </c>
      <c r="CC167">
        <v>637.65</v>
      </c>
      <c r="CD167">
        <v>0</v>
      </c>
      <c r="CE167">
        <f t="shared" si="82"/>
        <v>563.19380000000001</v>
      </c>
      <c r="CF167">
        <f t="shared" si="83"/>
        <v>5807.9431249999989</v>
      </c>
      <c r="CG167">
        <f t="shared" si="84"/>
        <v>3904.0258020937495</v>
      </c>
      <c r="CH167">
        <f t="shared" si="85"/>
        <v>197.604375</v>
      </c>
      <c r="CJ167" t="s">
        <v>278</v>
      </c>
      <c r="CL167" t="str">
        <f t="shared" si="86"/>
        <v>OK</v>
      </c>
    </row>
    <row r="168" spans="1:90" x14ac:dyDescent="0.25">
      <c r="A168" t="s">
        <v>116</v>
      </c>
      <c r="B168" t="s">
        <v>186</v>
      </c>
      <c r="C168" s="1">
        <v>46296</v>
      </c>
      <c r="D168" t="s">
        <v>174</v>
      </c>
      <c r="E168" t="s">
        <v>175</v>
      </c>
      <c r="F168" s="4">
        <v>1</v>
      </c>
      <c r="G168" s="4">
        <v>0.25</v>
      </c>
      <c r="H168" s="9">
        <v>5898.5249999999996</v>
      </c>
      <c r="I168" s="9">
        <v>783.51</v>
      </c>
      <c r="J168" s="9">
        <f t="shared" si="58"/>
        <v>6682.0349999999999</v>
      </c>
      <c r="K168" s="9">
        <v>0</v>
      </c>
      <c r="L168" s="9">
        <f t="shared" si="59"/>
        <v>0</v>
      </c>
      <c r="M168">
        <v>0</v>
      </c>
      <c r="N168" s="4">
        <f t="shared" si="60"/>
        <v>0</v>
      </c>
      <c r="O168" s="9">
        <v>4646.1499999999996</v>
      </c>
      <c r="P168" s="9">
        <v>1179.7049999999999</v>
      </c>
      <c r="Q168" s="9">
        <v>41.29</v>
      </c>
      <c r="R168" s="9">
        <v>31.38</v>
      </c>
      <c r="S168" s="9">
        <v>0</v>
      </c>
      <c r="T168" s="9">
        <v>0</v>
      </c>
      <c r="U168" s="9">
        <v>0</v>
      </c>
      <c r="V168" s="9">
        <v>0</v>
      </c>
      <c r="W168" s="9">
        <f t="shared" si="61"/>
        <v>5898.5249999999996</v>
      </c>
      <c r="X168" s="9">
        <v>783.51</v>
      </c>
      <c r="Y168" s="9">
        <v>0</v>
      </c>
      <c r="Z168" s="9">
        <v>6682.0349999999999</v>
      </c>
      <c r="AA168" s="9">
        <v>0</v>
      </c>
      <c r="AB168" s="9">
        <f t="shared" si="62"/>
        <v>6682.0349999999999</v>
      </c>
      <c r="AC168" s="9">
        <v>5101.2</v>
      </c>
      <c r="AD168" s="9">
        <v>0</v>
      </c>
      <c r="AE168" s="9">
        <v>5857.2349999999997</v>
      </c>
      <c r="AF168" s="9">
        <v>239.75639999999999</v>
      </c>
      <c r="AG168" s="9">
        <v>1203.8832</v>
      </c>
      <c r="AH168" s="9">
        <v>79.068600000000004</v>
      </c>
      <c r="AI168" s="9">
        <v>280.56599999999997</v>
      </c>
      <c r="AJ168" s="9">
        <v>10.202399999999999</v>
      </c>
      <c r="AK168" s="9">
        <v>5.1011999999999995</v>
      </c>
      <c r="AL168" s="9">
        <v>30.607199999999999</v>
      </c>
      <c r="AM168" s="9">
        <v>7.6517999999999997</v>
      </c>
      <c r="AN168" s="9">
        <v>38.259</v>
      </c>
      <c r="AO168" s="9">
        <v>76.518000000000001</v>
      </c>
      <c r="AP168" s="9">
        <v>510.11999999999989</v>
      </c>
      <c r="AQ168" s="25">
        <v>1.9E-3</v>
      </c>
      <c r="AR168" s="9">
        <f t="shared" si="63"/>
        <v>0.96922799999999976</v>
      </c>
      <c r="AS168" s="25">
        <v>9.5999999999999992E-3</v>
      </c>
      <c r="AT168" s="9">
        <f t="shared" si="64"/>
        <v>4.8971519999999984</v>
      </c>
      <c r="AU168" s="9">
        <v>1070.7150000000001</v>
      </c>
      <c r="AV168" s="25">
        <v>2.0999999999999999E-3</v>
      </c>
      <c r="AW168" s="9">
        <f t="shared" si="65"/>
        <v>2.2485015000000002</v>
      </c>
      <c r="AX168" s="25">
        <v>1.04E-2</v>
      </c>
      <c r="AY168" s="9">
        <f t="shared" si="66"/>
        <v>11.135436</v>
      </c>
      <c r="AZ168" s="9">
        <v>0</v>
      </c>
      <c r="BA168" s="25">
        <v>0</v>
      </c>
      <c r="BB168" s="9">
        <f t="shared" si="67"/>
        <v>0</v>
      </c>
      <c r="BC168" s="25">
        <v>0</v>
      </c>
      <c r="BD168" s="9">
        <f t="shared" si="68"/>
        <v>0</v>
      </c>
      <c r="BE168" s="9">
        <v>510.11999999999989</v>
      </c>
      <c r="BF168" s="9">
        <v>1.9E-3</v>
      </c>
      <c r="BG168" s="9">
        <f t="shared" si="69"/>
        <v>0.96922799999999976</v>
      </c>
      <c r="BH168" s="9">
        <v>9.5999999999999992E-3</v>
      </c>
      <c r="BI168" s="9">
        <f t="shared" si="70"/>
        <v>4.8971519999999984</v>
      </c>
      <c r="BJ168" s="9">
        <v>1178.7049999999999</v>
      </c>
      <c r="BK168" s="9">
        <v>2.0999999999999999E-3</v>
      </c>
      <c r="BL168" s="9">
        <f t="shared" si="71"/>
        <v>2.4752804999999998</v>
      </c>
      <c r="BM168" s="9">
        <v>1.04E-2</v>
      </c>
      <c r="BN168" s="9">
        <f t="shared" si="72"/>
        <v>12.258531999999999</v>
      </c>
      <c r="BO168" s="9">
        <v>0</v>
      </c>
      <c r="BP168" s="9">
        <v>0</v>
      </c>
      <c r="BQ168" s="9">
        <f t="shared" si="73"/>
        <v>0</v>
      </c>
      <c r="BR168" s="9">
        <v>0</v>
      </c>
      <c r="BS168" s="9">
        <f t="shared" si="74"/>
        <v>0</v>
      </c>
      <c r="BT168" s="9">
        <f t="shared" si="75"/>
        <v>3.2177294999999999</v>
      </c>
      <c r="BU168" s="9">
        <f t="shared" si="76"/>
        <v>16.032587999999997</v>
      </c>
      <c r="BV168" s="9">
        <f t="shared" si="77"/>
        <v>334.79572949999999</v>
      </c>
      <c r="BW168">
        <f t="shared" si="78"/>
        <v>334.79572949999999</v>
      </c>
      <c r="BX168">
        <v>0</v>
      </c>
      <c r="BY168">
        <f t="shared" si="79"/>
        <v>1656.0683879999999</v>
      </c>
      <c r="BZ168">
        <v>1761.8112399999998</v>
      </c>
      <c r="CA168">
        <f t="shared" si="80"/>
        <v>3801.9180305</v>
      </c>
      <c r="CB168">
        <f t="shared" si="81"/>
        <v>7554.5933879999993</v>
      </c>
      <c r="CC168">
        <v>0</v>
      </c>
      <c r="CD168">
        <v>0</v>
      </c>
      <c r="CE168">
        <f t="shared" si="82"/>
        <v>0</v>
      </c>
      <c r="CF168">
        <f t="shared" si="83"/>
        <v>5898.5249999999996</v>
      </c>
      <c r="CG168">
        <f t="shared" si="84"/>
        <v>3801.9180305</v>
      </c>
      <c r="CH168">
        <f t="shared" si="85"/>
        <v>0</v>
      </c>
      <c r="CJ168" t="s">
        <v>278</v>
      </c>
      <c r="CL168" t="str">
        <f t="shared" si="86"/>
        <v/>
      </c>
    </row>
    <row r="169" spans="1:90" x14ac:dyDescent="0.25">
      <c r="A169" t="s">
        <v>116</v>
      </c>
      <c r="B169" t="s">
        <v>187</v>
      </c>
      <c r="C169" s="1">
        <v>46327</v>
      </c>
      <c r="D169" t="s">
        <v>174</v>
      </c>
      <c r="E169" t="s">
        <v>175</v>
      </c>
      <c r="F169" s="4">
        <v>1</v>
      </c>
      <c r="G169" s="4">
        <v>0.25</v>
      </c>
      <c r="H169" s="9">
        <v>5898.5249999999996</v>
      </c>
      <c r="I169" s="9">
        <v>783.51</v>
      </c>
      <c r="J169" s="9">
        <f t="shared" si="58"/>
        <v>6682.0349999999999</v>
      </c>
      <c r="K169" s="9">
        <v>0</v>
      </c>
      <c r="L169" s="9">
        <f t="shared" si="59"/>
        <v>0</v>
      </c>
      <c r="M169">
        <v>0</v>
      </c>
      <c r="N169" s="4">
        <f t="shared" si="60"/>
        <v>0</v>
      </c>
      <c r="O169" s="9">
        <v>4646.1499999999996</v>
      </c>
      <c r="P169" s="9">
        <v>1179.7049999999999</v>
      </c>
      <c r="Q169" s="9">
        <v>41.29</v>
      </c>
      <c r="R169" s="9">
        <v>31.38</v>
      </c>
      <c r="S169" s="9">
        <v>0</v>
      </c>
      <c r="T169" s="9">
        <v>0</v>
      </c>
      <c r="U169" s="9">
        <v>0</v>
      </c>
      <c r="V169" s="9">
        <v>0</v>
      </c>
      <c r="W169" s="9">
        <f t="shared" si="61"/>
        <v>5898.5249999999996</v>
      </c>
      <c r="X169" s="9">
        <v>783.51</v>
      </c>
      <c r="Y169" s="9">
        <v>0</v>
      </c>
      <c r="Z169" s="9">
        <v>6682.0349999999999</v>
      </c>
      <c r="AA169" s="9">
        <v>0</v>
      </c>
      <c r="AB169" s="9">
        <f t="shared" si="62"/>
        <v>6682.0349999999999</v>
      </c>
      <c r="AC169" s="9">
        <v>5101.2</v>
      </c>
      <c r="AD169" s="9">
        <v>0</v>
      </c>
      <c r="AE169" s="9">
        <v>5857.2349999999997</v>
      </c>
      <c r="AF169" s="9">
        <v>239.75639999999999</v>
      </c>
      <c r="AG169" s="9">
        <v>1203.8832</v>
      </c>
      <c r="AH169" s="9">
        <v>79.068600000000004</v>
      </c>
      <c r="AI169" s="9">
        <v>280.56599999999997</v>
      </c>
      <c r="AJ169" s="9">
        <v>10.202399999999999</v>
      </c>
      <c r="AK169" s="9">
        <v>5.1011999999999995</v>
      </c>
      <c r="AL169" s="9">
        <v>30.607199999999999</v>
      </c>
      <c r="AM169" s="9">
        <v>7.6517999999999997</v>
      </c>
      <c r="AN169" s="9">
        <v>38.259</v>
      </c>
      <c r="AO169" s="9">
        <v>76.518000000000001</v>
      </c>
      <c r="AP169" s="9">
        <v>510.11999999999989</v>
      </c>
      <c r="AQ169" s="25">
        <v>1.9E-3</v>
      </c>
      <c r="AR169" s="9">
        <f t="shared" si="63"/>
        <v>0.96922799999999976</v>
      </c>
      <c r="AS169" s="25">
        <v>9.5999999999999992E-3</v>
      </c>
      <c r="AT169" s="9">
        <f t="shared" si="64"/>
        <v>4.8971519999999984</v>
      </c>
      <c r="AU169" s="9">
        <v>1070.7150000000001</v>
      </c>
      <c r="AV169" s="25">
        <v>2.0999999999999999E-3</v>
      </c>
      <c r="AW169" s="9">
        <f t="shared" si="65"/>
        <v>2.2485015000000002</v>
      </c>
      <c r="AX169" s="25">
        <v>1.04E-2</v>
      </c>
      <c r="AY169" s="9">
        <f t="shared" si="66"/>
        <v>11.135436</v>
      </c>
      <c r="AZ169" s="9">
        <v>0</v>
      </c>
      <c r="BA169" s="25">
        <v>0</v>
      </c>
      <c r="BB169" s="9">
        <f t="shared" si="67"/>
        <v>0</v>
      </c>
      <c r="BC169" s="25">
        <v>0</v>
      </c>
      <c r="BD169" s="9">
        <f t="shared" si="68"/>
        <v>0</v>
      </c>
      <c r="BE169" s="9">
        <v>510.11999999999989</v>
      </c>
      <c r="BF169" s="9">
        <v>1.9E-3</v>
      </c>
      <c r="BG169" s="9">
        <f t="shared" si="69"/>
        <v>0.96922799999999976</v>
      </c>
      <c r="BH169" s="9">
        <v>9.5999999999999992E-3</v>
      </c>
      <c r="BI169" s="9">
        <f t="shared" si="70"/>
        <v>4.8971519999999984</v>
      </c>
      <c r="BJ169" s="9">
        <v>1178.7049999999999</v>
      </c>
      <c r="BK169" s="9">
        <v>2.0999999999999999E-3</v>
      </c>
      <c r="BL169" s="9">
        <f t="shared" si="71"/>
        <v>2.4752804999999998</v>
      </c>
      <c r="BM169" s="9">
        <v>1.04E-2</v>
      </c>
      <c r="BN169" s="9">
        <f t="shared" si="72"/>
        <v>12.258531999999999</v>
      </c>
      <c r="BO169" s="9">
        <v>0</v>
      </c>
      <c r="BP169" s="9">
        <v>0</v>
      </c>
      <c r="BQ169" s="9">
        <f t="shared" si="73"/>
        <v>0</v>
      </c>
      <c r="BR169" s="9">
        <v>0</v>
      </c>
      <c r="BS169" s="9">
        <f t="shared" si="74"/>
        <v>0</v>
      </c>
      <c r="BT169" s="9">
        <f t="shared" si="75"/>
        <v>3.2177294999999999</v>
      </c>
      <c r="BU169" s="9">
        <f t="shared" si="76"/>
        <v>16.032587999999997</v>
      </c>
      <c r="BV169" s="9">
        <f t="shared" si="77"/>
        <v>334.79572949999999</v>
      </c>
      <c r="BW169">
        <f t="shared" si="78"/>
        <v>334.79572949999999</v>
      </c>
      <c r="BX169">
        <v>0</v>
      </c>
      <c r="BY169">
        <f t="shared" si="79"/>
        <v>1656.0683879999999</v>
      </c>
      <c r="BZ169">
        <v>1761.8112399999998</v>
      </c>
      <c r="CA169">
        <f t="shared" si="80"/>
        <v>3801.9180305</v>
      </c>
      <c r="CB169">
        <f t="shared" si="81"/>
        <v>7554.5933879999993</v>
      </c>
      <c r="CC169">
        <v>0</v>
      </c>
      <c r="CD169">
        <v>0</v>
      </c>
      <c r="CE169">
        <f t="shared" si="82"/>
        <v>0</v>
      </c>
      <c r="CF169">
        <f t="shared" si="83"/>
        <v>5898.5249999999996</v>
      </c>
      <c r="CG169">
        <f t="shared" si="84"/>
        <v>3801.9180305</v>
      </c>
      <c r="CH169">
        <f t="shared" si="85"/>
        <v>0</v>
      </c>
      <c r="CJ169" t="s">
        <v>278</v>
      </c>
      <c r="CL169" t="str">
        <f t="shared" si="86"/>
        <v/>
      </c>
    </row>
    <row r="170" spans="1:90" x14ac:dyDescent="0.25">
      <c r="A170" t="s">
        <v>116</v>
      </c>
      <c r="B170" t="s">
        <v>188</v>
      </c>
      <c r="C170" s="1">
        <v>46357</v>
      </c>
      <c r="D170" t="s">
        <v>182</v>
      </c>
      <c r="E170" t="s">
        <v>175</v>
      </c>
      <c r="F170" s="4">
        <v>1</v>
      </c>
      <c r="G170" s="4">
        <v>0.25</v>
      </c>
      <c r="H170" s="9">
        <v>5898.5249999999996</v>
      </c>
      <c r="I170" s="9">
        <v>783.51</v>
      </c>
      <c r="J170" s="9">
        <f t="shared" si="58"/>
        <v>6682.0349999999999</v>
      </c>
      <c r="K170" s="9">
        <v>0</v>
      </c>
      <c r="L170" s="9">
        <f t="shared" si="59"/>
        <v>0</v>
      </c>
      <c r="M170">
        <v>0</v>
      </c>
      <c r="N170" s="4">
        <f t="shared" si="60"/>
        <v>0</v>
      </c>
      <c r="O170" s="9">
        <v>4646.1499999999996</v>
      </c>
      <c r="P170" s="9">
        <v>1179.7049999999999</v>
      </c>
      <c r="Q170" s="9">
        <v>41.29</v>
      </c>
      <c r="R170" s="9">
        <v>31.38</v>
      </c>
      <c r="S170" s="9">
        <v>0</v>
      </c>
      <c r="T170" s="9">
        <v>0</v>
      </c>
      <c r="U170" s="9">
        <v>0</v>
      </c>
      <c r="V170" s="9">
        <v>0</v>
      </c>
      <c r="W170" s="9">
        <f t="shared" si="61"/>
        <v>5898.5249999999996</v>
      </c>
      <c r="X170" s="9">
        <v>0</v>
      </c>
      <c r="Y170" s="9">
        <v>0</v>
      </c>
      <c r="Z170" s="9">
        <v>0</v>
      </c>
      <c r="AA170" s="9">
        <v>0</v>
      </c>
      <c r="AB170" s="9">
        <f t="shared" si="62"/>
        <v>0</v>
      </c>
      <c r="AC170" s="9">
        <v>0</v>
      </c>
      <c r="AD170" s="9">
        <v>0</v>
      </c>
      <c r="AE170" s="9">
        <v>5857.2349999999997</v>
      </c>
      <c r="AF170" s="9">
        <v>0</v>
      </c>
      <c r="AG170" s="9">
        <v>0</v>
      </c>
      <c r="AH170" s="9">
        <v>0</v>
      </c>
      <c r="AI170" s="9">
        <v>0</v>
      </c>
      <c r="AJ170" s="9">
        <v>0</v>
      </c>
      <c r="AK170" s="9">
        <v>0</v>
      </c>
      <c r="AL170" s="9">
        <v>0</v>
      </c>
      <c r="AM170" s="9">
        <v>0</v>
      </c>
      <c r="AN170" s="9">
        <v>0</v>
      </c>
      <c r="AO170" s="9">
        <v>0</v>
      </c>
      <c r="AP170" s="9">
        <v>0</v>
      </c>
      <c r="AQ170" s="25">
        <v>0</v>
      </c>
      <c r="AR170" s="9">
        <f t="shared" si="63"/>
        <v>0</v>
      </c>
      <c r="AS170" s="25">
        <v>0</v>
      </c>
      <c r="AT170" s="9">
        <f t="shared" si="64"/>
        <v>0</v>
      </c>
      <c r="AU170" s="9">
        <v>0</v>
      </c>
      <c r="AV170" s="25">
        <v>0</v>
      </c>
      <c r="AW170" s="9">
        <f t="shared" si="65"/>
        <v>0</v>
      </c>
      <c r="AX170" s="25">
        <v>0</v>
      </c>
      <c r="AY170" s="9">
        <f t="shared" si="66"/>
        <v>0</v>
      </c>
      <c r="AZ170" s="9">
        <v>0</v>
      </c>
      <c r="BA170" s="25">
        <v>0</v>
      </c>
      <c r="BB170" s="9">
        <f t="shared" si="67"/>
        <v>0</v>
      </c>
      <c r="BC170" s="25">
        <v>0</v>
      </c>
      <c r="BD170" s="9">
        <f t="shared" si="68"/>
        <v>0</v>
      </c>
      <c r="BE170" s="9">
        <v>0</v>
      </c>
      <c r="BF170" s="9">
        <v>0</v>
      </c>
      <c r="BG170" s="9">
        <f t="shared" si="69"/>
        <v>0</v>
      </c>
      <c r="BH170" s="9">
        <v>0</v>
      </c>
      <c r="BI170" s="9">
        <f t="shared" si="70"/>
        <v>0</v>
      </c>
      <c r="BJ170" s="9">
        <v>0</v>
      </c>
      <c r="BK170" s="9">
        <v>0</v>
      </c>
      <c r="BL170" s="9">
        <f t="shared" si="71"/>
        <v>0</v>
      </c>
      <c r="BM170" s="9">
        <v>0</v>
      </c>
      <c r="BN170" s="9">
        <f t="shared" si="72"/>
        <v>0</v>
      </c>
      <c r="BO170" s="9">
        <v>0</v>
      </c>
      <c r="BP170" s="9">
        <v>0</v>
      </c>
      <c r="BQ170" s="9">
        <f t="shared" si="73"/>
        <v>0</v>
      </c>
      <c r="BR170" s="9">
        <v>0</v>
      </c>
      <c r="BS170" s="9">
        <f t="shared" si="74"/>
        <v>0</v>
      </c>
      <c r="BT170" s="9">
        <f t="shared" si="75"/>
        <v>0</v>
      </c>
      <c r="BU170" s="9">
        <f t="shared" si="76"/>
        <v>0</v>
      </c>
      <c r="BV170" s="9">
        <f t="shared" si="77"/>
        <v>0</v>
      </c>
      <c r="BW170">
        <f t="shared" si="78"/>
        <v>0</v>
      </c>
      <c r="BX170">
        <v>0</v>
      </c>
      <c r="BY170">
        <f t="shared" si="79"/>
        <v>0</v>
      </c>
      <c r="BZ170">
        <v>1725.1068391666665</v>
      </c>
      <c r="CA170">
        <f t="shared" si="80"/>
        <v>4173.4181608333329</v>
      </c>
      <c r="CB170">
        <f t="shared" si="81"/>
        <v>5898.5249999999996</v>
      </c>
      <c r="CC170">
        <v>0</v>
      </c>
      <c r="CD170">
        <v>0</v>
      </c>
      <c r="CE170">
        <f t="shared" si="82"/>
        <v>0</v>
      </c>
      <c r="CF170">
        <f t="shared" si="83"/>
        <v>5898.5249999999996</v>
      </c>
      <c r="CG170">
        <f t="shared" si="84"/>
        <v>4173.4181608333329</v>
      </c>
      <c r="CH170">
        <f t="shared" si="85"/>
        <v>0</v>
      </c>
      <c r="CJ170" t="s">
        <v>278</v>
      </c>
      <c r="CL170" t="str">
        <f t="shared" si="86"/>
        <v/>
      </c>
    </row>
    <row r="171" spans="1:90" x14ac:dyDescent="0.25">
      <c r="A171" t="s">
        <v>116</v>
      </c>
      <c r="B171" t="s">
        <v>189</v>
      </c>
      <c r="C171" s="1">
        <v>46357</v>
      </c>
      <c r="D171" t="s">
        <v>174</v>
      </c>
      <c r="E171" t="s">
        <v>175</v>
      </c>
      <c r="F171" s="4">
        <v>1</v>
      </c>
      <c r="G171" s="4">
        <v>0.25</v>
      </c>
      <c r="H171" s="9">
        <v>5898.5249999999996</v>
      </c>
      <c r="I171" s="9">
        <v>783.51</v>
      </c>
      <c r="J171" s="9">
        <f t="shared" si="58"/>
        <v>6682.0349999999999</v>
      </c>
      <c r="K171" s="9">
        <v>0</v>
      </c>
      <c r="L171" s="9">
        <f t="shared" si="59"/>
        <v>0</v>
      </c>
      <c r="M171">
        <v>0</v>
      </c>
      <c r="N171" s="4">
        <f t="shared" si="60"/>
        <v>0</v>
      </c>
      <c r="O171" s="9">
        <v>4646.1499999999996</v>
      </c>
      <c r="P171" s="9">
        <v>1179.7049999999999</v>
      </c>
      <c r="Q171" s="9">
        <v>41.29</v>
      </c>
      <c r="R171" s="9">
        <v>31.38</v>
      </c>
      <c r="S171" s="9">
        <v>0</v>
      </c>
      <c r="T171" s="9">
        <v>0</v>
      </c>
      <c r="U171" s="9">
        <v>0</v>
      </c>
      <c r="V171" s="9">
        <v>0</v>
      </c>
      <c r="W171" s="9">
        <f t="shared" si="61"/>
        <v>5898.5249999999996</v>
      </c>
      <c r="X171" s="9">
        <v>783.51</v>
      </c>
      <c r="Y171" s="9">
        <v>0</v>
      </c>
      <c r="Z171" s="9">
        <v>6682.0349999999999</v>
      </c>
      <c r="AA171" s="9">
        <v>0</v>
      </c>
      <c r="AB171" s="9">
        <f t="shared" si="62"/>
        <v>6682.0349999999999</v>
      </c>
      <c r="AC171" s="9">
        <v>5101.2</v>
      </c>
      <c r="AD171" s="9">
        <v>0</v>
      </c>
      <c r="AE171" s="9">
        <v>5857.2349999999997</v>
      </c>
      <c r="AF171" s="9">
        <v>239.75639999999999</v>
      </c>
      <c r="AG171" s="9">
        <v>1203.8832</v>
      </c>
      <c r="AH171" s="9">
        <v>79.068600000000004</v>
      </c>
      <c r="AI171" s="9">
        <v>280.56599999999997</v>
      </c>
      <c r="AJ171" s="9">
        <v>10.202399999999999</v>
      </c>
      <c r="AK171" s="9">
        <v>5.1011999999999995</v>
      </c>
      <c r="AL171" s="9">
        <v>30.607199999999999</v>
      </c>
      <c r="AM171" s="9">
        <v>7.6517999999999997</v>
      </c>
      <c r="AN171" s="9">
        <v>38.259</v>
      </c>
      <c r="AO171" s="9">
        <v>76.518000000000001</v>
      </c>
      <c r="AP171" s="9">
        <v>510.11999999999989</v>
      </c>
      <c r="AQ171" s="25">
        <v>1.9E-3</v>
      </c>
      <c r="AR171" s="9">
        <f t="shared" si="63"/>
        <v>0.96922799999999976</v>
      </c>
      <c r="AS171" s="25">
        <v>9.5999999999999992E-3</v>
      </c>
      <c r="AT171" s="9">
        <f t="shared" si="64"/>
        <v>4.8971519999999984</v>
      </c>
      <c r="AU171" s="9">
        <v>1070.7150000000001</v>
      </c>
      <c r="AV171" s="25">
        <v>2.0999999999999999E-3</v>
      </c>
      <c r="AW171" s="9">
        <f t="shared" si="65"/>
        <v>2.2485015000000002</v>
      </c>
      <c r="AX171" s="25">
        <v>1.04E-2</v>
      </c>
      <c r="AY171" s="9">
        <f t="shared" si="66"/>
        <v>11.135436</v>
      </c>
      <c r="AZ171" s="9">
        <v>0</v>
      </c>
      <c r="BA171" s="25">
        <v>0</v>
      </c>
      <c r="BB171" s="9">
        <f t="shared" si="67"/>
        <v>0</v>
      </c>
      <c r="BC171" s="25">
        <v>0</v>
      </c>
      <c r="BD171" s="9">
        <f t="shared" si="68"/>
        <v>0</v>
      </c>
      <c r="BE171" s="9">
        <v>510.11999999999989</v>
      </c>
      <c r="BF171" s="9">
        <v>1.9E-3</v>
      </c>
      <c r="BG171" s="9">
        <f t="shared" si="69"/>
        <v>0.96922799999999976</v>
      </c>
      <c r="BH171" s="9">
        <v>9.5999999999999992E-3</v>
      </c>
      <c r="BI171" s="9">
        <f t="shared" si="70"/>
        <v>4.8971519999999984</v>
      </c>
      <c r="BJ171" s="9">
        <v>1178.7049999999999</v>
      </c>
      <c r="BK171" s="9">
        <v>2.0999999999999999E-3</v>
      </c>
      <c r="BL171" s="9">
        <f t="shared" si="71"/>
        <v>2.4752804999999998</v>
      </c>
      <c r="BM171" s="9">
        <v>1.04E-2</v>
      </c>
      <c r="BN171" s="9">
        <f t="shared" si="72"/>
        <v>12.258531999999999</v>
      </c>
      <c r="BO171" s="9">
        <v>0</v>
      </c>
      <c r="BP171" s="9">
        <v>0</v>
      </c>
      <c r="BQ171" s="9">
        <f t="shared" si="73"/>
        <v>0</v>
      </c>
      <c r="BR171" s="9">
        <v>0</v>
      </c>
      <c r="BS171" s="9">
        <f t="shared" si="74"/>
        <v>0</v>
      </c>
      <c r="BT171" s="9">
        <f t="shared" si="75"/>
        <v>3.2177294999999999</v>
      </c>
      <c r="BU171" s="9">
        <f t="shared" si="76"/>
        <v>16.032587999999997</v>
      </c>
      <c r="BV171" s="9">
        <f t="shared" si="77"/>
        <v>334.79572949999999</v>
      </c>
      <c r="BW171">
        <f t="shared" si="78"/>
        <v>334.79572949999999</v>
      </c>
      <c r="BX171">
        <v>0</v>
      </c>
      <c r="BY171">
        <f t="shared" si="79"/>
        <v>1656.0683879999999</v>
      </c>
      <c r="BZ171">
        <v>1761.8112399999998</v>
      </c>
      <c r="CA171">
        <f t="shared" si="80"/>
        <v>3801.9180305</v>
      </c>
      <c r="CB171">
        <f t="shared" si="81"/>
        <v>7554.5933879999993</v>
      </c>
      <c r="CC171">
        <v>0</v>
      </c>
      <c r="CD171">
        <v>0</v>
      </c>
      <c r="CE171">
        <f t="shared" si="82"/>
        <v>0</v>
      </c>
      <c r="CF171">
        <f t="shared" si="83"/>
        <v>5898.5249999999996</v>
      </c>
      <c r="CG171">
        <f t="shared" si="84"/>
        <v>3801.9180305</v>
      </c>
      <c r="CH171">
        <f t="shared" si="85"/>
        <v>0</v>
      </c>
      <c r="CJ171" t="s">
        <v>278</v>
      </c>
      <c r="CL171" t="str">
        <f t="shared" si="86"/>
        <v/>
      </c>
    </row>
    <row r="172" spans="1:90" x14ac:dyDescent="0.25">
      <c r="A172" t="s">
        <v>118</v>
      </c>
      <c r="B172" t="s">
        <v>173</v>
      </c>
      <c r="C172" s="1">
        <v>46023</v>
      </c>
      <c r="D172" t="s">
        <v>174</v>
      </c>
      <c r="E172" t="s">
        <v>175</v>
      </c>
      <c r="F172" s="4">
        <v>1</v>
      </c>
      <c r="G172" s="4">
        <v>0.25</v>
      </c>
      <c r="H172" s="9">
        <v>7863.4875000000002</v>
      </c>
      <c r="I172" s="9">
        <v>1310.58125</v>
      </c>
      <c r="J172" s="9">
        <f t="shared" si="58"/>
        <v>9174.0687500000004</v>
      </c>
      <c r="K172" s="9">
        <v>0</v>
      </c>
      <c r="L172" s="9">
        <f t="shared" si="59"/>
        <v>0</v>
      </c>
      <c r="M172">
        <v>0</v>
      </c>
      <c r="N172" s="4">
        <f t="shared" si="60"/>
        <v>0</v>
      </c>
      <c r="O172" s="9">
        <v>6290.79</v>
      </c>
      <c r="P172" s="9">
        <v>1572.6975</v>
      </c>
      <c r="Q172" s="9">
        <v>0</v>
      </c>
      <c r="R172" s="9">
        <v>0</v>
      </c>
      <c r="S172" s="9">
        <v>0</v>
      </c>
      <c r="T172" s="9">
        <v>0</v>
      </c>
      <c r="U172" s="9">
        <v>0</v>
      </c>
      <c r="V172" s="9">
        <v>0</v>
      </c>
      <c r="W172" s="9">
        <f t="shared" si="61"/>
        <v>7863.4875000000002</v>
      </c>
      <c r="X172" s="9">
        <v>1310.58125</v>
      </c>
      <c r="Y172" s="9">
        <v>0</v>
      </c>
      <c r="Z172" s="9">
        <v>9174.0687500000004</v>
      </c>
      <c r="AA172" s="9">
        <v>0</v>
      </c>
      <c r="AB172" s="9">
        <f t="shared" si="62"/>
        <v>9174.0687500000004</v>
      </c>
      <c r="AC172" s="9">
        <v>5101.2</v>
      </c>
      <c r="AD172" s="9">
        <v>0</v>
      </c>
      <c r="AE172" s="9">
        <v>7863.4875000000002</v>
      </c>
      <c r="AF172" s="9">
        <v>239.75639999999999</v>
      </c>
      <c r="AG172" s="9">
        <v>1203.8832</v>
      </c>
      <c r="AH172" s="9">
        <v>79.068600000000004</v>
      </c>
      <c r="AI172" s="9">
        <v>280.56599999999997</v>
      </c>
      <c r="AJ172" s="9">
        <v>10.202399999999999</v>
      </c>
      <c r="AK172" s="9">
        <v>5.1011999999999995</v>
      </c>
      <c r="AL172" s="9">
        <v>30.607199999999999</v>
      </c>
      <c r="AM172" s="9">
        <v>7.6517999999999997</v>
      </c>
      <c r="AN172" s="9">
        <v>38.259</v>
      </c>
      <c r="AO172" s="9">
        <v>76.518000000000001</v>
      </c>
      <c r="AP172" s="9">
        <v>510.11999999999989</v>
      </c>
      <c r="AQ172" s="25">
        <v>1.9E-3</v>
      </c>
      <c r="AR172" s="9">
        <f t="shared" si="63"/>
        <v>0.96922799999999976</v>
      </c>
      <c r="AS172" s="25">
        <v>9.5999999999999992E-3</v>
      </c>
      <c r="AT172" s="9">
        <f t="shared" si="64"/>
        <v>4.8971519999999984</v>
      </c>
      <c r="AU172" s="9">
        <v>2040.4800000000005</v>
      </c>
      <c r="AV172" s="25">
        <v>2.0999999999999999E-3</v>
      </c>
      <c r="AW172" s="9">
        <f t="shared" si="65"/>
        <v>4.2850080000000004</v>
      </c>
      <c r="AX172" s="25">
        <v>1.04E-2</v>
      </c>
      <c r="AY172" s="9">
        <f t="shared" si="66"/>
        <v>21.220992000000003</v>
      </c>
      <c r="AZ172" s="9">
        <v>1522.2687500000002</v>
      </c>
      <c r="BA172" s="25">
        <v>2.3999999999999998E-3</v>
      </c>
      <c r="BB172" s="9">
        <f t="shared" si="67"/>
        <v>3.6534450000000001</v>
      </c>
      <c r="BC172" s="25">
        <v>1.2200000000000001E-2</v>
      </c>
      <c r="BD172" s="9">
        <f t="shared" si="68"/>
        <v>18.571678750000004</v>
      </c>
      <c r="BE172" s="9">
        <v>510.11999999999989</v>
      </c>
      <c r="BF172" s="9">
        <v>1.9E-3</v>
      </c>
      <c r="BG172" s="9">
        <f t="shared" si="69"/>
        <v>0.96922799999999976</v>
      </c>
      <c r="BH172" s="9">
        <v>9.5999999999999992E-3</v>
      </c>
      <c r="BI172" s="9">
        <f t="shared" si="70"/>
        <v>4.8971519999999984</v>
      </c>
      <c r="BJ172" s="9">
        <v>2040.4800000000005</v>
      </c>
      <c r="BK172" s="9">
        <v>2.0999999999999999E-3</v>
      </c>
      <c r="BL172" s="9">
        <f t="shared" si="71"/>
        <v>4.2850080000000004</v>
      </c>
      <c r="BM172" s="9">
        <v>1.04E-2</v>
      </c>
      <c r="BN172" s="9">
        <f t="shared" si="72"/>
        <v>21.220992000000003</v>
      </c>
      <c r="BO172" s="9">
        <v>1263.7132499999998</v>
      </c>
      <c r="BP172" s="9">
        <v>2.3999999999999998E-3</v>
      </c>
      <c r="BQ172" s="9">
        <f t="shared" si="73"/>
        <v>3.032911799999999</v>
      </c>
      <c r="BR172" s="9">
        <v>1.2200000000000001E-2</v>
      </c>
      <c r="BS172" s="9">
        <f t="shared" si="74"/>
        <v>15.417301649999999</v>
      </c>
      <c r="BT172" s="9">
        <f t="shared" si="75"/>
        <v>8.9076810000000002</v>
      </c>
      <c r="BU172" s="9">
        <f t="shared" si="76"/>
        <v>44.689822750000005</v>
      </c>
      <c r="BV172" s="9">
        <f t="shared" si="77"/>
        <v>340.485681</v>
      </c>
      <c r="BW172">
        <f t="shared" si="78"/>
        <v>340.485681</v>
      </c>
      <c r="BX172">
        <v>0</v>
      </c>
      <c r="BY172">
        <f t="shared" si="79"/>
        <v>1684.72562275</v>
      </c>
      <c r="BZ172">
        <v>2521.05241815</v>
      </c>
      <c r="CA172">
        <f t="shared" si="80"/>
        <v>5001.9494008500005</v>
      </c>
      <c r="CB172">
        <f t="shared" si="81"/>
        <v>9548.2131227499995</v>
      </c>
      <c r="CC172">
        <v>0</v>
      </c>
      <c r="CD172">
        <v>0</v>
      </c>
      <c r="CE172">
        <f t="shared" si="82"/>
        <v>0</v>
      </c>
      <c r="CF172">
        <f t="shared" si="83"/>
        <v>7863.4875000000002</v>
      </c>
      <c r="CG172">
        <f t="shared" si="84"/>
        <v>5001.9494008500005</v>
      </c>
      <c r="CH172">
        <f t="shared" si="85"/>
        <v>0</v>
      </c>
      <c r="CJ172" t="s">
        <v>278</v>
      </c>
      <c r="CL172" t="str">
        <f t="shared" si="86"/>
        <v/>
      </c>
    </row>
    <row r="173" spans="1:90" x14ac:dyDescent="0.25">
      <c r="A173" t="s">
        <v>118</v>
      </c>
      <c r="B173" t="s">
        <v>176</v>
      </c>
      <c r="C173" s="1">
        <v>46054</v>
      </c>
      <c r="D173" t="s">
        <v>174</v>
      </c>
      <c r="E173" t="s">
        <v>175</v>
      </c>
      <c r="F173" s="4">
        <v>1</v>
      </c>
      <c r="G173" s="4">
        <v>0.25</v>
      </c>
      <c r="H173" s="9">
        <v>7863.4875000000002</v>
      </c>
      <c r="I173" s="9">
        <v>1310.58125</v>
      </c>
      <c r="J173" s="9">
        <f t="shared" si="58"/>
        <v>9174.0687500000004</v>
      </c>
      <c r="K173" s="9">
        <v>0</v>
      </c>
      <c r="L173" s="9">
        <f t="shared" si="59"/>
        <v>0</v>
      </c>
      <c r="M173">
        <v>0</v>
      </c>
      <c r="N173" s="4">
        <f t="shared" si="60"/>
        <v>0</v>
      </c>
      <c r="O173" s="9">
        <v>6290.79</v>
      </c>
      <c r="P173" s="9">
        <v>1572.6975</v>
      </c>
      <c r="Q173" s="9">
        <v>0</v>
      </c>
      <c r="R173" s="9">
        <v>0</v>
      </c>
      <c r="S173" s="9">
        <v>0</v>
      </c>
      <c r="T173" s="9">
        <v>0</v>
      </c>
      <c r="U173" s="9">
        <v>0</v>
      </c>
      <c r="V173" s="9">
        <v>0</v>
      </c>
      <c r="W173" s="9">
        <f t="shared" si="61"/>
        <v>7863.4875000000002</v>
      </c>
      <c r="X173" s="9">
        <v>1310.58125</v>
      </c>
      <c r="Y173" s="9">
        <v>0</v>
      </c>
      <c r="Z173" s="9">
        <v>9174.0687500000004</v>
      </c>
      <c r="AA173" s="9">
        <v>0</v>
      </c>
      <c r="AB173" s="9">
        <f t="shared" si="62"/>
        <v>9174.0687500000004</v>
      </c>
      <c r="AC173" s="9">
        <v>5101.2</v>
      </c>
      <c r="AD173" s="9">
        <v>0</v>
      </c>
      <c r="AE173" s="9">
        <v>7863.4875000000002</v>
      </c>
      <c r="AF173" s="9">
        <v>239.75639999999999</v>
      </c>
      <c r="AG173" s="9">
        <v>1203.8832</v>
      </c>
      <c r="AH173" s="9">
        <v>79.068600000000004</v>
      </c>
      <c r="AI173" s="9">
        <v>280.56599999999997</v>
      </c>
      <c r="AJ173" s="9">
        <v>10.202399999999999</v>
      </c>
      <c r="AK173" s="9">
        <v>5.1011999999999995</v>
      </c>
      <c r="AL173" s="9">
        <v>30.607199999999999</v>
      </c>
      <c r="AM173" s="9">
        <v>7.6517999999999997</v>
      </c>
      <c r="AN173" s="9">
        <v>38.259</v>
      </c>
      <c r="AO173" s="9">
        <v>76.518000000000001</v>
      </c>
      <c r="AP173" s="9">
        <v>510.11999999999989</v>
      </c>
      <c r="AQ173" s="25">
        <v>1.9E-3</v>
      </c>
      <c r="AR173" s="9">
        <f t="shared" si="63"/>
        <v>0.96922799999999976</v>
      </c>
      <c r="AS173" s="25">
        <v>9.5999999999999992E-3</v>
      </c>
      <c r="AT173" s="9">
        <f t="shared" si="64"/>
        <v>4.8971519999999984</v>
      </c>
      <c r="AU173" s="9">
        <v>2040.4800000000005</v>
      </c>
      <c r="AV173" s="25">
        <v>2.0999999999999999E-3</v>
      </c>
      <c r="AW173" s="9">
        <f t="shared" si="65"/>
        <v>4.2850080000000004</v>
      </c>
      <c r="AX173" s="25">
        <v>1.04E-2</v>
      </c>
      <c r="AY173" s="9">
        <f t="shared" si="66"/>
        <v>21.220992000000003</v>
      </c>
      <c r="AZ173" s="9">
        <v>1522.2687500000002</v>
      </c>
      <c r="BA173" s="25">
        <v>2.3999999999999998E-3</v>
      </c>
      <c r="BB173" s="9">
        <f t="shared" si="67"/>
        <v>3.6534450000000001</v>
      </c>
      <c r="BC173" s="25">
        <v>1.2200000000000001E-2</v>
      </c>
      <c r="BD173" s="9">
        <f t="shared" si="68"/>
        <v>18.571678750000004</v>
      </c>
      <c r="BE173" s="9">
        <v>510.11999999999989</v>
      </c>
      <c r="BF173" s="9">
        <v>1.9E-3</v>
      </c>
      <c r="BG173" s="9">
        <f t="shared" si="69"/>
        <v>0.96922799999999976</v>
      </c>
      <c r="BH173" s="9">
        <v>9.5999999999999992E-3</v>
      </c>
      <c r="BI173" s="9">
        <f t="shared" si="70"/>
        <v>4.8971519999999984</v>
      </c>
      <c r="BJ173" s="9">
        <v>2040.4800000000005</v>
      </c>
      <c r="BK173" s="9">
        <v>2.0999999999999999E-3</v>
      </c>
      <c r="BL173" s="9">
        <f t="shared" si="71"/>
        <v>4.2850080000000004</v>
      </c>
      <c r="BM173" s="9">
        <v>1.04E-2</v>
      </c>
      <c r="BN173" s="9">
        <f t="shared" si="72"/>
        <v>21.220992000000003</v>
      </c>
      <c r="BO173" s="9">
        <v>1263.7132499999998</v>
      </c>
      <c r="BP173" s="9">
        <v>2.3999999999999998E-3</v>
      </c>
      <c r="BQ173" s="9">
        <f t="shared" si="73"/>
        <v>3.032911799999999</v>
      </c>
      <c r="BR173" s="9">
        <v>1.2200000000000001E-2</v>
      </c>
      <c r="BS173" s="9">
        <f t="shared" si="74"/>
        <v>15.417301649999999</v>
      </c>
      <c r="BT173" s="9">
        <f t="shared" si="75"/>
        <v>8.9076810000000002</v>
      </c>
      <c r="BU173" s="9">
        <f t="shared" si="76"/>
        <v>44.689822750000005</v>
      </c>
      <c r="BV173" s="9">
        <f t="shared" si="77"/>
        <v>340.485681</v>
      </c>
      <c r="BW173">
        <f t="shared" si="78"/>
        <v>340.485681</v>
      </c>
      <c r="BX173">
        <v>0</v>
      </c>
      <c r="BY173">
        <f t="shared" si="79"/>
        <v>1684.72562275</v>
      </c>
      <c r="BZ173">
        <v>2521.05241815</v>
      </c>
      <c r="CA173">
        <f t="shared" si="80"/>
        <v>5001.9494008500005</v>
      </c>
      <c r="CB173">
        <f t="shared" si="81"/>
        <v>9548.2131227499995</v>
      </c>
      <c r="CC173">
        <v>0</v>
      </c>
      <c r="CD173">
        <v>0</v>
      </c>
      <c r="CE173">
        <f t="shared" si="82"/>
        <v>0</v>
      </c>
      <c r="CF173">
        <f t="shared" si="83"/>
        <v>7863.4875000000002</v>
      </c>
      <c r="CG173">
        <f t="shared" si="84"/>
        <v>5001.9494008500005</v>
      </c>
      <c r="CH173">
        <f t="shared" si="85"/>
        <v>0</v>
      </c>
      <c r="CJ173" t="s">
        <v>278</v>
      </c>
      <c r="CL173" t="str">
        <f t="shared" si="86"/>
        <v/>
      </c>
    </row>
    <row r="174" spans="1:90" x14ac:dyDescent="0.25">
      <c r="A174" t="s">
        <v>118</v>
      </c>
      <c r="B174" t="s">
        <v>177</v>
      </c>
      <c r="C174" s="1">
        <v>46082</v>
      </c>
      <c r="D174" t="s">
        <v>174</v>
      </c>
      <c r="E174" t="s">
        <v>175</v>
      </c>
      <c r="F174" s="4">
        <v>1</v>
      </c>
      <c r="G174" s="4">
        <v>0.25</v>
      </c>
      <c r="H174" s="9">
        <v>7863.4875000000002</v>
      </c>
      <c r="I174" s="9">
        <v>1310.58125</v>
      </c>
      <c r="J174" s="9">
        <f t="shared" si="58"/>
        <v>9174.0687500000004</v>
      </c>
      <c r="K174" s="9">
        <v>0</v>
      </c>
      <c r="L174" s="9">
        <f t="shared" si="59"/>
        <v>0</v>
      </c>
      <c r="M174">
        <v>0</v>
      </c>
      <c r="N174" s="4">
        <f t="shared" si="60"/>
        <v>0</v>
      </c>
      <c r="O174" s="9">
        <v>6290.79</v>
      </c>
      <c r="P174" s="9">
        <v>1572.6975</v>
      </c>
      <c r="Q174" s="9">
        <v>0</v>
      </c>
      <c r="R174" s="9">
        <v>0</v>
      </c>
      <c r="S174" s="9">
        <v>0</v>
      </c>
      <c r="T174" s="9">
        <v>0</v>
      </c>
      <c r="U174" s="9">
        <v>0</v>
      </c>
      <c r="V174" s="9">
        <v>0</v>
      </c>
      <c r="W174" s="9">
        <f t="shared" si="61"/>
        <v>7863.4875000000002</v>
      </c>
      <c r="X174" s="9">
        <v>1310.58125</v>
      </c>
      <c r="Y174" s="9">
        <v>0</v>
      </c>
      <c r="Z174" s="9">
        <v>9174.0687500000004</v>
      </c>
      <c r="AA174" s="9">
        <v>0</v>
      </c>
      <c r="AB174" s="9">
        <f t="shared" si="62"/>
        <v>9174.0687500000004</v>
      </c>
      <c r="AC174" s="9">
        <v>5101.2</v>
      </c>
      <c r="AD174" s="9">
        <v>0</v>
      </c>
      <c r="AE174" s="9">
        <v>7863.4875000000002</v>
      </c>
      <c r="AF174" s="9">
        <v>239.75639999999999</v>
      </c>
      <c r="AG174" s="9">
        <v>1203.8832</v>
      </c>
      <c r="AH174" s="9">
        <v>79.068600000000004</v>
      </c>
      <c r="AI174" s="9">
        <v>280.56599999999997</v>
      </c>
      <c r="AJ174" s="9">
        <v>10.202399999999999</v>
      </c>
      <c r="AK174" s="9">
        <v>5.1011999999999995</v>
      </c>
      <c r="AL174" s="9">
        <v>30.607199999999999</v>
      </c>
      <c r="AM174" s="9">
        <v>7.6517999999999997</v>
      </c>
      <c r="AN174" s="9">
        <v>38.259</v>
      </c>
      <c r="AO174" s="9">
        <v>76.518000000000001</v>
      </c>
      <c r="AP174" s="9">
        <v>510.11999999999989</v>
      </c>
      <c r="AQ174" s="25">
        <v>1.9E-3</v>
      </c>
      <c r="AR174" s="9">
        <f t="shared" si="63"/>
        <v>0.96922799999999976</v>
      </c>
      <c r="AS174" s="25">
        <v>9.5999999999999992E-3</v>
      </c>
      <c r="AT174" s="9">
        <f t="shared" si="64"/>
        <v>4.8971519999999984</v>
      </c>
      <c r="AU174" s="9">
        <v>2040.4800000000005</v>
      </c>
      <c r="AV174" s="25">
        <v>2.0999999999999999E-3</v>
      </c>
      <c r="AW174" s="9">
        <f t="shared" si="65"/>
        <v>4.2850080000000004</v>
      </c>
      <c r="AX174" s="25">
        <v>1.04E-2</v>
      </c>
      <c r="AY174" s="9">
        <f t="shared" si="66"/>
        <v>21.220992000000003</v>
      </c>
      <c r="AZ174" s="9">
        <v>1522.2687500000002</v>
      </c>
      <c r="BA174" s="25">
        <v>2.3999999999999998E-3</v>
      </c>
      <c r="BB174" s="9">
        <f t="shared" si="67"/>
        <v>3.6534450000000001</v>
      </c>
      <c r="BC174" s="25">
        <v>1.2200000000000001E-2</v>
      </c>
      <c r="BD174" s="9">
        <f t="shared" si="68"/>
        <v>18.571678750000004</v>
      </c>
      <c r="BE174" s="9">
        <v>510.11999999999989</v>
      </c>
      <c r="BF174" s="9">
        <v>1.9E-3</v>
      </c>
      <c r="BG174" s="9">
        <f t="shared" si="69"/>
        <v>0.96922799999999976</v>
      </c>
      <c r="BH174" s="9">
        <v>9.5999999999999992E-3</v>
      </c>
      <c r="BI174" s="9">
        <f t="shared" si="70"/>
        <v>4.8971519999999984</v>
      </c>
      <c r="BJ174" s="9">
        <v>2040.4800000000005</v>
      </c>
      <c r="BK174" s="9">
        <v>2.0999999999999999E-3</v>
      </c>
      <c r="BL174" s="9">
        <f t="shared" si="71"/>
        <v>4.2850080000000004</v>
      </c>
      <c r="BM174" s="9">
        <v>1.04E-2</v>
      </c>
      <c r="BN174" s="9">
        <f t="shared" si="72"/>
        <v>21.220992000000003</v>
      </c>
      <c r="BO174" s="9">
        <v>1263.7132499999998</v>
      </c>
      <c r="BP174" s="9">
        <v>2.3999999999999998E-3</v>
      </c>
      <c r="BQ174" s="9">
        <f t="shared" si="73"/>
        <v>3.032911799999999</v>
      </c>
      <c r="BR174" s="9">
        <v>1.2200000000000001E-2</v>
      </c>
      <c r="BS174" s="9">
        <f t="shared" si="74"/>
        <v>15.417301649999999</v>
      </c>
      <c r="BT174" s="9">
        <f t="shared" si="75"/>
        <v>8.9076810000000002</v>
      </c>
      <c r="BU174" s="9">
        <f t="shared" si="76"/>
        <v>44.689822750000005</v>
      </c>
      <c r="BV174" s="9">
        <f t="shared" si="77"/>
        <v>340.485681</v>
      </c>
      <c r="BW174">
        <f t="shared" si="78"/>
        <v>340.485681</v>
      </c>
      <c r="BX174">
        <v>0</v>
      </c>
      <c r="BY174">
        <f t="shared" si="79"/>
        <v>1684.72562275</v>
      </c>
      <c r="BZ174">
        <v>2521.05241815</v>
      </c>
      <c r="CA174">
        <f t="shared" si="80"/>
        <v>5001.9494008500005</v>
      </c>
      <c r="CB174">
        <f t="shared" si="81"/>
        <v>9548.2131227499995</v>
      </c>
      <c r="CC174">
        <v>0</v>
      </c>
      <c r="CD174">
        <v>0</v>
      </c>
      <c r="CE174">
        <f t="shared" si="82"/>
        <v>0</v>
      </c>
      <c r="CF174">
        <f t="shared" si="83"/>
        <v>7863.4875000000002</v>
      </c>
      <c r="CG174">
        <f t="shared" si="84"/>
        <v>5001.9494008500005</v>
      </c>
      <c r="CH174">
        <f t="shared" si="85"/>
        <v>0</v>
      </c>
      <c r="CJ174" t="s">
        <v>278</v>
      </c>
      <c r="CL174" t="str">
        <f t="shared" si="86"/>
        <v/>
      </c>
    </row>
    <row r="175" spans="1:90" x14ac:dyDescent="0.25">
      <c r="A175" t="s">
        <v>118</v>
      </c>
      <c r="B175" t="s">
        <v>178</v>
      </c>
      <c r="C175" s="1">
        <v>46113</v>
      </c>
      <c r="D175" t="s">
        <v>174</v>
      </c>
      <c r="E175" t="s">
        <v>175</v>
      </c>
      <c r="F175" s="4">
        <v>1</v>
      </c>
      <c r="G175" s="4">
        <v>0.25</v>
      </c>
      <c r="H175" s="9">
        <v>7863.4875000000002</v>
      </c>
      <c r="I175" s="9">
        <v>1310.58125</v>
      </c>
      <c r="J175" s="9">
        <f t="shared" si="58"/>
        <v>9174.0687500000004</v>
      </c>
      <c r="K175" s="9">
        <v>0</v>
      </c>
      <c r="L175" s="9">
        <f t="shared" si="59"/>
        <v>0</v>
      </c>
      <c r="M175">
        <v>0</v>
      </c>
      <c r="N175" s="4">
        <f t="shared" si="60"/>
        <v>0</v>
      </c>
      <c r="O175" s="9">
        <v>6290.79</v>
      </c>
      <c r="P175" s="9">
        <v>1572.6975</v>
      </c>
      <c r="Q175" s="9">
        <v>0</v>
      </c>
      <c r="R175" s="9">
        <v>0</v>
      </c>
      <c r="S175" s="9">
        <v>0</v>
      </c>
      <c r="T175" s="9">
        <v>0</v>
      </c>
      <c r="U175" s="9">
        <v>0</v>
      </c>
      <c r="V175" s="9">
        <v>0</v>
      </c>
      <c r="W175" s="9">
        <f t="shared" si="61"/>
        <v>7863.4875000000002</v>
      </c>
      <c r="X175" s="9">
        <v>1310.58125</v>
      </c>
      <c r="Y175" s="9">
        <v>0</v>
      </c>
      <c r="Z175" s="9">
        <v>9174.0687500000004</v>
      </c>
      <c r="AA175" s="9">
        <v>0</v>
      </c>
      <c r="AB175" s="9">
        <f t="shared" si="62"/>
        <v>9174.0687500000004</v>
      </c>
      <c r="AC175" s="9">
        <v>5101.2</v>
      </c>
      <c r="AD175" s="9">
        <v>0</v>
      </c>
      <c r="AE175" s="9">
        <v>7863.4875000000002</v>
      </c>
      <c r="AF175" s="9">
        <v>239.75639999999999</v>
      </c>
      <c r="AG175" s="9">
        <v>1203.8832</v>
      </c>
      <c r="AH175" s="9">
        <v>79.068600000000004</v>
      </c>
      <c r="AI175" s="9">
        <v>280.56599999999997</v>
      </c>
      <c r="AJ175" s="9">
        <v>10.202399999999999</v>
      </c>
      <c r="AK175" s="9">
        <v>5.1011999999999995</v>
      </c>
      <c r="AL175" s="9">
        <v>30.607199999999999</v>
      </c>
      <c r="AM175" s="9">
        <v>7.6517999999999997</v>
      </c>
      <c r="AN175" s="9">
        <v>38.259</v>
      </c>
      <c r="AO175" s="9">
        <v>76.518000000000001</v>
      </c>
      <c r="AP175" s="9">
        <v>510.11999999999989</v>
      </c>
      <c r="AQ175" s="25">
        <v>1.9E-3</v>
      </c>
      <c r="AR175" s="9">
        <f t="shared" si="63"/>
        <v>0.96922799999999976</v>
      </c>
      <c r="AS175" s="25">
        <v>9.5999999999999992E-3</v>
      </c>
      <c r="AT175" s="9">
        <f t="shared" si="64"/>
        <v>4.8971519999999984</v>
      </c>
      <c r="AU175" s="9">
        <v>2040.4800000000005</v>
      </c>
      <c r="AV175" s="25">
        <v>2.0999999999999999E-3</v>
      </c>
      <c r="AW175" s="9">
        <f t="shared" si="65"/>
        <v>4.2850080000000004</v>
      </c>
      <c r="AX175" s="25">
        <v>1.04E-2</v>
      </c>
      <c r="AY175" s="9">
        <f t="shared" si="66"/>
        <v>21.220992000000003</v>
      </c>
      <c r="AZ175" s="9">
        <v>1522.2687500000002</v>
      </c>
      <c r="BA175" s="25">
        <v>2.3999999999999998E-3</v>
      </c>
      <c r="BB175" s="9">
        <f t="shared" si="67"/>
        <v>3.6534450000000001</v>
      </c>
      <c r="BC175" s="25">
        <v>1.2200000000000001E-2</v>
      </c>
      <c r="BD175" s="9">
        <f t="shared" si="68"/>
        <v>18.571678750000004</v>
      </c>
      <c r="BE175" s="9">
        <v>510.11999999999989</v>
      </c>
      <c r="BF175" s="9">
        <v>1.9E-3</v>
      </c>
      <c r="BG175" s="9">
        <f t="shared" si="69"/>
        <v>0.96922799999999976</v>
      </c>
      <c r="BH175" s="9">
        <v>9.5999999999999992E-3</v>
      </c>
      <c r="BI175" s="9">
        <f t="shared" si="70"/>
        <v>4.8971519999999984</v>
      </c>
      <c r="BJ175" s="9">
        <v>2040.4800000000005</v>
      </c>
      <c r="BK175" s="9">
        <v>2.0999999999999999E-3</v>
      </c>
      <c r="BL175" s="9">
        <f t="shared" si="71"/>
        <v>4.2850080000000004</v>
      </c>
      <c r="BM175" s="9">
        <v>1.04E-2</v>
      </c>
      <c r="BN175" s="9">
        <f t="shared" si="72"/>
        <v>21.220992000000003</v>
      </c>
      <c r="BO175" s="9">
        <v>1263.7132499999998</v>
      </c>
      <c r="BP175" s="9">
        <v>2.3999999999999998E-3</v>
      </c>
      <c r="BQ175" s="9">
        <f t="shared" si="73"/>
        <v>3.032911799999999</v>
      </c>
      <c r="BR175" s="9">
        <v>1.2200000000000001E-2</v>
      </c>
      <c r="BS175" s="9">
        <f t="shared" si="74"/>
        <v>15.417301649999999</v>
      </c>
      <c r="BT175" s="9">
        <f t="shared" si="75"/>
        <v>8.9076810000000002</v>
      </c>
      <c r="BU175" s="9">
        <f t="shared" si="76"/>
        <v>44.689822750000005</v>
      </c>
      <c r="BV175" s="9">
        <f t="shared" si="77"/>
        <v>340.485681</v>
      </c>
      <c r="BW175">
        <f t="shared" si="78"/>
        <v>340.485681</v>
      </c>
      <c r="BX175">
        <v>0</v>
      </c>
      <c r="BY175">
        <f t="shared" si="79"/>
        <v>1684.72562275</v>
      </c>
      <c r="BZ175">
        <v>2521.05241815</v>
      </c>
      <c r="CA175">
        <f t="shared" si="80"/>
        <v>5001.9494008500005</v>
      </c>
      <c r="CB175">
        <f t="shared" si="81"/>
        <v>9548.2131227499995</v>
      </c>
      <c r="CC175">
        <v>0</v>
      </c>
      <c r="CD175">
        <v>0</v>
      </c>
      <c r="CE175">
        <f t="shared" si="82"/>
        <v>0</v>
      </c>
      <c r="CF175">
        <f t="shared" si="83"/>
        <v>7863.4875000000002</v>
      </c>
      <c r="CG175">
        <f t="shared" si="84"/>
        <v>5001.9494008500005</v>
      </c>
      <c r="CH175">
        <f t="shared" si="85"/>
        <v>0</v>
      </c>
      <c r="CJ175" t="s">
        <v>278</v>
      </c>
      <c r="CL175" t="str">
        <f t="shared" si="86"/>
        <v/>
      </c>
    </row>
    <row r="176" spans="1:90" x14ac:dyDescent="0.25">
      <c r="A176" t="s">
        <v>118</v>
      </c>
      <c r="B176" t="s">
        <v>179</v>
      </c>
      <c r="C176" s="1">
        <v>46143</v>
      </c>
      <c r="D176" t="s">
        <v>174</v>
      </c>
      <c r="E176" t="s">
        <v>175</v>
      </c>
      <c r="F176" s="4">
        <v>1</v>
      </c>
      <c r="G176" s="4">
        <v>0.25</v>
      </c>
      <c r="H176" s="9">
        <v>7863.4875000000002</v>
      </c>
      <c r="I176" s="9">
        <v>1310.58125</v>
      </c>
      <c r="J176" s="9">
        <f t="shared" si="58"/>
        <v>9174.0687500000004</v>
      </c>
      <c r="K176" s="9">
        <v>0</v>
      </c>
      <c r="L176" s="9">
        <f t="shared" si="59"/>
        <v>0</v>
      </c>
      <c r="M176">
        <v>0</v>
      </c>
      <c r="N176" s="4">
        <f t="shared" si="60"/>
        <v>0</v>
      </c>
      <c r="O176" s="9">
        <v>6290.79</v>
      </c>
      <c r="P176" s="9">
        <v>1572.6975</v>
      </c>
      <c r="Q176" s="9">
        <v>0</v>
      </c>
      <c r="R176" s="9">
        <v>0</v>
      </c>
      <c r="S176" s="9">
        <v>0</v>
      </c>
      <c r="T176" s="9">
        <v>0</v>
      </c>
      <c r="U176" s="9">
        <v>0</v>
      </c>
      <c r="V176" s="9">
        <v>0</v>
      </c>
      <c r="W176" s="9">
        <f t="shared" si="61"/>
        <v>7863.4875000000002</v>
      </c>
      <c r="X176" s="9">
        <v>1310.58125</v>
      </c>
      <c r="Y176" s="9">
        <v>0</v>
      </c>
      <c r="Z176" s="9">
        <v>9174.0687500000004</v>
      </c>
      <c r="AA176" s="9">
        <v>0</v>
      </c>
      <c r="AB176" s="9">
        <f t="shared" si="62"/>
        <v>9174.0687500000004</v>
      </c>
      <c r="AC176" s="9">
        <v>5101.2</v>
      </c>
      <c r="AD176" s="9">
        <v>0</v>
      </c>
      <c r="AE176" s="9">
        <v>7863.4875000000002</v>
      </c>
      <c r="AF176" s="9">
        <v>239.75639999999999</v>
      </c>
      <c r="AG176" s="9">
        <v>1203.8832</v>
      </c>
      <c r="AH176" s="9">
        <v>79.068600000000004</v>
      </c>
      <c r="AI176" s="9">
        <v>280.56599999999997</v>
      </c>
      <c r="AJ176" s="9">
        <v>10.202399999999999</v>
      </c>
      <c r="AK176" s="9">
        <v>5.1011999999999995</v>
      </c>
      <c r="AL176" s="9">
        <v>30.607199999999999</v>
      </c>
      <c r="AM176" s="9">
        <v>7.6517999999999997</v>
      </c>
      <c r="AN176" s="9">
        <v>38.259</v>
      </c>
      <c r="AO176" s="9">
        <v>76.518000000000001</v>
      </c>
      <c r="AP176" s="9">
        <v>510.11999999999989</v>
      </c>
      <c r="AQ176" s="25">
        <v>1.9E-3</v>
      </c>
      <c r="AR176" s="9">
        <f t="shared" si="63"/>
        <v>0.96922799999999976</v>
      </c>
      <c r="AS176" s="25">
        <v>9.5999999999999992E-3</v>
      </c>
      <c r="AT176" s="9">
        <f t="shared" si="64"/>
        <v>4.8971519999999984</v>
      </c>
      <c r="AU176" s="9">
        <v>2040.4800000000005</v>
      </c>
      <c r="AV176" s="25">
        <v>2.0999999999999999E-3</v>
      </c>
      <c r="AW176" s="9">
        <f t="shared" si="65"/>
        <v>4.2850080000000004</v>
      </c>
      <c r="AX176" s="25">
        <v>1.04E-2</v>
      </c>
      <c r="AY176" s="9">
        <f t="shared" si="66"/>
        <v>21.220992000000003</v>
      </c>
      <c r="AZ176" s="9">
        <v>1522.2687500000002</v>
      </c>
      <c r="BA176" s="25">
        <v>2.3999999999999998E-3</v>
      </c>
      <c r="BB176" s="9">
        <f t="shared" si="67"/>
        <v>3.6534450000000001</v>
      </c>
      <c r="BC176" s="25">
        <v>1.2200000000000001E-2</v>
      </c>
      <c r="BD176" s="9">
        <f t="shared" si="68"/>
        <v>18.571678750000004</v>
      </c>
      <c r="BE176" s="9">
        <v>510.11999999999989</v>
      </c>
      <c r="BF176" s="9">
        <v>1.9E-3</v>
      </c>
      <c r="BG176" s="9">
        <f t="shared" si="69"/>
        <v>0.96922799999999976</v>
      </c>
      <c r="BH176" s="9">
        <v>9.5999999999999992E-3</v>
      </c>
      <c r="BI176" s="9">
        <f t="shared" si="70"/>
        <v>4.8971519999999984</v>
      </c>
      <c r="BJ176" s="9">
        <v>2040.4800000000005</v>
      </c>
      <c r="BK176" s="9">
        <v>2.0999999999999999E-3</v>
      </c>
      <c r="BL176" s="9">
        <f t="shared" si="71"/>
        <v>4.2850080000000004</v>
      </c>
      <c r="BM176" s="9">
        <v>1.04E-2</v>
      </c>
      <c r="BN176" s="9">
        <f t="shared" si="72"/>
        <v>21.220992000000003</v>
      </c>
      <c r="BO176" s="9">
        <v>1263.7132499999998</v>
      </c>
      <c r="BP176" s="9">
        <v>2.3999999999999998E-3</v>
      </c>
      <c r="BQ176" s="9">
        <f t="shared" si="73"/>
        <v>3.032911799999999</v>
      </c>
      <c r="BR176" s="9">
        <v>1.2200000000000001E-2</v>
      </c>
      <c r="BS176" s="9">
        <f t="shared" si="74"/>
        <v>15.417301649999999</v>
      </c>
      <c r="BT176" s="9">
        <f t="shared" si="75"/>
        <v>8.9076810000000002</v>
      </c>
      <c r="BU176" s="9">
        <f t="shared" si="76"/>
        <v>44.689822750000005</v>
      </c>
      <c r="BV176" s="9">
        <f t="shared" si="77"/>
        <v>340.485681</v>
      </c>
      <c r="BW176">
        <f t="shared" si="78"/>
        <v>340.485681</v>
      </c>
      <c r="BX176">
        <v>0</v>
      </c>
      <c r="BY176">
        <f t="shared" si="79"/>
        <v>1684.72562275</v>
      </c>
      <c r="BZ176">
        <v>2521.05241815</v>
      </c>
      <c r="CA176">
        <f t="shared" si="80"/>
        <v>5001.9494008500005</v>
      </c>
      <c r="CB176">
        <f t="shared" si="81"/>
        <v>9548.2131227499995</v>
      </c>
      <c r="CC176">
        <v>0</v>
      </c>
      <c r="CD176">
        <v>0</v>
      </c>
      <c r="CE176">
        <f t="shared" si="82"/>
        <v>0</v>
      </c>
      <c r="CF176">
        <f t="shared" si="83"/>
        <v>7863.4875000000002</v>
      </c>
      <c r="CG176">
        <f t="shared" si="84"/>
        <v>5001.9494008500005</v>
      </c>
      <c r="CH176">
        <f t="shared" si="85"/>
        <v>0</v>
      </c>
      <c r="CJ176" t="s">
        <v>278</v>
      </c>
      <c r="CL176" t="str">
        <f t="shared" si="86"/>
        <v/>
      </c>
    </row>
    <row r="177" spans="1:90" x14ac:dyDescent="0.25">
      <c r="A177" t="s">
        <v>118</v>
      </c>
      <c r="B177" t="s">
        <v>180</v>
      </c>
      <c r="C177" s="1">
        <v>46174</v>
      </c>
      <c r="D177" t="s">
        <v>174</v>
      </c>
      <c r="E177" t="s">
        <v>175</v>
      </c>
      <c r="F177" s="4">
        <v>1</v>
      </c>
      <c r="G177" s="4">
        <v>0.25</v>
      </c>
      <c r="H177" s="9">
        <v>7863.4875000000002</v>
      </c>
      <c r="I177" s="9">
        <v>1310.58125</v>
      </c>
      <c r="J177" s="9">
        <f t="shared" si="58"/>
        <v>9174.0687500000004</v>
      </c>
      <c r="K177" s="9">
        <v>0</v>
      </c>
      <c r="L177" s="9">
        <f t="shared" si="59"/>
        <v>0</v>
      </c>
      <c r="M177">
        <v>0</v>
      </c>
      <c r="N177" s="4">
        <f t="shared" si="60"/>
        <v>0</v>
      </c>
      <c r="O177" s="9">
        <v>6290.79</v>
      </c>
      <c r="P177" s="9">
        <v>1572.6975</v>
      </c>
      <c r="Q177" s="9">
        <v>0</v>
      </c>
      <c r="R177" s="9">
        <v>0</v>
      </c>
      <c r="S177" s="9">
        <v>0</v>
      </c>
      <c r="T177" s="9">
        <v>0</v>
      </c>
      <c r="U177" s="9">
        <v>0</v>
      </c>
      <c r="V177" s="9">
        <v>0</v>
      </c>
      <c r="W177" s="9">
        <f t="shared" si="61"/>
        <v>7863.4875000000002</v>
      </c>
      <c r="X177" s="9">
        <v>1310.58125</v>
      </c>
      <c r="Y177" s="9">
        <v>0</v>
      </c>
      <c r="Z177" s="9">
        <v>9174.0687500000004</v>
      </c>
      <c r="AA177" s="9">
        <v>0</v>
      </c>
      <c r="AB177" s="9">
        <f t="shared" si="62"/>
        <v>9174.0687500000004</v>
      </c>
      <c r="AC177" s="9">
        <v>5101.2</v>
      </c>
      <c r="AD177" s="9">
        <v>0</v>
      </c>
      <c r="AE177" s="9">
        <v>7863.4875000000002</v>
      </c>
      <c r="AF177" s="9">
        <v>239.75639999999999</v>
      </c>
      <c r="AG177" s="9">
        <v>1203.8832</v>
      </c>
      <c r="AH177" s="9">
        <v>79.068600000000004</v>
      </c>
      <c r="AI177" s="9">
        <v>280.56599999999997</v>
      </c>
      <c r="AJ177" s="9">
        <v>10.202399999999999</v>
      </c>
      <c r="AK177" s="9">
        <v>5.1011999999999995</v>
      </c>
      <c r="AL177" s="9">
        <v>30.607199999999999</v>
      </c>
      <c r="AM177" s="9">
        <v>7.6517999999999997</v>
      </c>
      <c r="AN177" s="9">
        <v>38.259</v>
      </c>
      <c r="AO177" s="9">
        <v>76.518000000000001</v>
      </c>
      <c r="AP177" s="9">
        <v>510.11999999999989</v>
      </c>
      <c r="AQ177" s="25">
        <v>1.9E-3</v>
      </c>
      <c r="AR177" s="9">
        <f t="shared" si="63"/>
        <v>0.96922799999999976</v>
      </c>
      <c r="AS177" s="25">
        <v>9.5999999999999992E-3</v>
      </c>
      <c r="AT177" s="9">
        <f t="shared" si="64"/>
        <v>4.8971519999999984</v>
      </c>
      <c r="AU177" s="9">
        <v>2040.4800000000005</v>
      </c>
      <c r="AV177" s="25">
        <v>2.0999999999999999E-3</v>
      </c>
      <c r="AW177" s="9">
        <f t="shared" si="65"/>
        <v>4.2850080000000004</v>
      </c>
      <c r="AX177" s="25">
        <v>1.04E-2</v>
      </c>
      <c r="AY177" s="9">
        <f t="shared" si="66"/>
        <v>21.220992000000003</v>
      </c>
      <c r="AZ177" s="9">
        <v>1522.2687500000002</v>
      </c>
      <c r="BA177" s="25">
        <v>2.3999999999999998E-3</v>
      </c>
      <c r="BB177" s="9">
        <f t="shared" si="67"/>
        <v>3.6534450000000001</v>
      </c>
      <c r="BC177" s="25">
        <v>1.2200000000000001E-2</v>
      </c>
      <c r="BD177" s="9">
        <f t="shared" si="68"/>
        <v>18.571678750000004</v>
      </c>
      <c r="BE177" s="9">
        <v>510.11999999999989</v>
      </c>
      <c r="BF177" s="9">
        <v>1.9E-3</v>
      </c>
      <c r="BG177" s="9">
        <f t="shared" si="69"/>
        <v>0.96922799999999976</v>
      </c>
      <c r="BH177" s="9">
        <v>9.5999999999999992E-3</v>
      </c>
      <c r="BI177" s="9">
        <f t="shared" si="70"/>
        <v>4.8971519999999984</v>
      </c>
      <c r="BJ177" s="9">
        <v>2040.4800000000005</v>
      </c>
      <c r="BK177" s="9">
        <v>2.0999999999999999E-3</v>
      </c>
      <c r="BL177" s="9">
        <f t="shared" si="71"/>
        <v>4.2850080000000004</v>
      </c>
      <c r="BM177" s="9">
        <v>1.04E-2</v>
      </c>
      <c r="BN177" s="9">
        <f t="shared" si="72"/>
        <v>21.220992000000003</v>
      </c>
      <c r="BO177" s="9">
        <v>1263.7132499999998</v>
      </c>
      <c r="BP177" s="9">
        <v>2.3999999999999998E-3</v>
      </c>
      <c r="BQ177" s="9">
        <f t="shared" si="73"/>
        <v>3.032911799999999</v>
      </c>
      <c r="BR177" s="9">
        <v>1.2200000000000001E-2</v>
      </c>
      <c r="BS177" s="9">
        <f t="shared" si="74"/>
        <v>15.417301649999999</v>
      </c>
      <c r="BT177" s="9">
        <f t="shared" si="75"/>
        <v>8.9076810000000002</v>
      </c>
      <c r="BU177" s="9">
        <f t="shared" si="76"/>
        <v>44.689822750000005</v>
      </c>
      <c r="BV177" s="9">
        <f t="shared" si="77"/>
        <v>340.485681</v>
      </c>
      <c r="BW177">
        <f t="shared" si="78"/>
        <v>340.485681</v>
      </c>
      <c r="BX177">
        <v>0</v>
      </c>
      <c r="BY177">
        <f t="shared" si="79"/>
        <v>1684.72562275</v>
      </c>
      <c r="BZ177">
        <v>2521.05241815</v>
      </c>
      <c r="CA177">
        <f t="shared" si="80"/>
        <v>5001.9494008500005</v>
      </c>
      <c r="CB177">
        <f t="shared" si="81"/>
        <v>9548.2131227499995</v>
      </c>
      <c r="CC177">
        <v>0</v>
      </c>
      <c r="CD177">
        <v>0</v>
      </c>
      <c r="CE177">
        <f t="shared" si="82"/>
        <v>0</v>
      </c>
      <c r="CF177">
        <f t="shared" si="83"/>
        <v>7863.4875000000002</v>
      </c>
      <c r="CG177">
        <f t="shared" si="84"/>
        <v>5001.9494008500005</v>
      </c>
      <c r="CH177">
        <f t="shared" si="85"/>
        <v>0</v>
      </c>
      <c r="CJ177" t="s">
        <v>278</v>
      </c>
      <c r="CL177" t="str">
        <f t="shared" si="86"/>
        <v/>
      </c>
    </row>
    <row r="178" spans="1:90" x14ac:dyDescent="0.25">
      <c r="A178" t="s">
        <v>118</v>
      </c>
      <c r="B178" t="s">
        <v>181</v>
      </c>
      <c r="C178" s="1">
        <v>46204</v>
      </c>
      <c r="D178" t="s">
        <v>182</v>
      </c>
      <c r="E178" t="s">
        <v>175</v>
      </c>
      <c r="F178" s="4">
        <v>1</v>
      </c>
      <c r="G178" s="4">
        <v>0.25</v>
      </c>
      <c r="H178" s="9">
        <v>7863.4875000000002</v>
      </c>
      <c r="I178" s="9">
        <v>1310.58125</v>
      </c>
      <c r="J178" s="9">
        <f t="shared" si="58"/>
        <v>9174.0687500000004</v>
      </c>
      <c r="K178" s="9">
        <v>0</v>
      </c>
      <c r="L178" s="9">
        <f t="shared" si="59"/>
        <v>0</v>
      </c>
      <c r="M178">
        <v>0</v>
      </c>
      <c r="N178" s="4">
        <f t="shared" si="60"/>
        <v>0</v>
      </c>
      <c r="O178" s="9">
        <v>6290.79</v>
      </c>
      <c r="P178" s="9">
        <v>1572.6975</v>
      </c>
      <c r="Q178" s="9">
        <v>0</v>
      </c>
      <c r="R178" s="9">
        <v>0</v>
      </c>
      <c r="S178" s="9">
        <v>0</v>
      </c>
      <c r="T178" s="9">
        <v>0</v>
      </c>
      <c r="U178" s="9">
        <v>0</v>
      </c>
      <c r="V178" s="9">
        <v>0</v>
      </c>
      <c r="W178" s="9">
        <f t="shared" si="61"/>
        <v>7863.4875000000002</v>
      </c>
      <c r="X178" s="9">
        <v>0</v>
      </c>
      <c r="Y178" s="9">
        <v>0</v>
      </c>
      <c r="Z178" s="9">
        <v>0</v>
      </c>
      <c r="AA178" s="9">
        <v>0</v>
      </c>
      <c r="AB178" s="9">
        <f t="shared" si="62"/>
        <v>0</v>
      </c>
      <c r="AC178" s="9">
        <v>0</v>
      </c>
      <c r="AD178" s="9">
        <v>0</v>
      </c>
      <c r="AE178" s="9">
        <v>7863.4875000000002</v>
      </c>
      <c r="AF178" s="9">
        <v>0</v>
      </c>
      <c r="AG178" s="9">
        <v>0</v>
      </c>
      <c r="AH178" s="9">
        <v>0</v>
      </c>
      <c r="AI178" s="9">
        <v>0</v>
      </c>
      <c r="AJ178" s="9">
        <v>0</v>
      </c>
      <c r="AK178" s="9">
        <v>0</v>
      </c>
      <c r="AL178" s="9">
        <v>0</v>
      </c>
      <c r="AM178" s="9">
        <v>0</v>
      </c>
      <c r="AN178" s="9">
        <v>0</v>
      </c>
      <c r="AO178" s="9">
        <v>0</v>
      </c>
      <c r="AP178" s="9">
        <v>0</v>
      </c>
      <c r="AQ178" s="25">
        <v>0</v>
      </c>
      <c r="AR178" s="9">
        <f t="shared" si="63"/>
        <v>0</v>
      </c>
      <c r="AS178" s="25">
        <v>0</v>
      </c>
      <c r="AT178" s="9">
        <f t="shared" si="64"/>
        <v>0</v>
      </c>
      <c r="AU178" s="9">
        <v>0</v>
      </c>
      <c r="AV178" s="25">
        <v>0</v>
      </c>
      <c r="AW178" s="9">
        <f t="shared" si="65"/>
        <v>0</v>
      </c>
      <c r="AX178" s="25">
        <v>0</v>
      </c>
      <c r="AY178" s="9">
        <f t="shared" si="66"/>
        <v>0</v>
      </c>
      <c r="AZ178" s="9">
        <v>0</v>
      </c>
      <c r="BA178" s="25">
        <v>0</v>
      </c>
      <c r="BB178" s="9">
        <f t="shared" si="67"/>
        <v>0</v>
      </c>
      <c r="BC178" s="25">
        <v>0</v>
      </c>
      <c r="BD178" s="9">
        <f t="shared" si="68"/>
        <v>0</v>
      </c>
      <c r="BE178" s="9">
        <v>0</v>
      </c>
      <c r="BF178" s="9">
        <v>0</v>
      </c>
      <c r="BG178" s="9">
        <f t="shared" si="69"/>
        <v>0</v>
      </c>
      <c r="BH178" s="9">
        <v>0</v>
      </c>
      <c r="BI178" s="9">
        <f t="shared" si="70"/>
        <v>0</v>
      </c>
      <c r="BJ178" s="9">
        <v>0</v>
      </c>
      <c r="BK178" s="9">
        <v>0</v>
      </c>
      <c r="BL178" s="9">
        <f t="shared" si="71"/>
        <v>0</v>
      </c>
      <c r="BM178" s="9">
        <v>0</v>
      </c>
      <c r="BN178" s="9">
        <f t="shared" si="72"/>
        <v>0</v>
      </c>
      <c r="BO178" s="9">
        <v>0</v>
      </c>
      <c r="BP178" s="9">
        <v>0</v>
      </c>
      <c r="BQ178" s="9">
        <f t="shared" si="73"/>
        <v>0</v>
      </c>
      <c r="BR178" s="9">
        <v>0</v>
      </c>
      <c r="BS178" s="9">
        <f t="shared" si="74"/>
        <v>0</v>
      </c>
      <c r="BT178" s="9">
        <f t="shared" si="75"/>
        <v>0</v>
      </c>
      <c r="BU178" s="9">
        <f t="shared" si="76"/>
        <v>0</v>
      </c>
      <c r="BV178" s="9">
        <f t="shared" si="77"/>
        <v>0</v>
      </c>
      <c r="BW178">
        <f t="shared" si="78"/>
        <v>0</v>
      </c>
      <c r="BX178">
        <v>0</v>
      </c>
      <c r="BY178">
        <f t="shared" si="79"/>
        <v>0</v>
      </c>
      <c r="BZ178">
        <v>2521.05241815</v>
      </c>
      <c r="CA178">
        <f t="shared" si="80"/>
        <v>5342.4350818500006</v>
      </c>
      <c r="CB178">
        <f t="shared" si="81"/>
        <v>7863.4875000000002</v>
      </c>
      <c r="CC178">
        <v>0</v>
      </c>
      <c r="CD178">
        <v>0</v>
      </c>
      <c r="CE178">
        <f t="shared" si="82"/>
        <v>0</v>
      </c>
      <c r="CF178">
        <f t="shared" si="83"/>
        <v>7863.4875000000002</v>
      </c>
      <c r="CG178">
        <f t="shared" si="84"/>
        <v>5342.4350818500006</v>
      </c>
      <c r="CH178">
        <f t="shared" si="85"/>
        <v>0</v>
      </c>
      <c r="CJ178" t="s">
        <v>278</v>
      </c>
      <c r="CL178" t="str">
        <f t="shared" si="86"/>
        <v/>
      </c>
    </row>
    <row r="179" spans="1:90" x14ac:dyDescent="0.25">
      <c r="A179" t="s">
        <v>118</v>
      </c>
      <c r="B179" t="s">
        <v>183</v>
      </c>
      <c r="C179" s="1">
        <v>46204</v>
      </c>
      <c r="D179" t="s">
        <v>174</v>
      </c>
      <c r="E179" t="s">
        <v>175</v>
      </c>
      <c r="F179" s="4">
        <v>1</v>
      </c>
      <c r="G179" s="4">
        <v>0.25</v>
      </c>
      <c r="H179" s="9">
        <v>7863.4875000000002</v>
      </c>
      <c r="I179" s="9">
        <v>1310.58125</v>
      </c>
      <c r="J179" s="9">
        <f t="shared" si="58"/>
        <v>9174.0687500000004</v>
      </c>
      <c r="K179" s="9">
        <v>0</v>
      </c>
      <c r="L179" s="9">
        <f t="shared" si="59"/>
        <v>0</v>
      </c>
      <c r="M179">
        <v>0</v>
      </c>
      <c r="N179" s="4">
        <f t="shared" si="60"/>
        <v>0</v>
      </c>
      <c r="O179" s="9">
        <v>6290.79</v>
      </c>
      <c r="P179" s="9">
        <v>1572.6975</v>
      </c>
      <c r="Q179" s="9">
        <v>0</v>
      </c>
      <c r="R179" s="9">
        <v>0</v>
      </c>
      <c r="S179" s="9">
        <v>0</v>
      </c>
      <c r="T179" s="9">
        <v>0</v>
      </c>
      <c r="U179" s="9">
        <v>0</v>
      </c>
      <c r="V179" s="9">
        <v>0</v>
      </c>
      <c r="W179" s="9">
        <f t="shared" si="61"/>
        <v>7863.4875000000002</v>
      </c>
      <c r="X179" s="9">
        <v>1310.58125</v>
      </c>
      <c r="Y179" s="9">
        <v>0</v>
      </c>
      <c r="Z179" s="9">
        <v>9174.0687500000004</v>
      </c>
      <c r="AA179" s="9">
        <v>0</v>
      </c>
      <c r="AB179" s="9">
        <f t="shared" si="62"/>
        <v>9174.0687500000004</v>
      </c>
      <c r="AC179" s="9">
        <v>5101.2</v>
      </c>
      <c r="AD179" s="9">
        <v>0</v>
      </c>
      <c r="AE179" s="9">
        <v>7863.4875000000002</v>
      </c>
      <c r="AF179" s="9">
        <v>239.75639999999999</v>
      </c>
      <c r="AG179" s="9">
        <v>1203.8832</v>
      </c>
      <c r="AH179" s="9">
        <v>79.068600000000004</v>
      </c>
      <c r="AI179" s="9">
        <v>280.56599999999997</v>
      </c>
      <c r="AJ179" s="9">
        <v>10.202399999999999</v>
      </c>
      <c r="AK179" s="9">
        <v>5.1011999999999995</v>
      </c>
      <c r="AL179" s="9">
        <v>30.607199999999999</v>
      </c>
      <c r="AM179" s="9">
        <v>7.6517999999999997</v>
      </c>
      <c r="AN179" s="9">
        <v>38.259</v>
      </c>
      <c r="AO179" s="9">
        <v>76.518000000000001</v>
      </c>
      <c r="AP179" s="9">
        <v>510.11999999999989</v>
      </c>
      <c r="AQ179" s="25">
        <v>1.9E-3</v>
      </c>
      <c r="AR179" s="9">
        <f t="shared" si="63"/>
        <v>0.96922799999999976</v>
      </c>
      <c r="AS179" s="25">
        <v>9.5999999999999992E-3</v>
      </c>
      <c r="AT179" s="9">
        <f t="shared" si="64"/>
        <v>4.8971519999999984</v>
      </c>
      <c r="AU179" s="9">
        <v>2040.4800000000005</v>
      </c>
      <c r="AV179" s="25">
        <v>2.0999999999999999E-3</v>
      </c>
      <c r="AW179" s="9">
        <f t="shared" si="65"/>
        <v>4.2850080000000004</v>
      </c>
      <c r="AX179" s="25">
        <v>1.04E-2</v>
      </c>
      <c r="AY179" s="9">
        <f t="shared" si="66"/>
        <v>21.220992000000003</v>
      </c>
      <c r="AZ179" s="9">
        <v>1522.2687500000002</v>
      </c>
      <c r="BA179" s="25">
        <v>2.3999999999999998E-3</v>
      </c>
      <c r="BB179" s="9">
        <f t="shared" si="67"/>
        <v>3.6534450000000001</v>
      </c>
      <c r="BC179" s="25">
        <v>1.2200000000000001E-2</v>
      </c>
      <c r="BD179" s="9">
        <f t="shared" si="68"/>
        <v>18.571678750000004</v>
      </c>
      <c r="BE179" s="9">
        <v>510.11999999999989</v>
      </c>
      <c r="BF179" s="9">
        <v>1.9E-3</v>
      </c>
      <c r="BG179" s="9">
        <f t="shared" si="69"/>
        <v>0.96922799999999976</v>
      </c>
      <c r="BH179" s="9">
        <v>9.5999999999999992E-3</v>
      </c>
      <c r="BI179" s="9">
        <f t="shared" si="70"/>
        <v>4.8971519999999984</v>
      </c>
      <c r="BJ179" s="9">
        <v>2040.4800000000005</v>
      </c>
      <c r="BK179" s="9">
        <v>2.0999999999999999E-3</v>
      </c>
      <c r="BL179" s="9">
        <f t="shared" si="71"/>
        <v>4.2850080000000004</v>
      </c>
      <c r="BM179" s="9">
        <v>1.04E-2</v>
      </c>
      <c r="BN179" s="9">
        <f t="shared" si="72"/>
        <v>21.220992000000003</v>
      </c>
      <c r="BO179" s="9">
        <v>1263.7132499999998</v>
      </c>
      <c r="BP179" s="9">
        <v>2.3999999999999998E-3</v>
      </c>
      <c r="BQ179" s="9">
        <f t="shared" si="73"/>
        <v>3.032911799999999</v>
      </c>
      <c r="BR179" s="9">
        <v>1.2200000000000001E-2</v>
      </c>
      <c r="BS179" s="9">
        <f t="shared" si="74"/>
        <v>15.417301649999999</v>
      </c>
      <c r="BT179" s="9">
        <f t="shared" si="75"/>
        <v>8.9076810000000002</v>
      </c>
      <c r="BU179" s="9">
        <f t="shared" si="76"/>
        <v>44.689822750000005</v>
      </c>
      <c r="BV179" s="9">
        <f t="shared" si="77"/>
        <v>340.485681</v>
      </c>
      <c r="BW179">
        <f t="shared" si="78"/>
        <v>340.485681</v>
      </c>
      <c r="BX179">
        <v>0</v>
      </c>
      <c r="BY179">
        <f t="shared" si="79"/>
        <v>1684.72562275</v>
      </c>
      <c r="BZ179">
        <v>2521.05241815</v>
      </c>
      <c r="CA179">
        <f t="shared" si="80"/>
        <v>5001.9494008500005</v>
      </c>
      <c r="CB179">
        <f t="shared" si="81"/>
        <v>9548.2131227499995</v>
      </c>
      <c r="CC179">
        <v>0</v>
      </c>
      <c r="CD179">
        <v>0</v>
      </c>
      <c r="CE179">
        <f t="shared" si="82"/>
        <v>0</v>
      </c>
      <c r="CF179">
        <f t="shared" si="83"/>
        <v>7863.4875000000002</v>
      </c>
      <c r="CG179">
        <f t="shared" si="84"/>
        <v>5001.9494008500005</v>
      </c>
      <c r="CH179">
        <f t="shared" si="85"/>
        <v>0</v>
      </c>
      <c r="CJ179" t="s">
        <v>278</v>
      </c>
      <c r="CL179" t="str">
        <f t="shared" si="86"/>
        <v/>
      </c>
    </row>
    <row r="180" spans="1:90" x14ac:dyDescent="0.25">
      <c r="A180" t="s">
        <v>118</v>
      </c>
      <c r="B180" t="s">
        <v>184</v>
      </c>
      <c r="C180" s="1">
        <v>46235</v>
      </c>
      <c r="D180" t="s">
        <v>174</v>
      </c>
      <c r="E180" t="s">
        <v>175</v>
      </c>
      <c r="F180" s="4">
        <v>1</v>
      </c>
      <c r="G180" s="4">
        <v>0.25</v>
      </c>
      <c r="H180" s="9">
        <v>7863.4875000000002</v>
      </c>
      <c r="I180" s="9">
        <v>1310.58125</v>
      </c>
      <c r="J180" s="9">
        <f t="shared" si="58"/>
        <v>9174.0687500000004</v>
      </c>
      <c r="K180" s="9">
        <v>0</v>
      </c>
      <c r="L180" s="9">
        <f t="shared" si="59"/>
        <v>0</v>
      </c>
      <c r="M180">
        <v>0</v>
      </c>
      <c r="N180" s="4">
        <f t="shared" si="60"/>
        <v>0</v>
      </c>
      <c r="O180" s="9">
        <v>6290.79</v>
      </c>
      <c r="P180" s="9">
        <v>1572.6975</v>
      </c>
      <c r="Q180" s="9">
        <v>0</v>
      </c>
      <c r="R180" s="9">
        <v>0</v>
      </c>
      <c r="S180" s="9">
        <v>0</v>
      </c>
      <c r="T180" s="9">
        <v>0</v>
      </c>
      <c r="U180" s="9">
        <v>0</v>
      </c>
      <c r="V180" s="9">
        <v>0</v>
      </c>
      <c r="W180" s="9">
        <f t="shared" si="61"/>
        <v>7863.4875000000002</v>
      </c>
      <c r="X180" s="9">
        <v>1310.58125</v>
      </c>
      <c r="Y180" s="9">
        <v>0</v>
      </c>
      <c r="Z180" s="9">
        <v>9174.0687500000004</v>
      </c>
      <c r="AA180" s="9">
        <v>0</v>
      </c>
      <c r="AB180" s="9">
        <f t="shared" si="62"/>
        <v>9174.0687500000004</v>
      </c>
      <c r="AC180" s="9">
        <v>5101.2</v>
      </c>
      <c r="AD180" s="9">
        <v>0</v>
      </c>
      <c r="AE180" s="9">
        <v>7863.4875000000002</v>
      </c>
      <c r="AF180" s="9">
        <v>239.75639999999999</v>
      </c>
      <c r="AG180" s="9">
        <v>1203.8832</v>
      </c>
      <c r="AH180" s="9">
        <v>79.068600000000004</v>
      </c>
      <c r="AI180" s="9">
        <v>280.56599999999997</v>
      </c>
      <c r="AJ180" s="9">
        <v>10.202399999999999</v>
      </c>
      <c r="AK180" s="9">
        <v>5.1011999999999995</v>
      </c>
      <c r="AL180" s="9">
        <v>30.607199999999999</v>
      </c>
      <c r="AM180" s="9">
        <v>7.6517999999999997</v>
      </c>
      <c r="AN180" s="9">
        <v>38.259</v>
      </c>
      <c r="AO180" s="9">
        <v>76.518000000000001</v>
      </c>
      <c r="AP180" s="9">
        <v>510.11999999999989</v>
      </c>
      <c r="AQ180" s="25">
        <v>1.9E-3</v>
      </c>
      <c r="AR180" s="9">
        <f t="shared" si="63"/>
        <v>0.96922799999999976</v>
      </c>
      <c r="AS180" s="25">
        <v>9.5999999999999992E-3</v>
      </c>
      <c r="AT180" s="9">
        <f t="shared" si="64"/>
        <v>4.8971519999999984</v>
      </c>
      <c r="AU180" s="9">
        <v>2040.4800000000005</v>
      </c>
      <c r="AV180" s="25">
        <v>2.0999999999999999E-3</v>
      </c>
      <c r="AW180" s="9">
        <f t="shared" si="65"/>
        <v>4.2850080000000004</v>
      </c>
      <c r="AX180" s="25">
        <v>1.04E-2</v>
      </c>
      <c r="AY180" s="9">
        <f t="shared" si="66"/>
        <v>21.220992000000003</v>
      </c>
      <c r="AZ180" s="9">
        <v>1522.2687500000002</v>
      </c>
      <c r="BA180" s="25">
        <v>2.3999999999999998E-3</v>
      </c>
      <c r="BB180" s="9">
        <f t="shared" si="67"/>
        <v>3.6534450000000001</v>
      </c>
      <c r="BC180" s="25">
        <v>1.2200000000000001E-2</v>
      </c>
      <c r="BD180" s="9">
        <f t="shared" si="68"/>
        <v>18.571678750000004</v>
      </c>
      <c r="BE180" s="9">
        <v>510.11999999999989</v>
      </c>
      <c r="BF180" s="9">
        <v>1.9E-3</v>
      </c>
      <c r="BG180" s="9">
        <f t="shared" si="69"/>
        <v>0.96922799999999976</v>
      </c>
      <c r="BH180" s="9">
        <v>9.5999999999999992E-3</v>
      </c>
      <c r="BI180" s="9">
        <f t="shared" si="70"/>
        <v>4.8971519999999984</v>
      </c>
      <c r="BJ180" s="9">
        <v>2040.4800000000005</v>
      </c>
      <c r="BK180" s="9">
        <v>2.0999999999999999E-3</v>
      </c>
      <c r="BL180" s="9">
        <f t="shared" si="71"/>
        <v>4.2850080000000004</v>
      </c>
      <c r="BM180" s="9">
        <v>1.04E-2</v>
      </c>
      <c r="BN180" s="9">
        <f t="shared" si="72"/>
        <v>21.220992000000003</v>
      </c>
      <c r="BO180" s="9">
        <v>1263.7132499999998</v>
      </c>
      <c r="BP180" s="9">
        <v>2.3999999999999998E-3</v>
      </c>
      <c r="BQ180" s="9">
        <f t="shared" si="73"/>
        <v>3.032911799999999</v>
      </c>
      <c r="BR180" s="9">
        <v>1.2200000000000001E-2</v>
      </c>
      <c r="BS180" s="9">
        <f t="shared" si="74"/>
        <v>15.417301649999999</v>
      </c>
      <c r="BT180" s="9">
        <f t="shared" si="75"/>
        <v>8.9076810000000002</v>
      </c>
      <c r="BU180" s="9">
        <f t="shared" si="76"/>
        <v>44.689822750000005</v>
      </c>
      <c r="BV180" s="9">
        <f t="shared" si="77"/>
        <v>340.485681</v>
      </c>
      <c r="BW180">
        <f t="shared" si="78"/>
        <v>340.485681</v>
      </c>
      <c r="BX180">
        <v>0</v>
      </c>
      <c r="BY180">
        <f t="shared" si="79"/>
        <v>1684.72562275</v>
      </c>
      <c r="BZ180">
        <v>2521.05241815</v>
      </c>
      <c r="CA180">
        <f t="shared" si="80"/>
        <v>5001.9494008500005</v>
      </c>
      <c r="CB180">
        <f t="shared" si="81"/>
        <v>9548.2131227499995</v>
      </c>
      <c r="CC180">
        <v>0</v>
      </c>
      <c r="CD180">
        <v>0</v>
      </c>
      <c r="CE180">
        <f t="shared" si="82"/>
        <v>0</v>
      </c>
      <c r="CF180">
        <f t="shared" si="83"/>
        <v>7863.4875000000002</v>
      </c>
      <c r="CG180">
        <f t="shared" si="84"/>
        <v>5001.9494008500005</v>
      </c>
      <c r="CH180">
        <f t="shared" si="85"/>
        <v>0</v>
      </c>
      <c r="CJ180" t="s">
        <v>278</v>
      </c>
      <c r="CL180" t="str">
        <f t="shared" si="86"/>
        <v/>
      </c>
    </row>
    <row r="181" spans="1:90" x14ac:dyDescent="0.25">
      <c r="A181" t="s">
        <v>118</v>
      </c>
      <c r="B181" t="s">
        <v>185</v>
      </c>
      <c r="C181" s="1">
        <v>46266</v>
      </c>
      <c r="D181" t="s">
        <v>174</v>
      </c>
      <c r="E181" t="s">
        <v>175</v>
      </c>
      <c r="F181" s="4">
        <v>1</v>
      </c>
      <c r="G181" s="4">
        <v>0.25</v>
      </c>
      <c r="H181" s="9">
        <v>7863.4875000000002</v>
      </c>
      <c r="I181" s="9">
        <v>1310.58125</v>
      </c>
      <c r="J181" s="9">
        <f t="shared" si="58"/>
        <v>9174.0687500000004</v>
      </c>
      <c r="K181" s="9">
        <v>0</v>
      </c>
      <c r="L181" s="9">
        <f t="shared" si="59"/>
        <v>0</v>
      </c>
      <c r="M181">
        <v>0</v>
      </c>
      <c r="N181" s="4">
        <f t="shared" si="60"/>
        <v>0</v>
      </c>
      <c r="O181" s="9">
        <v>6290.79</v>
      </c>
      <c r="P181" s="9">
        <v>1572.6975</v>
      </c>
      <c r="Q181" s="9">
        <v>0</v>
      </c>
      <c r="R181" s="9">
        <v>0</v>
      </c>
      <c r="S181" s="9">
        <v>0</v>
      </c>
      <c r="T181" s="9">
        <v>0</v>
      </c>
      <c r="U181" s="9">
        <v>0</v>
      </c>
      <c r="V181" s="9">
        <v>0</v>
      </c>
      <c r="W181" s="9">
        <f t="shared" si="61"/>
        <v>7863.4875000000002</v>
      </c>
      <c r="X181" s="9">
        <v>1310.58125</v>
      </c>
      <c r="Y181" s="9">
        <v>0</v>
      </c>
      <c r="Z181" s="9">
        <v>9174.0687500000004</v>
      </c>
      <c r="AA181" s="9">
        <v>0</v>
      </c>
      <c r="AB181" s="9">
        <f t="shared" si="62"/>
        <v>9174.0687500000004</v>
      </c>
      <c r="AC181" s="9">
        <v>5101.2</v>
      </c>
      <c r="AD181" s="9">
        <v>0</v>
      </c>
      <c r="AE181" s="9">
        <v>7863.4875000000002</v>
      </c>
      <c r="AF181" s="9">
        <v>239.75639999999999</v>
      </c>
      <c r="AG181" s="9">
        <v>1203.8832</v>
      </c>
      <c r="AH181" s="9">
        <v>79.068600000000004</v>
      </c>
      <c r="AI181" s="9">
        <v>280.56599999999997</v>
      </c>
      <c r="AJ181" s="9">
        <v>10.202399999999999</v>
      </c>
      <c r="AK181" s="9">
        <v>5.1011999999999995</v>
      </c>
      <c r="AL181" s="9">
        <v>30.607199999999999</v>
      </c>
      <c r="AM181" s="9">
        <v>7.6517999999999997</v>
      </c>
      <c r="AN181" s="9">
        <v>38.259</v>
      </c>
      <c r="AO181" s="9">
        <v>76.518000000000001</v>
      </c>
      <c r="AP181" s="9">
        <v>510.11999999999989</v>
      </c>
      <c r="AQ181" s="25">
        <v>1.9E-3</v>
      </c>
      <c r="AR181" s="9">
        <f t="shared" si="63"/>
        <v>0.96922799999999976</v>
      </c>
      <c r="AS181" s="25">
        <v>9.5999999999999992E-3</v>
      </c>
      <c r="AT181" s="9">
        <f t="shared" si="64"/>
        <v>4.8971519999999984</v>
      </c>
      <c r="AU181" s="9">
        <v>2040.4800000000005</v>
      </c>
      <c r="AV181" s="25">
        <v>2.0999999999999999E-3</v>
      </c>
      <c r="AW181" s="9">
        <f t="shared" si="65"/>
        <v>4.2850080000000004</v>
      </c>
      <c r="AX181" s="25">
        <v>1.04E-2</v>
      </c>
      <c r="AY181" s="9">
        <f t="shared" si="66"/>
        <v>21.220992000000003</v>
      </c>
      <c r="AZ181" s="9">
        <v>1522.2687500000002</v>
      </c>
      <c r="BA181" s="25">
        <v>2.3999999999999998E-3</v>
      </c>
      <c r="BB181" s="9">
        <f t="shared" si="67"/>
        <v>3.6534450000000001</v>
      </c>
      <c r="BC181" s="25">
        <v>1.2200000000000001E-2</v>
      </c>
      <c r="BD181" s="9">
        <f t="shared" si="68"/>
        <v>18.571678750000004</v>
      </c>
      <c r="BE181" s="9">
        <v>510.11999999999989</v>
      </c>
      <c r="BF181" s="9">
        <v>1.9E-3</v>
      </c>
      <c r="BG181" s="9">
        <f t="shared" si="69"/>
        <v>0.96922799999999976</v>
      </c>
      <c r="BH181" s="9">
        <v>9.5999999999999992E-3</v>
      </c>
      <c r="BI181" s="9">
        <f t="shared" si="70"/>
        <v>4.8971519999999984</v>
      </c>
      <c r="BJ181" s="9">
        <v>2040.4800000000005</v>
      </c>
      <c r="BK181" s="9">
        <v>2.0999999999999999E-3</v>
      </c>
      <c r="BL181" s="9">
        <f t="shared" si="71"/>
        <v>4.2850080000000004</v>
      </c>
      <c r="BM181" s="9">
        <v>1.04E-2</v>
      </c>
      <c r="BN181" s="9">
        <f t="shared" si="72"/>
        <v>21.220992000000003</v>
      </c>
      <c r="BO181" s="9">
        <v>1263.7132499999998</v>
      </c>
      <c r="BP181" s="9">
        <v>2.3999999999999998E-3</v>
      </c>
      <c r="BQ181" s="9">
        <f t="shared" si="73"/>
        <v>3.032911799999999</v>
      </c>
      <c r="BR181" s="9">
        <v>1.2200000000000001E-2</v>
      </c>
      <c r="BS181" s="9">
        <f t="shared" si="74"/>
        <v>15.417301649999999</v>
      </c>
      <c r="BT181" s="9">
        <f t="shared" si="75"/>
        <v>8.9076810000000002</v>
      </c>
      <c r="BU181" s="9">
        <f t="shared" si="76"/>
        <v>44.689822750000005</v>
      </c>
      <c r="BV181" s="9">
        <f t="shared" si="77"/>
        <v>340.485681</v>
      </c>
      <c r="BW181">
        <f t="shared" si="78"/>
        <v>340.485681</v>
      </c>
      <c r="BX181">
        <v>0</v>
      </c>
      <c r="BY181">
        <f t="shared" si="79"/>
        <v>1684.72562275</v>
      </c>
      <c r="BZ181">
        <v>2521.05241815</v>
      </c>
      <c r="CA181">
        <f t="shared" si="80"/>
        <v>5001.9494008500005</v>
      </c>
      <c r="CB181">
        <f t="shared" si="81"/>
        <v>9548.2131227499995</v>
      </c>
      <c r="CC181">
        <v>0</v>
      </c>
      <c r="CD181">
        <v>0</v>
      </c>
      <c r="CE181">
        <f t="shared" si="82"/>
        <v>0</v>
      </c>
      <c r="CF181">
        <f t="shared" si="83"/>
        <v>7863.4875000000002</v>
      </c>
      <c r="CG181">
        <f t="shared" si="84"/>
        <v>5001.9494008500005</v>
      </c>
      <c r="CH181">
        <f t="shared" si="85"/>
        <v>0</v>
      </c>
      <c r="CJ181" t="s">
        <v>278</v>
      </c>
      <c r="CL181" t="str">
        <f t="shared" si="86"/>
        <v/>
      </c>
    </row>
    <row r="182" spans="1:90" x14ac:dyDescent="0.25">
      <c r="A182" t="s">
        <v>118</v>
      </c>
      <c r="B182" t="s">
        <v>186</v>
      </c>
      <c r="C182" s="1">
        <v>46296</v>
      </c>
      <c r="D182" t="s">
        <v>174</v>
      </c>
      <c r="E182" t="s">
        <v>175</v>
      </c>
      <c r="F182" s="4">
        <v>1</v>
      </c>
      <c r="G182" s="4">
        <v>0.25</v>
      </c>
      <c r="H182" s="9">
        <v>7863.4875000000002</v>
      </c>
      <c r="I182" s="9">
        <v>1310.58125</v>
      </c>
      <c r="J182" s="9">
        <f t="shared" si="58"/>
        <v>9174.0687500000004</v>
      </c>
      <c r="K182" s="9">
        <v>0</v>
      </c>
      <c r="L182" s="9">
        <f t="shared" si="59"/>
        <v>0</v>
      </c>
      <c r="M182">
        <v>0</v>
      </c>
      <c r="N182" s="4">
        <f t="shared" si="60"/>
        <v>0</v>
      </c>
      <c r="O182" s="9">
        <v>6290.79</v>
      </c>
      <c r="P182" s="9">
        <v>1572.6975</v>
      </c>
      <c r="Q182" s="9">
        <v>0</v>
      </c>
      <c r="R182" s="9">
        <v>0</v>
      </c>
      <c r="S182" s="9">
        <v>0</v>
      </c>
      <c r="T182" s="9">
        <v>0</v>
      </c>
      <c r="U182" s="9">
        <v>0</v>
      </c>
      <c r="V182" s="9">
        <v>0</v>
      </c>
      <c r="W182" s="9">
        <f t="shared" si="61"/>
        <v>7863.4875000000002</v>
      </c>
      <c r="X182" s="9">
        <v>1310.58125</v>
      </c>
      <c r="Y182" s="9">
        <v>0</v>
      </c>
      <c r="Z182" s="9">
        <v>9174.0687500000004</v>
      </c>
      <c r="AA182" s="9">
        <v>0</v>
      </c>
      <c r="AB182" s="9">
        <f t="shared" si="62"/>
        <v>9174.0687500000004</v>
      </c>
      <c r="AC182" s="9">
        <v>5101.2</v>
      </c>
      <c r="AD182" s="9">
        <v>0</v>
      </c>
      <c r="AE182" s="9">
        <v>7863.4875000000002</v>
      </c>
      <c r="AF182" s="9">
        <v>239.75639999999999</v>
      </c>
      <c r="AG182" s="9">
        <v>1203.8832</v>
      </c>
      <c r="AH182" s="9">
        <v>79.068600000000004</v>
      </c>
      <c r="AI182" s="9">
        <v>280.56599999999997</v>
      </c>
      <c r="AJ182" s="9">
        <v>10.202399999999999</v>
      </c>
      <c r="AK182" s="9">
        <v>5.1011999999999995</v>
      </c>
      <c r="AL182" s="9">
        <v>30.607199999999999</v>
      </c>
      <c r="AM182" s="9">
        <v>7.6517999999999997</v>
      </c>
      <c r="AN182" s="9">
        <v>38.259</v>
      </c>
      <c r="AO182" s="9">
        <v>76.518000000000001</v>
      </c>
      <c r="AP182" s="9">
        <v>510.11999999999989</v>
      </c>
      <c r="AQ182" s="25">
        <v>1.9E-3</v>
      </c>
      <c r="AR182" s="9">
        <f t="shared" si="63"/>
        <v>0.96922799999999976</v>
      </c>
      <c r="AS182" s="25">
        <v>9.5999999999999992E-3</v>
      </c>
      <c r="AT182" s="9">
        <f t="shared" si="64"/>
        <v>4.8971519999999984</v>
      </c>
      <c r="AU182" s="9">
        <v>2040.4800000000005</v>
      </c>
      <c r="AV182" s="25">
        <v>2.0999999999999999E-3</v>
      </c>
      <c r="AW182" s="9">
        <f t="shared" si="65"/>
        <v>4.2850080000000004</v>
      </c>
      <c r="AX182" s="25">
        <v>1.04E-2</v>
      </c>
      <c r="AY182" s="9">
        <f t="shared" si="66"/>
        <v>21.220992000000003</v>
      </c>
      <c r="AZ182" s="9">
        <v>1522.2687500000002</v>
      </c>
      <c r="BA182" s="25">
        <v>2.3999999999999998E-3</v>
      </c>
      <c r="BB182" s="9">
        <f t="shared" si="67"/>
        <v>3.6534450000000001</v>
      </c>
      <c r="BC182" s="25">
        <v>1.2200000000000001E-2</v>
      </c>
      <c r="BD182" s="9">
        <f t="shared" si="68"/>
        <v>18.571678750000004</v>
      </c>
      <c r="BE182" s="9">
        <v>510.11999999999989</v>
      </c>
      <c r="BF182" s="9">
        <v>1.9E-3</v>
      </c>
      <c r="BG182" s="9">
        <f t="shared" si="69"/>
        <v>0.96922799999999976</v>
      </c>
      <c r="BH182" s="9">
        <v>9.5999999999999992E-3</v>
      </c>
      <c r="BI182" s="9">
        <f t="shared" si="70"/>
        <v>4.8971519999999984</v>
      </c>
      <c r="BJ182" s="9">
        <v>2040.4800000000005</v>
      </c>
      <c r="BK182" s="9">
        <v>2.0999999999999999E-3</v>
      </c>
      <c r="BL182" s="9">
        <f t="shared" si="71"/>
        <v>4.2850080000000004</v>
      </c>
      <c r="BM182" s="9">
        <v>1.04E-2</v>
      </c>
      <c r="BN182" s="9">
        <f t="shared" si="72"/>
        <v>21.220992000000003</v>
      </c>
      <c r="BO182" s="9">
        <v>1263.7132499999998</v>
      </c>
      <c r="BP182" s="9">
        <v>2.3999999999999998E-3</v>
      </c>
      <c r="BQ182" s="9">
        <f t="shared" si="73"/>
        <v>3.032911799999999</v>
      </c>
      <c r="BR182" s="9">
        <v>1.2200000000000001E-2</v>
      </c>
      <c r="BS182" s="9">
        <f t="shared" si="74"/>
        <v>15.417301649999999</v>
      </c>
      <c r="BT182" s="9">
        <f t="shared" si="75"/>
        <v>8.9076810000000002</v>
      </c>
      <c r="BU182" s="9">
        <f t="shared" si="76"/>
        <v>44.689822750000005</v>
      </c>
      <c r="BV182" s="9">
        <f t="shared" si="77"/>
        <v>340.485681</v>
      </c>
      <c r="BW182">
        <f t="shared" si="78"/>
        <v>340.485681</v>
      </c>
      <c r="BX182">
        <v>0</v>
      </c>
      <c r="BY182">
        <f t="shared" si="79"/>
        <v>1684.72562275</v>
      </c>
      <c r="BZ182">
        <v>2521.05241815</v>
      </c>
      <c r="CA182">
        <f t="shared" si="80"/>
        <v>5001.9494008500005</v>
      </c>
      <c r="CB182">
        <f t="shared" si="81"/>
        <v>9548.2131227499995</v>
      </c>
      <c r="CC182">
        <v>0</v>
      </c>
      <c r="CD182">
        <v>0</v>
      </c>
      <c r="CE182">
        <f t="shared" si="82"/>
        <v>0</v>
      </c>
      <c r="CF182">
        <f t="shared" si="83"/>
        <v>7863.4875000000002</v>
      </c>
      <c r="CG182">
        <f t="shared" si="84"/>
        <v>5001.9494008500005</v>
      </c>
      <c r="CH182">
        <f t="shared" si="85"/>
        <v>0</v>
      </c>
      <c r="CJ182" t="s">
        <v>278</v>
      </c>
      <c r="CL182" t="str">
        <f t="shared" si="86"/>
        <v/>
      </c>
    </row>
    <row r="183" spans="1:90" x14ac:dyDescent="0.25">
      <c r="A183" t="s">
        <v>118</v>
      </c>
      <c r="B183" t="s">
        <v>187</v>
      </c>
      <c r="C183" s="1">
        <v>46327</v>
      </c>
      <c r="D183" t="s">
        <v>174</v>
      </c>
      <c r="E183" t="s">
        <v>175</v>
      </c>
      <c r="F183" s="4">
        <v>1</v>
      </c>
      <c r="G183" s="4">
        <v>0.25</v>
      </c>
      <c r="H183" s="9">
        <v>7863.4875000000002</v>
      </c>
      <c r="I183" s="9">
        <v>1310.58125</v>
      </c>
      <c r="J183" s="9">
        <f t="shared" si="58"/>
        <v>9174.0687500000004</v>
      </c>
      <c r="K183" s="9">
        <v>0</v>
      </c>
      <c r="L183" s="9">
        <f t="shared" si="59"/>
        <v>0</v>
      </c>
      <c r="M183">
        <v>0</v>
      </c>
      <c r="N183" s="4">
        <f t="shared" si="60"/>
        <v>0</v>
      </c>
      <c r="O183" s="9">
        <v>6290.79</v>
      </c>
      <c r="P183" s="9">
        <v>1572.6975</v>
      </c>
      <c r="Q183" s="9">
        <v>0</v>
      </c>
      <c r="R183" s="9">
        <v>0</v>
      </c>
      <c r="S183" s="9">
        <v>0</v>
      </c>
      <c r="T183" s="9">
        <v>0</v>
      </c>
      <c r="U183" s="9">
        <v>0</v>
      </c>
      <c r="V183" s="9">
        <v>0</v>
      </c>
      <c r="W183" s="9">
        <f t="shared" si="61"/>
        <v>7863.4875000000002</v>
      </c>
      <c r="X183" s="9">
        <v>1310.58125</v>
      </c>
      <c r="Y183" s="9">
        <v>0</v>
      </c>
      <c r="Z183" s="9">
        <v>9174.0687500000004</v>
      </c>
      <c r="AA183" s="9">
        <v>0</v>
      </c>
      <c r="AB183" s="9">
        <f t="shared" si="62"/>
        <v>9174.0687500000004</v>
      </c>
      <c r="AC183" s="9">
        <v>5101.2</v>
      </c>
      <c r="AD183" s="9">
        <v>0</v>
      </c>
      <c r="AE183" s="9">
        <v>7863.4875000000002</v>
      </c>
      <c r="AF183" s="9">
        <v>239.75639999999999</v>
      </c>
      <c r="AG183" s="9">
        <v>1203.8832</v>
      </c>
      <c r="AH183" s="9">
        <v>79.068600000000004</v>
      </c>
      <c r="AI183" s="9">
        <v>280.56599999999997</v>
      </c>
      <c r="AJ183" s="9">
        <v>10.202399999999999</v>
      </c>
      <c r="AK183" s="9">
        <v>5.1011999999999995</v>
      </c>
      <c r="AL183" s="9">
        <v>30.607199999999999</v>
      </c>
      <c r="AM183" s="9">
        <v>7.6517999999999997</v>
      </c>
      <c r="AN183" s="9">
        <v>38.259</v>
      </c>
      <c r="AO183" s="9">
        <v>76.518000000000001</v>
      </c>
      <c r="AP183" s="9">
        <v>510.11999999999989</v>
      </c>
      <c r="AQ183" s="25">
        <v>1.9E-3</v>
      </c>
      <c r="AR183" s="9">
        <f t="shared" si="63"/>
        <v>0.96922799999999976</v>
      </c>
      <c r="AS183" s="25">
        <v>9.5999999999999992E-3</v>
      </c>
      <c r="AT183" s="9">
        <f t="shared" si="64"/>
        <v>4.8971519999999984</v>
      </c>
      <c r="AU183" s="9">
        <v>2040.4800000000005</v>
      </c>
      <c r="AV183" s="25">
        <v>2.0999999999999999E-3</v>
      </c>
      <c r="AW183" s="9">
        <f t="shared" si="65"/>
        <v>4.2850080000000004</v>
      </c>
      <c r="AX183" s="25">
        <v>1.04E-2</v>
      </c>
      <c r="AY183" s="9">
        <f t="shared" si="66"/>
        <v>21.220992000000003</v>
      </c>
      <c r="AZ183" s="9">
        <v>1522.2687500000002</v>
      </c>
      <c r="BA183" s="25">
        <v>2.3999999999999998E-3</v>
      </c>
      <c r="BB183" s="9">
        <f t="shared" si="67"/>
        <v>3.6534450000000001</v>
      </c>
      <c r="BC183" s="25">
        <v>1.2200000000000001E-2</v>
      </c>
      <c r="BD183" s="9">
        <f t="shared" si="68"/>
        <v>18.571678750000004</v>
      </c>
      <c r="BE183" s="9">
        <v>510.11999999999989</v>
      </c>
      <c r="BF183" s="9">
        <v>1.9E-3</v>
      </c>
      <c r="BG183" s="9">
        <f t="shared" si="69"/>
        <v>0.96922799999999976</v>
      </c>
      <c r="BH183" s="9">
        <v>9.5999999999999992E-3</v>
      </c>
      <c r="BI183" s="9">
        <f t="shared" si="70"/>
        <v>4.8971519999999984</v>
      </c>
      <c r="BJ183" s="9">
        <v>2040.4800000000005</v>
      </c>
      <c r="BK183" s="9">
        <v>2.0999999999999999E-3</v>
      </c>
      <c r="BL183" s="9">
        <f t="shared" si="71"/>
        <v>4.2850080000000004</v>
      </c>
      <c r="BM183" s="9">
        <v>1.04E-2</v>
      </c>
      <c r="BN183" s="9">
        <f t="shared" si="72"/>
        <v>21.220992000000003</v>
      </c>
      <c r="BO183" s="9">
        <v>1263.7132499999998</v>
      </c>
      <c r="BP183" s="9">
        <v>2.3999999999999998E-3</v>
      </c>
      <c r="BQ183" s="9">
        <f t="shared" si="73"/>
        <v>3.032911799999999</v>
      </c>
      <c r="BR183" s="9">
        <v>1.2200000000000001E-2</v>
      </c>
      <c r="BS183" s="9">
        <f t="shared" si="74"/>
        <v>15.417301649999999</v>
      </c>
      <c r="BT183" s="9">
        <f t="shared" si="75"/>
        <v>8.9076810000000002</v>
      </c>
      <c r="BU183" s="9">
        <f t="shared" si="76"/>
        <v>44.689822750000005</v>
      </c>
      <c r="BV183" s="9">
        <f t="shared" si="77"/>
        <v>340.485681</v>
      </c>
      <c r="BW183">
        <f t="shared" si="78"/>
        <v>340.485681</v>
      </c>
      <c r="BX183">
        <v>0</v>
      </c>
      <c r="BY183">
        <f t="shared" si="79"/>
        <v>1684.72562275</v>
      </c>
      <c r="BZ183">
        <v>2521.05241815</v>
      </c>
      <c r="CA183">
        <f t="shared" si="80"/>
        <v>5001.9494008500005</v>
      </c>
      <c r="CB183">
        <f t="shared" si="81"/>
        <v>9548.2131227499995</v>
      </c>
      <c r="CC183">
        <v>0</v>
      </c>
      <c r="CD183">
        <v>0</v>
      </c>
      <c r="CE183">
        <f t="shared" si="82"/>
        <v>0</v>
      </c>
      <c r="CF183">
        <f t="shared" si="83"/>
        <v>7863.4875000000002</v>
      </c>
      <c r="CG183">
        <f t="shared" si="84"/>
        <v>5001.9494008500005</v>
      </c>
      <c r="CH183">
        <f t="shared" si="85"/>
        <v>0</v>
      </c>
      <c r="CJ183" t="s">
        <v>278</v>
      </c>
      <c r="CL183" t="str">
        <f t="shared" si="86"/>
        <v/>
      </c>
    </row>
    <row r="184" spans="1:90" x14ac:dyDescent="0.25">
      <c r="A184" t="s">
        <v>118</v>
      </c>
      <c r="B184" t="s">
        <v>188</v>
      </c>
      <c r="C184" s="1">
        <v>46357</v>
      </c>
      <c r="D184" t="s">
        <v>182</v>
      </c>
      <c r="E184" t="s">
        <v>175</v>
      </c>
      <c r="F184" s="4">
        <v>1</v>
      </c>
      <c r="G184" s="4">
        <v>0.25</v>
      </c>
      <c r="H184" s="9">
        <v>7863.4875000000002</v>
      </c>
      <c r="I184" s="9">
        <v>1310.58125</v>
      </c>
      <c r="J184" s="9">
        <f t="shared" si="58"/>
        <v>9174.0687500000004</v>
      </c>
      <c r="K184" s="9">
        <v>0</v>
      </c>
      <c r="L184" s="9">
        <f t="shared" si="59"/>
        <v>0</v>
      </c>
      <c r="M184">
        <v>0</v>
      </c>
      <c r="N184" s="4">
        <f t="shared" si="60"/>
        <v>0</v>
      </c>
      <c r="O184" s="9">
        <v>6290.79</v>
      </c>
      <c r="P184" s="9">
        <v>1572.6975</v>
      </c>
      <c r="Q184" s="9">
        <v>0</v>
      </c>
      <c r="R184" s="9">
        <v>0</v>
      </c>
      <c r="S184" s="9">
        <v>0</v>
      </c>
      <c r="T184" s="9">
        <v>0</v>
      </c>
      <c r="U184" s="9">
        <v>0</v>
      </c>
      <c r="V184" s="9">
        <v>0</v>
      </c>
      <c r="W184" s="9">
        <f t="shared" si="61"/>
        <v>7863.4875000000002</v>
      </c>
      <c r="X184" s="9">
        <v>0</v>
      </c>
      <c r="Y184" s="9">
        <v>0</v>
      </c>
      <c r="Z184" s="9">
        <v>0</v>
      </c>
      <c r="AA184" s="9">
        <v>0</v>
      </c>
      <c r="AB184" s="9">
        <f t="shared" si="62"/>
        <v>0</v>
      </c>
      <c r="AC184" s="9">
        <v>0</v>
      </c>
      <c r="AD184" s="9">
        <v>0</v>
      </c>
      <c r="AE184" s="9">
        <v>7863.4875000000002</v>
      </c>
      <c r="AF184" s="9">
        <v>0</v>
      </c>
      <c r="AG184" s="9">
        <v>0</v>
      </c>
      <c r="AH184" s="9">
        <v>0</v>
      </c>
      <c r="AI184" s="9">
        <v>0</v>
      </c>
      <c r="AJ184" s="9">
        <v>0</v>
      </c>
      <c r="AK184" s="9">
        <v>0</v>
      </c>
      <c r="AL184" s="9">
        <v>0</v>
      </c>
      <c r="AM184" s="9">
        <v>0</v>
      </c>
      <c r="AN184" s="9">
        <v>0</v>
      </c>
      <c r="AO184" s="9">
        <v>0</v>
      </c>
      <c r="AP184" s="9">
        <v>0</v>
      </c>
      <c r="AQ184" s="25">
        <v>0</v>
      </c>
      <c r="AR184" s="9">
        <f t="shared" si="63"/>
        <v>0</v>
      </c>
      <c r="AS184" s="25">
        <v>0</v>
      </c>
      <c r="AT184" s="9">
        <f t="shared" si="64"/>
        <v>0</v>
      </c>
      <c r="AU184" s="9">
        <v>0</v>
      </c>
      <c r="AV184" s="25">
        <v>0</v>
      </c>
      <c r="AW184" s="9">
        <f t="shared" si="65"/>
        <v>0</v>
      </c>
      <c r="AX184" s="25">
        <v>0</v>
      </c>
      <c r="AY184" s="9">
        <f t="shared" si="66"/>
        <v>0</v>
      </c>
      <c r="AZ184" s="9">
        <v>0</v>
      </c>
      <c r="BA184" s="25">
        <v>0</v>
      </c>
      <c r="BB184" s="9">
        <f t="shared" si="67"/>
        <v>0</v>
      </c>
      <c r="BC184" s="25">
        <v>0</v>
      </c>
      <c r="BD184" s="9">
        <f t="shared" si="68"/>
        <v>0</v>
      </c>
      <c r="BE184" s="9">
        <v>0</v>
      </c>
      <c r="BF184" s="9">
        <v>0</v>
      </c>
      <c r="BG184" s="9">
        <f t="shared" si="69"/>
        <v>0</v>
      </c>
      <c r="BH184" s="9">
        <v>0</v>
      </c>
      <c r="BI184" s="9">
        <f t="shared" si="70"/>
        <v>0</v>
      </c>
      <c r="BJ184" s="9">
        <v>0</v>
      </c>
      <c r="BK184" s="9">
        <v>0</v>
      </c>
      <c r="BL184" s="9">
        <f t="shared" si="71"/>
        <v>0</v>
      </c>
      <c r="BM184" s="9">
        <v>0</v>
      </c>
      <c r="BN184" s="9">
        <f t="shared" si="72"/>
        <v>0</v>
      </c>
      <c r="BO184" s="9">
        <v>0</v>
      </c>
      <c r="BP184" s="9">
        <v>0</v>
      </c>
      <c r="BQ184" s="9">
        <f t="shared" si="73"/>
        <v>0</v>
      </c>
      <c r="BR184" s="9">
        <v>0</v>
      </c>
      <c r="BS184" s="9">
        <f t="shared" si="74"/>
        <v>0</v>
      </c>
      <c r="BT184" s="9">
        <f t="shared" si="75"/>
        <v>0</v>
      </c>
      <c r="BU184" s="9">
        <f t="shared" si="76"/>
        <v>0</v>
      </c>
      <c r="BV184" s="9">
        <f t="shared" si="77"/>
        <v>0</v>
      </c>
      <c r="BW184">
        <f t="shared" si="78"/>
        <v>0</v>
      </c>
      <c r="BX184">
        <v>0</v>
      </c>
      <c r="BY184">
        <f t="shared" si="79"/>
        <v>0</v>
      </c>
      <c r="BZ184">
        <v>2521.05241815</v>
      </c>
      <c r="CA184">
        <f t="shared" si="80"/>
        <v>5342.4350818500006</v>
      </c>
      <c r="CB184">
        <f t="shared" si="81"/>
        <v>7863.4875000000002</v>
      </c>
      <c r="CC184">
        <v>0</v>
      </c>
      <c r="CD184">
        <v>0</v>
      </c>
      <c r="CE184">
        <f t="shared" si="82"/>
        <v>0</v>
      </c>
      <c r="CF184">
        <f t="shared" si="83"/>
        <v>7863.4875000000002</v>
      </c>
      <c r="CG184">
        <f t="shared" si="84"/>
        <v>5342.4350818500006</v>
      </c>
      <c r="CH184">
        <f t="shared" si="85"/>
        <v>0</v>
      </c>
      <c r="CJ184" t="s">
        <v>278</v>
      </c>
      <c r="CL184" t="str">
        <f t="shared" si="86"/>
        <v/>
      </c>
    </row>
    <row r="185" spans="1:90" x14ac:dyDescent="0.25">
      <c r="A185" t="s">
        <v>118</v>
      </c>
      <c r="B185" t="s">
        <v>189</v>
      </c>
      <c r="C185" s="1">
        <v>46357</v>
      </c>
      <c r="D185" t="s">
        <v>174</v>
      </c>
      <c r="E185" t="s">
        <v>175</v>
      </c>
      <c r="F185" s="4">
        <v>1</v>
      </c>
      <c r="G185" s="4">
        <v>0.25</v>
      </c>
      <c r="H185" s="9">
        <v>7863.4875000000002</v>
      </c>
      <c r="I185" s="9">
        <v>1310.58125</v>
      </c>
      <c r="J185" s="9">
        <f t="shared" si="58"/>
        <v>9174.0687500000004</v>
      </c>
      <c r="K185" s="9">
        <v>0</v>
      </c>
      <c r="L185" s="9">
        <f t="shared" si="59"/>
        <v>0</v>
      </c>
      <c r="M185">
        <v>0</v>
      </c>
      <c r="N185" s="4">
        <f t="shared" si="60"/>
        <v>0</v>
      </c>
      <c r="O185" s="9">
        <v>6290.79</v>
      </c>
      <c r="P185" s="9">
        <v>1572.6975</v>
      </c>
      <c r="Q185" s="9">
        <v>0</v>
      </c>
      <c r="R185" s="9">
        <v>0</v>
      </c>
      <c r="S185" s="9">
        <v>0</v>
      </c>
      <c r="T185" s="9">
        <v>0</v>
      </c>
      <c r="U185" s="9">
        <v>0</v>
      </c>
      <c r="V185" s="9">
        <v>0</v>
      </c>
      <c r="W185" s="9">
        <f t="shared" si="61"/>
        <v>7863.4875000000002</v>
      </c>
      <c r="X185" s="9">
        <v>1310.58125</v>
      </c>
      <c r="Y185" s="9">
        <v>0</v>
      </c>
      <c r="Z185" s="9">
        <v>9174.0687500000004</v>
      </c>
      <c r="AA185" s="9">
        <v>0</v>
      </c>
      <c r="AB185" s="9">
        <f t="shared" si="62"/>
        <v>9174.0687500000004</v>
      </c>
      <c r="AC185" s="9">
        <v>5101.2</v>
      </c>
      <c r="AD185" s="9">
        <v>0</v>
      </c>
      <c r="AE185" s="9">
        <v>7863.4875000000002</v>
      </c>
      <c r="AF185" s="9">
        <v>239.75639999999999</v>
      </c>
      <c r="AG185" s="9">
        <v>1203.8832</v>
      </c>
      <c r="AH185" s="9">
        <v>79.068600000000004</v>
      </c>
      <c r="AI185" s="9">
        <v>280.56599999999997</v>
      </c>
      <c r="AJ185" s="9">
        <v>10.202399999999999</v>
      </c>
      <c r="AK185" s="9">
        <v>5.1011999999999995</v>
      </c>
      <c r="AL185" s="9">
        <v>30.607199999999999</v>
      </c>
      <c r="AM185" s="9">
        <v>7.6517999999999997</v>
      </c>
      <c r="AN185" s="9">
        <v>38.259</v>
      </c>
      <c r="AO185" s="9">
        <v>76.518000000000001</v>
      </c>
      <c r="AP185" s="9">
        <v>510.11999999999989</v>
      </c>
      <c r="AQ185" s="25">
        <v>1.9E-3</v>
      </c>
      <c r="AR185" s="9">
        <f t="shared" si="63"/>
        <v>0.96922799999999976</v>
      </c>
      <c r="AS185" s="25">
        <v>9.5999999999999992E-3</v>
      </c>
      <c r="AT185" s="9">
        <f t="shared" si="64"/>
        <v>4.8971519999999984</v>
      </c>
      <c r="AU185" s="9">
        <v>2040.4800000000005</v>
      </c>
      <c r="AV185" s="25">
        <v>2.0999999999999999E-3</v>
      </c>
      <c r="AW185" s="9">
        <f t="shared" si="65"/>
        <v>4.2850080000000004</v>
      </c>
      <c r="AX185" s="25">
        <v>1.04E-2</v>
      </c>
      <c r="AY185" s="9">
        <f t="shared" si="66"/>
        <v>21.220992000000003</v>
      </c>
      <c r="AZ185" s="9">
        <v>1522.2687500000002</v>
      </c>
      <c r="BA185" s="25">
        <v>2.3999999999999998E-3</v>
      </c>
      <c r="BB185" s="9">
        <f t="shared" si="67"/>
        <v>3.6534450000000001</v>
      </c>
      <c r="BC185" s="25">
        <v>1.2200000000000001E-2</v>
      </c>
      <c r="BD185" s="9">
        <f t="shared" si="68"/>
        <v>18.571678750000004</v>
      </c>
      <c r="BE185" s="9">
        <v>510.11999999999989</v>
      </c>
      <c r="BF185" s="9">
        <v>1.9E-3</v>
      </c>
      <c r="BG185" s="9">
        <f t="shared" si="69"/>
        <v>0.96922799999999976</v>
      </c>
      <c r="BH185" s="9">
        <v>9.5999999999999992E-3</v>
      </c>
      <c r="BI185" s="9">
        <f t="shared" si="70"/>
        <v>4.8971519999999984</v>
      </c>
      <c r="BJ185" s="9">
        <v>2040.4800000000005</v>
      </c>
      <c r="BK185" s="9">
        <v>2.0999999999999999E-3</v>
      </c>
      <c r="BL185" s="9">
        <f t="shared" si="71"/>
        <v>4.2850080000000004</v>
      </c>
      <c r="BM185" s="9">
        <v>1.04E-2</v>
      </c>
      <c r="BN185" s="9">
        <f t="shared" si="72"/>
        <v>21.220992000000003</v>
      </c>
      <c r="BO185" s="9">
        <v>1263.7132499999998</v>
      </c>
      <c r="BP185" s="9">
        <v>2.3999999999999998E-3</v>
      </c>
      <c r="BQ185" s="9">
        <f t="shared" si="73"/>
        <v>3.032911799999999</v>
      </c>
      <c r="BR185" s="9">
        <v>1.2200000000000001E-2</v>
      </c>
      <c r="BS185" s="9">
        <f t="shared" si="74"/>
        <v>15.417301649999999</v>
      </c>
      <c r="BT185" s="9">
        <f t="shared" si="75"/>
        <v>8.9076810000000002</v>
      </c>
      <c r="BU185" s="9">
        <f t="shared" si="76"/>
        <v>44.689822750000005</v>
      </c>
      <c r="BV185" s="9">
        <f t="shared" si="77"/>
        <v>340.485681</v>
      </c>
      <c r="BW185">
        <f t="shared" si="78"/>
        <v>340.485681</v>
      </c>
      <c r="BX185">
        <v>0</v>
      </c>
      <c r="BY185">
        <f t="shared" si="79"/>
        <v>1684.72562275</v>
      </c>
      <c r="BZ185">
        <v>2521.05241815</v>
      </c>
      <c r="CA185">
        <f t="shared" si="80"/>
        <v>5001.9494008500005</v>
      </c>
      <c r="CB185">
        <f t="shared" si="81"/>
        <v>9548.2131227499995</v>
      </c>
      <c r="CC185">
        <v>0</v>
      </c>
      <c r="CD185">
        <v>0</v>
      </c>
      <c r="CE185">
        <f t="shared" si="82"/>
        <v>0</v>
      </c>
      <c r="CF185">
        <f t="shared" si="83"/>
        <v>7863.4875000000002</v>
      </c>
      <c r="CG185">
        <f t="shared" si="84"/>
        <v>5001.9494008500005</v>
      </c>
      <c r="CH185">
        <f t="shared" si="85"/>
        <v>0</v>
      </c>
      <c r="CJ185" t="s">
        <v>278</v>
      </c>
      <c r="CL185" t="str">
        <f t="shared" si="86"/>
        <v/>
      </c>
    </row>
    <row r="186" spans="1:90" x14ac:dyDescent="0.25">
      <c r="A186" t="s">
        <v>120</v>
      </c>
      <c r="B186" t="s">
        <v>173</v>
      </c>
      <c r="C186" s="1">
        <v>46023</v>
      </c>
      <c r="D186" t="s">
        <v>174</v>
      </c>
      <c r="E186" t="s">
        <v>175</v>
      </c>
      <c r="F186" s="4">
        <v>1</v>
      </c>
      <c r="G186" s="4">
        <v>0.6</v>
      </c>
      <c r="H186" s="9">
        <v>6008.0960000000005</v>
      </c>
      <c r="I186" s="9">
        <v>1001.3493333333333</v>
      </c>
      <c r="J186" s="9">
        <f t="shared" si="58"/>
        <v>7009.445333333334</v>
      </c>
      <c r="K186" s="9">
        <v>0</v>
      </c>
      <c r="L186" s="9">
        <f t="shared" si="59"/>
        <v>0</v>
      </c>
      <c r="M186">
        <v>0</v>
      </c>
      <c r="N186" s="4">
        <f t="shared" si="60"/>
        <v>0</v>
      </c>
      <c r="O186" s="9">
        <v>3755.06</v>
      </c>
      <c r="P186" s="9">
        <v>2253.0360000000001</v>
      </c>
      <c r="Q186" s="9">
        <v>0</v>
      </c>
      <c r="R186" s="9">
        <v>0</v>
      </c>
      <c r="S186" s="9">
        <v>0</v>
      </c>
      <c r="T186" s="9">
        <v>0</v>
      </c>
      <c r="U186" s="9">
        <v>0</v>
      </c>
      <c r="V186" s="9">
        <v>0</v>
      </c>
      <c r="W186" s="9">
        <f t="shared" si="61"/>
        <v>6008.0959999999995</v>
      </c>
      <c r="X186" s="9">
        <v>1001.3493333333333</v>
      </c>
      <c r="Y186" s="9">
        <v>0</v>
      </c>
      <c r="Z186" s="9">
        <v>7009.4453333333331</v>
      </c>
      <c r="AA186" s="9">
        <v>0</v>
      </c>
      <c r="AB186" s="9">
        <f t="shared" si="62"/>
        <v>7009.4453333333331</v>
      </c>
      <c r="AC186" s="9">
        <v>5101.2</v>
      </c>
      <c r="AD186" s="9">
        <v>0</v>
      </c>
      <c r="AE186" s="9">
        <v>6008.0959999999995</v>
      </c>
      <c r="AF186" s="9">
        <v>239.75639999999999</v>
      </c>
      <c r="AG186" s="9">
        <v>1203.8832</v>
      </c>
      <c r="AH186" s="9">
        <v>79.068600000000004</v>
      </c>
      <c r="AI186" s="9">
        <v>280.56599999999997</v>
      </c>
      <c r="AJ186" s="9">
        <v>10.202399999999999</v>
      </c>
      <c r="AK186" s="9">
        <v>5.1011999999999995</v>
      </c>
      <c r="AL186" s="9">
        <v>30.607199999999999</v>
      </c>
      <c r="AM186" s="9">
        <v>7.6517999999999997</v>
      </c>
      <c r="AN186" s="9">
        <v>38.259</v>
      </c>
      <c r="AO186" s="9">
        <v>76.518000000000001</v>
      </c>
      <c r="AP186" s="9">
        <v>510.11999999999989</v>
      </c>
      <c r="AQ186" s="25">
        <v>1.9E-3</v>
      </c>
      <c r="AR186" s="9">
        <f t="shared" si="63"/>
        <v>0.96922799999999976</v>
      </c>
      <c r="AS186" s="25">
        <v>9.5999999999999992E-3</v>
      </c>
      <c r="AT186" s="9">
        <f t="shared" si="64"/>
        <v>4.8971519999999984</v>
      </c>
      <c r="AU186" s="9">
        <v>1398.1253333333334</v>
      </c>
      <c r="AV186" s="25">
        <v>2.0999999999999999E-3</v>
      </c>
      <c r="AW186" s="9">
        <f t="shared" si="65"/>
        <v>2.9360632</v>
      </c>
      <c r="AX186" s="25">
        <v>1.04E-2</v>
      </c>
      <c r="AY186" s="9">
        <f t="shared" si="66"/>
        <v>14.540503466666667</v>
      </c>
      <c r="AZ186" s="9">
        <v>0</v>
      </c>
      <c r="BA186" s="25">
        <v>0</v>
      </c>
      <c r="BB186" s="9">
        <f t="shared" si="67"/>
        <v>0</v>
      </c>
      <c r="BC186" s="25">
        <v>0</v>
      </c>
      <c r="BD186" s="9">
        <f t="shared" si="68"/>
        <v>0</v>
      </c>
      <c r="BE186" s="9">
        <v>510.11999999999989</v>
      </c>
      <c r="BF186" s="9">
        <v>1.9E-3</v>
      </c>
      <c r="BG186" s="9">
        <f t="shared" si="69"/>
        <v>0.96922799999999976</v>
      </c>
      <c r="BH186" s="9">
        <v>9.5999999999999992E-3</v>
      </c>
      <c r="BI186" s="9">
        <f t="shared" si="70"/>
        <v>4.8971519999999984</v>
      </c>
      <c r="BJ186" s="9">
        <v>1577.8502400000016</v>
      </c>
      <c r="BK186" s="9">
        <v>2.0999999999999999E-3</v>
      </c>
      <c r="BL186" s="9">
        <f t="shared" si="71"/>
        <v>3.3134855040000031</v>
      </c>
      <c r="BM186" s="9">
        <v>1.04E-2</v>
      </c>
      <c r="BN186" s="9">
        <f t="shared" si="72"/>
        <v>16.409642496000014</v>
      </c>
      <c r="BO186" s="9">
        <v>0</v>
      </c>
      <c r="BP186" s="9">
        <v>0</v>
      </c>
      <c r="BQ186" s="9">
        <f t="shared" si="73"/>
        <v>0</v>
      </c>
      <c r="BR186" s="9">
        <v>0</v>
      </c>
      <c r="BS186" s="9">
        <f t="shared" si="74"/>
        <v>0</v>
      </c>
      <c r="BT186" s="9">
        <f t="shared" si="75"/>
        <v>3.9052911999999997</v>
      </c>
      <c r="BU186" s="9">
        <f t="shared" si="76"/>
        <v>19.437655466666666</v>
      </c>
      <c r="BV186" s="9">
        <f t="shared" si="77"/>
        <v>335.4832912</v>
      </c>
      <c r="BW186">
        <f t="shared" si="78"/>
        <v>335.4832912</v>
      </c>
      <c r="BX186">
        <v>0</v>
      </c>
      <c r="BY186">
        <f t="shared" si="79"/>
        <v>1659.4734554666666</v>
      </c>
      <c r="BZ186">
        <v>1848.6437760000001</v>
      </c>
      <c r="CA186">
        <f t="shared" si="80"/>
        <v>3823.9689327999995</v>
      </c>
      <c r="CB186">
        <f t="shared" si="81"/>
        <v>7667.5694554666661</v>
      </c>
      <c r="CC186">
        <v>0</v>
      </c>
      <c r="CD186">
        <v>0</v>
      </c>
      <c r="CE186">
        <f t="shared" si="82"/>
        <v>0</v>
      </c>
      <c r="CF186">
        <f t="shared" si="83"/>
        <v>6008.0959999999995</v>
      </c>
      <c r="CG186">
        <f t="shared" si="84"/>
        <v>3823.9689327999995</v>
      </c>
      <c r="CH186">
        <f t="shared" si="85"/>
        <v>0</v>
      </c>
      <c r="CJ186" t="s">
        <v>278</v>
      </c>
      <c r="CL186" t="str">
        <f t="shared" si="86"/>
        <v/>
      </c>
    </row>
    <row r="187" spans="1:90" x14ac:dyDescent="0.25">
      <c r="A187" t="s">
        <v>120</v>
      </c>
      <c r="B187" t="s">
        <v>176</v>
      </c>
      <c r="C187" s="1">
        <v>46054</v>
      </c>
      <c r="D187" t="s">
        <v>174</v>
      </c>
      <c r="E187" t="s">
        <v>175</v>
      </c>
      <c r="F187" s="4">
        <v>1</v>
      </c>
      <c r="G187" s="4">
        <v>0.6</v>
      </c>
      <c r="H187" s="9">
        <v>6008.0960000000005</v>
      </c>
      <c r="I187" s="9">
        <v>1001.3493333333333</v>
      </c>
      <c r="J187" s="9">
        <f t="shared" si="58"/>
        <v>7009.445333333334</v>
      </c>
      <c r="K187" s="9">
        <v>0</v>
      </c>
      <c r="L187" s="9">
        <f t="shared" si="59"/>
        <v>0</v>
      </c>
      <c r="M187">
        <v>0</v>
      </c>
      <c r="N187" s="4">
        <f t="shared" si="60"/>
        <v>0</v>
      </c>
      <c r="O187" s="9">
        <v>3755.06</v>
      </c>
      <c r="P187" s="9">
        <v>2253.0360000000001</v>
      </c>
      <c r="Q187" s="9">
        <v>0</v>
      </c>
      <c r="R187" s="9">
        <v>0</v>
      </c>
      <c r="S187" s="9">
        <v>0</v>
      </c>
      <c r="T187" s="9">
        <v>0</v>
      </c>
      <c r="U187" s="9">
        <v>0</v>
      </c>
      <c r="V187" s="9">
        <v>0</v>
      </c>
      <c r="W187" s="9">
        <f t="shared" si="61"/>
        <v>6008.0959999999995</v>
      </c>
      <c r="X187" s="9">
        <v>1001.3493333333333</v>
      </c>
      <c r="Y187" s="9">
        <v>0</v>
      </c>
      <c r="Z187" s="9">
        <v>7009.4453333333331</v>
      </c>
      <c r="AA187" s="9">
        <v>0</v>
      </c>
      <c r="AB187" s="9">
        <f t="shared" si="62"/>
        <v>7009.4453333333331</v>
      </c>
      <c r="AC187" s="9">
        <v>5101.2</v>
      </c>
      <c r="AD187" s="9">
        <v>0</v>
      </c>
      <c r="AE187" s="9">
        <v>6008.0959999999995</v>
      </c>
      <c r="AF187" s="9">
        <v>239.75639999999999</v>
      </c>
      <c r="AG187" s="9">
        <v>1203.8832</v>
      </c>
      <c r="AH187" s="9">
        <v>79.068600000000004</v>
      </c>
      <c r="AI187" s="9">
        <v>280.56599999999997</v>
      </c>
      <c r="AJ187" s="9">
        <v>10.202399999999999</v>
      </c>
      <c r="AK187" s="9">
        <v>5.1011999999999995</v>
      </c>
      <c r="AL187" s="9">
        <v>30.607199999999999</v>
      </c>
      <c r="AM187" s="9">
        <v>7.6517999999999997</v>
      </c>
      <c r="AN187" s="9">
        <v>38.259</v>
      </c>
      <c r="AO187" s="9">
        <v>76.518000000000001</v>
      </c>
      <c r="AP187" s="9">
        <v>510.11999999999989</v>
      </c>
      <c r="AQ187" s="25">
        <v>1.9E-3</v>
      </c>
      <c r="AR187" s="9">
        <f t="shared" si="63"/>
        <v>0.96922799999999976</v>
      </c>
      <c r="AS187" s="25">
        <v>9.5999999999999992E-3</v>
      </c>
      <c r="AT187" s="9">
        <f t="shared" si="64"/>
        <v>4.8971519999999984</v>
      </c>
      <c r="AU187" s="9">
        <v>1398.1253333333334</v>
      </c>
      <c r="AV187" s="25">
        <v>2.0999999999999999E-3</v>
      </c>
      <c r="AW187" s="9">
        <f t="shared" si="65"/>
        <v>2.9360632</v>
      </c>
      <c r="AX187" s="25">
        <v>1.04E-2</v>
      </c>
      <c r="AY187" s="9">
        <f t="shared" si="66"/>
        <v>14.540503466666667</v>
      </c>
      <c r="AZ187" s="9">
        <v>0</v>
      </c>
      <c r="BA187" s="25">
        <v>0</v>
      </c>
      <c r="BB187" s="9">
        <f t="shared" si="67"/>
        <v>0</v>
      </c>
      <c r="BC187" s="25">
        <v>0</v>
      </c>
      <c r="BD187" s="9">
        <f t="shared" si="68"/>
        <v>0</v>
      </c>
      <c r="BE187" s="9">
        <v>510.11999999999989</v>
      </c>
      <c r="BF187" s="9">
        <v>1.9E-3</v>
      </c>
      <c r="BG187" s="9">
        <f t="shared" si="69"/>
        <v>0.96922799999999976</v>
      </c>
      <c r="BH187" s="9">
        <v>9.5999999999999992E-3</v>
      </c>
      <c r="BI187" s="9">
        <f t="shared" si="70"/>
        <v>4.8971519999999984</v>
      </c>
      <c r="BJ187" s="9">
        <v>1577.8502400000016</v>
      </c>
      <c r="BK187" s="9">
        <v>2.0999999999999999E-3</v>
      </c>
      <c r="BL187" s="9">
        <f t="shared" si="71"/>
        <v>3.3134855040000031</v>
      </c>
      <c r="BM187" s="9">
        <v>1.04E-2</v>
      </c>
      <c r="BN187" s="9">
        <f t="shared" si="72"/>
        <v>16.409642496000014</v>
      </c>
      <c r="BO187" s="9">
        <v>0</v>
      </c>
      <c r="BP187" s="9">
        <v>0</v>
      </c>
      <c r="BQ187" s="9">
        <f t="shared" si="73"/>
        <v>0</v>
      </c>
      <c r="BR187" s="9">
        <v>0</v>
      </c>
      <c r="BS187" s="9">
        <f t="shared" si="74"/>
        <v>0</v>
      </c>
      <c r="BT187" s="9">
        <f t="shared" si="75"/>
        <v>3.9052911999999997</v>
      </c>
      <c r="BU187" s="9">
        <f t="shared" si="76"/>
        <v>19.437655466666666</v>
      </c>
      <c r="BV187" s="9">
        <f t="shared" si="77"/>
        <v>335.4832912</v>
      </c>
      <c r="BW187">
        <f t="shared" si="78"/>
        <v>335.4832912</v>
      </c>
      <c r="BX187">
        <v>0</v>
      </c>
      <c r="BY187">
        <f t="shared" si="79"/>
        <v>1659.4734554666666</v>
      </c>
      <c r="BZ187">
        <v>1848.6437760000001</v>
      </c>
      <c r="CA187">
        <f t="shared" si="80"/>
        <v>3823.9689327999995</v>
      </c>
      <c r="CB187">
        <f t="shared" si="81"/>
        <v>7667.5694554666661</v>
      </c>
      <c r="CC187">
        <v>0</v>
      </c>
      <c r="CD187">
        <v>0</v>
      </c>
      <c r="CE187">
        <f t="shared" si="82"/>
        <v>0</v>
      </c>
      <c r="CF187">
        <f t="shared" si="83"/>
        <v>6008.0959999999995</v>
      </c>
      <c r="CG187">
        <f t="shared" si="84"/>
        <v>3823.9689327999995</v>
      </c>
      <c r="CH187">
        <f t="shared" si="85"/>
        <v>0</v>
      </c>
      <c r="CJ187" t="s">
        <v>278</v>
      </c>
      <c r="CL187" t="str">
        <f t="shared" si="86"/>
        <v/>
      </c>
    </row>
    <row r="188" spans="1:90" x14ac:dyDescent="0.25">
      <c r="A188" t="s">
        <v>120</v>
      </c>
      <c r="B188" t="s">
        <v>177</v>
      </c>
      <c r="C188" s="1">
        <v>46082</v>
      </c>
      <c r="D188" t="s">
        <v>174</v>
      </c>
      <c r="E188" t="s">
        <v>175</v>
      </c>
      <c r="F188" s="4">
        <v>1</v>
      </c>
      <c r="G188" s="4">
        <v>0.6</v>
      </c>
      <c r="H188" s="9">
        <v>6008.0960000000005</v>
      </c>
      <c r="I188" s="9">
        <v>1001.3493333333333</v>
      </c>
      <c r="J188" s="9">
        <f t="shared" si="58"/>
        <v>7009.445333333334</v>
      </c>
      <c r="K188" s="9">
        <v>0</v>
      </c>
      <c r="L188" s="9">
        <f t="shared" si="59"/>
        <v>0</v>
      </c>
      <c r="M188">
        <v>0</v>
      </c>
      <c r="N188" s="4">
        <f t="shared" si="60"/>
        <v>0</v>
      </c>
      <c r="O188" s="9">
        <v>3755.06</v>
      </c>
      <c r="P188" s="9">
        <v>2253.0360000000001</v>
      </c>
      <c r="Q188" s="9">
        <v>0</v>
      </c>
      <c r="R188" s="9">
        <v>0</v>
      </c>
      <c r="S188" s="9">
        <v>0</v>
      </c>
      <c r="T188" s="9">
        <v>0</v>
      </c>
      <c r="U188" s="9">
        <v>0</v>
      </c>
      <c r="V188" s="9">
        <v>0</v>
      </c>
      <c r="W188" s="9">
        <f t="shared" si="61"/>
        <v>6008.0959999999995</v>
      </c>
      <c r="X188" s="9">
        <v>1001.3493333333333</v>
      </c>
      <c r="Y188" s="9">
        <v>0</v>
      </c>
      <c r="Z188" s="9">
        <v>7009.4453333333331</v>
      </c>
      <c r="AA188" s="9">
        <v>0</v>
      </c>
      <c r="AB188" s="9">
        <f t="shared" si="62"/>
        <v>7009.4453333333331</v>
      </c>
      <c r="AC188" s="9">
        <v>5101.2</v>
      </c>
      <c r="AD188" s="9">
        <v>0</v>
      </c>
      <c r="AE188" s="9">
        <v>6008.0959999999995</v>
      </c>
      <c r="AF188" s="9">
        <v>239.75639999999999</v>
      </c>
      <c r="AG188" s="9">
        <v>1203.8832</v>
      </c>
      <c r="AH188" s="9">
        <v>79.068600000000004</v>
      </c>
      <c r="AI188" s="9">
        <v>280.56599999999997</v>
      </c>
      <c r="AJ188" s="9">
        <v>10.202399999999999</v>
      </c>
      <c r="AK188" s="9">
        <v>5.1011999999999995</v>
      </c>
      <c r="AL188" s="9">
        <v>30.607199999999999</v>
      </c>
      <c r="AM188" s="9">
        <v>7.6517999999999997</v>
      </c>
      <c r="AN188" s="9">
        <v>38.259</v>
      </c>
      <c r="AO188" s="9">
        <v>76.518000000000001</v>
      </c>
      <c r="AP188" s="9">
        <v>510.11999999999989</v>
      </c>
      <c r="AQ188" s="25">
        <v>1.9E-3</v>
      </c>
      <c r="AR188" s="9">
        <f t="shared" si="63"/>
        <v>0.96922799999999976</v>
      </c>
      <c r="AS188" s="25">
        <v>9.5999999999999992E-3</v>
      </c>
      <c r="AT188" s="9">
        <f t="shared" si="64"/>
        <v>4.8971519999999984</v>
      </c>
      <c r="AU188" s="9">
        <v>1398.1253333333334</v>
      </c>
      <c r="AV188" s="25">
        <v>2.0999999999999999E-3</v>
      </c>
      <c r="AW188" s="9">
        <f t="shared" si="65"/>
        <v>2.9360632</v>
      </c>
      <c r="AX188" s="25">
        <v>1.04E-2</v>
      </c>
      <c r="AY188" s="9">
        <f t="shared" si="66"/>
        <v>14.540503466666667</v>
      </c>
      <c r="AZ188" s="9">
        <v>0</v>
      </c>
      <c r="BA188" s="25">
        <v>0</v>
      </c>
      <c r="BB188" s="9">
        <f t="shared" si="67"/>
        <v>0</v>
      </c>
      <c r="BC188" s="25">
        <v>0</v>
      </c>
      <c r="BD188" s="9">
        <f t="shared" si="68"/>
        <v>0</v>
      </c>
      <c r="BE188" s="9">
        <v>510.11999999999989</v>
      </c>
      <c r="BF188" s="9">
        <v>1.9E-3</v>
      </c>
      <c r="BG188" s="9">
        <f t="shared" si="69"/>
        <v>0.96922799999999976</v>
      </c>
      <c r="BH188" s="9">
        <v>9.5999999999999992E-3</v>
      </c>
      <c r="BI188" s="9">
        <f t="shared" si="70"/>
        <v>4.8971519999999984</v>
      </c>
      <c r="BJ188" s="9">
        <v>1577.8502400000016</v>
      </c>
      <c r="BK188" s="9">
        <v>2.0999999999999999E-3</v>
      </c>
      <c r="BL188" s="9">
        <f t="shared" si="71"/>
        <v>3.3134855040000031</v>
      </c>
      <c r="BM188" s="9">
        <v>1.04E-2</v>
      </c>
      <c r="BN188" s="9">
        <f t="shared" si="72"/>
        <v>16.409642496000014</v>
      </c>
      <c r="BO188" s="9">
        <v>0</v>
      </c>
      <c r="BP188" s="9">
        <v>0</v>
      </c>
      <c r="BQ188" s="9">
        <f t="shared" si="73"/>
        <v>0</v>
      </c>
      <c r="BR188" s="9">
        <v>0</v>
      </c>
      <c r="BS188" s="9">
        <f t="shared" si="74"/>
        <v>0</v>
      </c>
      <c r="BT188" s="9">
        <f t="shared" si="75"/>
        <v>3.9052911999999997</v>
      </c>
      <c r="BU188" s="9">
        <f t="shared" si="76"/>
        <v>19.437655466666666</v>
      </c>
      <c r="BV188" s="9">
        <f t="shared" si="77"/>
        <v>335.4832912</v>
      </c>
      <c r="BW188">
        <f t="shared" si="78"/>
        <v>335.4832912</v>
      </c>
      <c r="BX188">
        <v>0</v>
      </c>
      <c r="BY188">
        <f t="shared" si="79"/>
        <v>1659.4734554666666</v>
      </c>
      <c r="BZ188">
        <v>1848.6437760000001</v>
      </c>
      <c r="CA188">
        <f t="shared" si="80"/>
        <v>3823.9689327999995</v>
      </c>
      <c r="CB188">
        <f t="shared" si="81"/>
        <v>7667.5694554666661</v>
      </c>
      <c r="CC188">
        <v>0</v>
      </c>
      <c r="CD188">
        <v>0</v>
      </c>
      <c r="CE188">
        <f t="shared" si="82"/>
        <v>0</v>
      </c>
      <c r="CF188">
        <f t="shared" si="83"/>
        <v>6008.0959999999995</v>
      </c>
      <c r="CG188">
        <f t="shared" si="84"/>
        <v>3823.9689327999995</v>
      </c>
      <c r="CH188">
        <f t="shared" si="85"/>
        <v>0</v>
      </c>
      <c r="CJ188" t="s">
        <v>278</v>
      </c>
      <c r="CL188" t="str">
        <f t="shared" si="86"/>
        <v/>
      </c>
    </row>
    <row r="189" spans="1:90" x14ac:dyDescent="0.25">
      <c r="A189" t="s">
        <v>120</v>
      </c>
      <c r="B189" t="s">
        <v>178</v>
      </c>
      <c r="C189" s="1">
        <v>46113</v>
      </c>
      <c r="D189" t="s">
        <v>174</v>
      </c>
      <c r="E189" t="s">
        <v>175</v>
      </c>
      <c r="F189" s="4">
        <v>1</v>
      </c>
      <c r="G189" s="4">
        <v>0.6</v>
      </c>
      <c r="H189" s="9">
        <v>6008.0960000000005</v>
      </c>
      <c r="I189" s="9">
        <v>1001.3493333333333</v>
      </c>
      <c r="J189" s="9">
        <f t="shared" si="58"/>
        <v>7009.445333333334</v>
      </c>
      <c r="K189" s="9">
        <v>0</v>
      </c>
      <c r="L189" s="9">
        <f t="shared" si="59"/>
        <v>0</v>
      </c>
      <c r="M189">
        <v>0</v>
      </c>
      <c r="N189" s="4">
        <f t="shared" si="60"/>
        <v>0</v>
      </c>
      <c r="O189" s="9">
        <v>3755.06</v>
      </c>
      <c r="P189" s="9">
        <v>2253.0360000000001</v>
      </c>
      <c r="Q189" s="9">
        <v>0</v>
      </c>
      <c r="R189" s="9">
        <v>0</v>
      </c>
      <c r="S189" s="9">
        <v>0</v>
      </c>
      <c r="T189" s="9">
        <v>0</v>
      </c>
      <c r="U189" s="9">
        <v>0</v>
      </c>
      <c r="V189" s="9">
        <v>0</v>
      </c>
      <c r="W189" s="9">
        <f t="shared" si="61"/>
        <v>6008.0959999999995</v>
      </c>
      <c r="X189" s="9">
        <v>1001.3493333333333</v>
      </c>
      <c r="Y189" s="9">
        <v>0</v>
      </c>
      <c r="Z189" s="9">
        <v>7009.4453333333331</v>
      </c>
      <c r="AA189" s="9">
        <v>0</v>
      </c>
      <c r="AB189" s="9">
        <f t="shared" si="62"/>
        <v>7009.4453333333331</v>
      </c>
      <c r="AC189" s="9">
        <v>5101.2</v>
      </c>
      <c r="AD189" s="9">
        <v>0</v>
      </c>
      <c r="AE189" s="9">
        <v>6008.0959999999995</v>
      </c>
      <c r="AF189" s="9">
        <v>239.75639999999999</v>
      </c>
      <c r="AG189" s="9">
        <v>1203.8832</v>
      </c>
      <c r="AH189" s="9">
        <v>79.068600000000004</v>
      </c>
      <c r="AI189" s="9">
        <v>280.56599999999997</v>
      </c>
      <c r="AJ189" s="9">
        <v>10.202399999999999</v>
      </c>
      <c r="AK189" s="9">
        <v>5.1011999999999995</v>
      </c>
      <c r="AL189" s="9">
        <v>30.607199999999999</v>
      </c>
      <c r="AM189" s="9">
        <v>7.6517999999999997</v>
      </c>
      <c r="AN189" s="9">
        <v>38.259</v>
      </c>
      <c r="AO189" s="9">
        <v>76.518000000000001</v>
      </c>
      <c r="AP189" s="9">
        <v>510.11999999999989</v>
      </c>
      <c r="AQ189" s="25">
        <v>1.9E-3</v>
      </c>
      <c r="AR189" s="9">
        <f t="shared" si="63"/>
        <v>0.96922799999999976</v>
      </c>
      <c r="AS189" s="25">
        <v>9.5999999999999992E-3</v>
      </c>
      <c r="AT189" s="9">
        <f t="shared" si="64"/>
        <v>4.8971519999999984</v>
      </c>
      <c r="AU189" s="9">
        <v>1398.1253333333334</v>
      </c>
      <c r="AV189" s="25">
        <v>2.0999999999999999E-3</v>
      </c>
      <c r="AW189" s="9">
        <f t="shared" si="65"/>
        <v>2.9360632</v>
      </c>
      <c r="AX189" s="25">
        <v>1.04E-2</v>
      </c>
      <c r="AY189" s="9">
        <f t="shared" si="66"/>
        <v>14.540503466666667</v>
      </c>
      <c r="AZ189" s="9">
        <v>0</v>
      </c>
      <c r="BA189" s="25">
        <v>0</v>
      </c>
      <c r="BB189" s="9">
        <f t="shared" si="67"/>
        <v>0</v>
      </c>
      <c r="BC189" s="25">
        <v>0</v>
      </c>
      <c r="BD189" s="9">
        <f t="shared" si="68"/>
        <v>0</v>
      </c>
      <c r="BE189" s="9">
        <v>510.11999999999989</v>
      </c>
      <c r="BF189" s="9">
        <v>1.9E-3</v>
      </c>
      <c r="BG189" s="9">
        <f t="shared" si="69"/>
        <v>0.96922799999999976</v>
      </c>
      <c r="BH189" s="9">
        <v>9.5999999999999992E-3</v>
      </c>
      <c r="BI189" s="9">
        <f t="shared" si="70"/>
        <v>4.8971519999999984</v>
      </c>
      <c r="BJ189" s="9">
        <v>1577.8502400000016</v>
      </c>
      <c r="BK189" s="9">
        <v>2.0999999999999999E-3</v>
      </c>
      <c r="BL189" s="9">
        <f t="shared" si="71"/>
        <v>3.3134855040000031</v>
      </c>
      <c r="BM189" s="9">
        <v>1.04E-2</v>
      </c>
      <c r="BN189" s="9">
        <f t="shared" si="72"/>
        <v>16.409642496000014</v>
      </c>
      <c r="BO189" s="9">
        <v>0</v>
      </c>
      <c r="BP189" s="9">
        <v>0</v>
      </c>
      <c r="BQ189" s="9">
        <f t="shared" si="73"/>
        <v>0</v>
      </c>
      <c r="BR189" s="9">
        <v>0</v>
      </c>
      <c r="BS189" s="9">
        <f t="shared" si="74"/>
        <v>0</v>
      </c>
      <c r="BT189" s="9">
        <f t="shared" si="75"/>
        <v>3.9052911999999997</v>
      </c>
      <c r="BU189" s="9">
        <f t="shared" si="76"/>
        <v>19.437655466666666</v>
      </c>
      <c r="BV189" s="9">
        <f t="shared" si="77"/>
        <v>335.4832912</v>
      </c>
      <c r="BW189">
        <f t="shared" si="78"/>
        <v>335.4832912</v>
      </c>
      <c r="BX189">
        <v>0</v>
      </c>
      <c r="BY189">
        <f t="shared" si="79"/>
        <v>1659.4734554666666</v>
      </c>
      <c r="BZ189">
        <v>1848.6437760000001</v>
      </c>
      <c r="CA189">
        <f t="shared" si="80"/>
        <v>3823.9689327999995</v>
      </c>
      <c r="CB189">
        <f t="shared" si="81"/>
        <v>7667.5694554666661</v>
      </c>
      <c r="CC189">
        <v>0</v>
      </c>
      <c r="CD189">
        <v>0</v>
      </c>
      <c r="CE189">
        <f t="shared" si="82"/>
        <v>0</v>
      </c>
      <c r="CF189">
        <f t="shared" si="83"/>
        <v>6008.0959999999995</v>
      </c>
      <c r="CG189">
        <f t="shared" si="84"/>
        <v>3823.9689327999995</v>
      </c>
      <c r="CH189">
        <f t="shared" si="85"/>
        <v>0</v>
      </c>
      <c r="CJ189" t="s">
        <v>278</v>
      </c>
      <c r="CL189" t="str">
        <f t="shared" si="86"/>
        <v/>
      </c>
    </row>
    <row r="190" spans="1:90" x14ac:dyDescent="0.25">
      <c r="A190" t="s">
        <v>120</v>
      </c>
      <c r="B190" t="s">
        <v>179</v>
      </c>
      <c r="C190" s="1">
        <v>46143</v>
      </c>
      <c r="D190" t="s">
        <v>174</v>
      </c>
      <c r="E190" t="s">
        <v>175</v>
      </c>
      <c r="F190" s="4">
        <v>1</v>
      </c>
      <c r="G190" s="4">
        <v>0.6</v>
      </c>
      <c r="H190" s="9">
        <v>6008.0960000000005</v>
      </c>
      <c r="I190" s="9">
        <v>1001.3493333333333</v>
      </c>
      <c r="J190" s="9">
        <f t="shared" si="58"/>
        <v>7009.445333333334</v>
      </c>
      <c r="K190" s="9">
        <v>0</v>
      </c>
      <c r="L190" s="9">
        <f t="shared" si="59"/>
        <v>0</v>
      </c>
      <c r="M190">
        <v>0</v>
      </c>
      <c r="N190" s="4">
        <f t="shared" si="60"/>
        <v>0</v>
      </c>
      <c r="O190" s="9">
        <v>3755.06</v>
      </c>
      <c r="P190" s="9">
        <v>2253.0360000000001</v>
      </c>
      <c r="Q190" s="9">
        <v>0</v>
      </c>
      <c r="R190" s="9">
        <v>0</v>
      </c>
      <c r="S190" s="9">
        <v>0</v>
      </c>
      <c r="T190" s="9">
        <v>0</v>
      </c>
      <c r="U190" s="9">
        <v>0</v>
      </c>
      <c r="V190" s="9">
        <v>0</v>
      </c>
      <c r="W190" s="9">
        <f t="shared" si="61"/>
        <v>6008.0959999999995</v>
      </c>
      <c r="X190" s="9">
        <v>1001.3493333333333</v>
      </c>
      <c r="Y190" s="9">
        <v>0</v>
      </c>
      <c r="Z190" s="9">
        <v>7009.4453333333331</v>
      </c>
      <c r="AA190" s="9">
        <v>0</v>
      </c>
      <c r="AB190" s="9">
        <f t="shared" si="62"/>
        <v>7009.4453333333331</v>
      </c>
      <c r="AC190" s="9">
        <v>5101.2</v>
      </c>
      <c r="AD190" s="9">
        <v>0</v>
      </c>
      <c r="AE190" s="9">
        <v>6008.0959999999995</v>
      </c>
      <c r="AF190" s="9">
        <v>239.75639999999999</v>
      </c>
      <c r="AG190" s="9">
        <v>1203.8832</v>
      </c>
      <c r="AH190" s="9">
        <v>79.068600000000004</v>
      </c>
      <c r="AI190" s="9">
        <v>280.56599999999997</v>
      </c>
      <c r="AJ190" s="9">
        <v>10.202399999999999</v>
      </c>
      <c r="AK190" s="9">
        <v>5.1011999999999995</v>
      </c>
      <c r="AL190" s="9">
        <v>30.607199999999999</v>
      </c>
      <c r="AM190" s="9">
        <v>7.6517999999999997</v>
      </c>
      <c r="AN190" s="9">
        <v>38.259</v>
      </c>
      <c r="AO190" s="9">
        <v>76.518000000000001</v>
      </c>
      <c r="AP190" s="9">
        <v>510.11999999999989</v>
      </c>
      <c r="AQ190" s="25">
        <v>1.9E-3</v>
      </c>
      <c r="AR190" s="9">
        <f t="shared" si="63"/>
        <v>0.96922799999999976</v>
      </c>
      <c r="AS190" s="25">
        <v>9.5999999999999992E-3</v>
      </c>
      <c r="AT190" s="9">
        <f t="shared" si="64"/>
        <v>4.8971519999999984</v>
      </c>
      <c r="AU190" s="9">
        <v>1398.1253333333334</v>
      </c>
      <c r="AV190" s="25">
        <v>2.0999999999999999E-3</v>
      </c>
      <c r="AW190" s="9">
        <f t="shared" si="65"/>
        <v>2.9360632</v>
      </c>
      <c r="AX190" s="25">
        <v>1.04E-2</v>
      </c>
      <c r="AY190" s="9">
        <f t="shared" si="66"/>
        <v>14.540503466666667</v>
      </c>
      <c r="AZ190" s="9">
        <v>0</v>
      </c>
      <c r="BA190" s="25">
        <v>0</v>
      </c>
      <c r="BB190" s="9">
        <f t="shared" si="67"/>
        <v>0</v>
      </c>
      <c r="BC190" s="25">
        <v>0</v>
      </c>
      <c r="BD190" s="9">
        <f t="shared" si="68"/>
        <v>0</v>
      </c>
      <c r="BE190" s="9">
        <v>510.11999999999989</v>
      </c>
      <c r="BF190" s="9">
        <v>1.9E-3</v>
      </c>
      <c r="BG190" s="9">
        <f t="shared" si="69"/>
        <v>0.96922799999999976</v>
      </c>
      <c r="BH190" s="9">
        <v>9.5999999999999992E-3</v>
      </c>
      <c r="BI190" s="9">
        <f t="shared" si="70"/>
        <v>4.8971519999999984</v>
      </c>
      <c r="BJ190" s="9">
        <v>1577.8502400000016</v>
      </c>
      <c r="BK190" s="9">
        <v>2.0999999999999999E-3</v>
      </c>
      <c r="BL190" s="9">
        <f t="shared" si="71"/>
        <v>3.3134855040000031</v>
      </c>
      <c r="BM190" s="9">
        <v>1.04E-2</v>
      </c>
      <c r="BN190" s="9">
        <f t="shared" si="72"/>
        <v>16.409642496000014</v>
      </c>
      <c r="BO190" s="9">
        <v>0</v>
      </c>
      <c r="BP190" s="9">
        <v>0</v>
      </c>
      <c r="BQ190" s="9">
        <f t="shared" si="73"/>
        <v>0</v>
      </c>
      <c r="BR190" s="9">
        <v>0</v>
      </c>
      <c r="BS190" s="9">
        <f t="shared" si="74"/>
        <v>0</v>
      </c>
      <c r="BT190" s="9">
        <f t="shared" si="75"/>
        <v>3.9052911999999997</v>
      </c>
      <c r="BU190" s="9">
        <f t="shared" si="76"/>
        <v>19.437655466666666</v>
      </c>
      <c r="BV190" s="9">
        <f t="shared" si="77"/>
        <v>335.4832912</v>
      </c>
      <c r="BW190">
        <f t="shared" si="78"/>
        <v>335.4832912</v>
      </c>
      <c r="BX190">
        <v>0</v>
      </c>
      <c r="BY190">
        <f t="shared" si="79"/>
        <v>1659.4734554666666</v>
      </c>
      <c r="BZ190">
        <v>1848.6437760000001</v>
      </c>
      <c r="CA190">
        <f t="shared" si="80"/>
        <v>3823.9689327999995</v>
      </c>
      <c r="CB190">
        <f t="shared" si="81"/>
        <v>7667.5694554666661</v>
      </c>
      <c r="CC190">
        <v>0</v>
      </c>
      <c r="CD190">
        <v>0</v>
      </c>
      <c r="CE190">
        <f t="shared" si="82"/>
        <v>0</v>
      </c>
      <c r="CF190">
        <f t="shared" si="83"/>
        <v>6008.0959999999995</v>
      </c>
      <c r="CG190">
        <f t="shared" si="84"/>
        <v>3823.9689327999995</v>
      </c>
      <c r="CH190">
        <f t="shared" si="85"/>
        <v>0</v>
      </c>
      <c r="CJ190" t="s">
        <v>278</v>
      </c>
      <c r="CL190" t="str">
        <f t="shared" si="86"/>
        <v/>
      </c>
    </row>
    <row r="191" spans="1:90" x14ac:dyDescent="0.25">
      <c r="A191" t="s">
        <v>120</v>
      </c>
      <c r="B191" t="s">
        <v>180</v>
      </c>
      <c r="C191" s="1">
        <v>46174</v>
      </c>
      <c r="D191" t="s">
        <v>174</v>
      </c>
      <c r="E191" t="s">
        <v>175</v>
      </c>
      <c r="F191" s="4">
        <v>1</v>
      </c>
      <c r="G191" s="4">
        <v>0.6</v>
      </c>
      <c r="H191" s="9">
        <v>6008.0960000000005</v>
      </c>
      <c r="I191" s="9">
        <v>1001.3493333333333</v>
      </c>
      <c r="J191" s="9">
        <f t="shared" si="58"/>
        <v>7009.445333333334</v>
      </c>
      <c r="K191" s="9">
        <v>0</v>
      </c>
      <c r="L191" s="9">
        <f t="shared" si="59"/>
        <v>0</v>
      </c>
      <c r="M191">
        <v>0</v>
      </c>
      <c r="N191" s="4">
        <f t="shared" si="60"/>
        <v>0</v>
      </c>
      <c r="O191" s="9">
        <v>3755.06</v>
      </c>
      <c r="P191" s="9">
        <v>2253.0360000000001</v>
      </c>
      <c r="Q191" s="9">
        <v>0</v>
      </c>
      <c r="R191" s="9">
        <v>0</v>
      </c>
      <c r="S191" s="9">
        <v>0</v>
      </c>
      <c r="T191" s="9">
        <v>0</v>
      </c>
      <c r="U191" s="9">
        <v>0</v>
      </c>
      <c r="V191" s="9">
        <v>0</v>
      </c>
      <c r="W191" s="9">
        <f t="shared" si="61"/>
        <v>6008.0959999999995</v>
      </c>
      <c r="X191" s="9">
        <v>1001.3493333333333</v>
      </c>
      <c r="Y191" s="9">
        <v>0</v>
      </c>
      <c r="Z191" s="9">
        <v>7009.4453333333331</v>
      </c>
      <c r="AA191" s="9">
        <v>0</v>
      </c>
      <c r="AB191" s="9">
        <f t="shared" si="62"/>
        <v>7009.4453333333331</v>
      </c>
      <c r="AC191" s="9">
        <v>5101.2</v>
      </c>
      <c r="AD191" s="9">
        <v>0</v>
      </c>
      <c r="AE191" s="9">
        <v>6008.0959999999995</v>
      </c>
      <c r="AF191" s="9">
        <v>239.75639999999999</v>
      </c>
      <c r="AG191" s="9">
        <v>1203.8832</v>
      </c>
      <c r="AH191" s="9">
        <v>79.068600000000004</v>
      </c>
      <c r="AI191" s="9">
        <v>280.56599999999997</v>
      </c>
      <c r="AJ191" s="9">
        <v>10.202399999999999</v>
      </c>
      <c r="AK191" s="9">
        <v>5.1011999999999995</v>
      </c>
      <c r="AL191" s="9">
        <v>30.607199999999999</v>
      </c>
      <c r="AM191" s="9">
        <v>7.6517999999999997</v>
      </c>
      <c r="AN191" s="9">
        <v>38.259</v>
      </c>
      <c r="AO191" s="9">
        <v>76.518000000000001</v>
      </c>
      <c r="AP191" s="9">
        <v>510.11999999999989</v>
      </c>
      <c r="AQ191" s="25">
        <v>1.9E-3</v>
      </c>
      <c r="AR191" s="9">
        <f t="shared" si="63"/>
        <v>0.96922799999999976</v>
      </c>
      <c r="AS191" s="25">
        <v>9.5999999999999992E-3</v>
      </c>
      <c r="AT191" s="9">
        <f t="shared" si="64"/>
        <v>4.8971519999999984</v>
      </c>
      <c r="AU191" s="9">
        <v>1398.1253333333334</v>
      </c>
      <c r="AV191" s="25">
        <v>2.0999999999999999E-3</v>
      </c>
      <c r="AW191" s="9">
        <f t="shared" si="65"/>
        <v>2.9360632</v>
      </c>
      <c r="AX191" s="25">
        <v>1.04E-2</v>
      </c>
      <c r="AY191" s="9">
        <f t="shared" si="66"/>
        <v>14.540503466666667</v>
      </c>
      <c r="AZ191" s="9">
        <v>0</v>
      </c>
      <c r="BA191" s="25">
        <v>0</v>
      </c>
      <c r="BB191" s="9">
        <f t="shared" si="67"/>
        <v>0</v>
      </c>
      <c r="BC191" s="25">
        <v>0</v>
      </c>
      <c r="BD191" s="9">
        <f t="shared" si="68"/>
        <v>0</v>
      </c>
      <c r="BE191" s="9">
        <v>510.11999999999989</v>
      </c>
      <c r="BF191" s="9">
        <v>1.9E-3</v>
      </c>
      <c r="BG191" s="9">
        <f t="shared" si="69"/>
        <v>0.96922799999999976</v>
      </c>
      <c r="BH191" s="9">
        <v>9.5999999999999992E-3</v>
      </c>
      <c r="BI191" s="9">
        <f t="shared" si="70"/>
        <v>4.8971519999999984</v>
      </c>
      <c r="BJ191" s="9">
        <v>1577.8502400000016</v>
      </c>
      <c r="BK191" s="9">
        <v>2.0999999999999999E-3</v>
      </c>
      <c r="BL191" s="9">
        <f t="shared" si="71"/>
        <v>3.3134855040000031</v>
      </c>
      <c r="BM191" s="9">
        <v>1.04E-2</v>
      </c>
      <c r="BN191" s="9">
        <f t="shared" si="72"/>
        <v>16.409642496000014</v>
      </c>
      <c r="BO191" s="9">
        <v>0</v>
      </c>
      <c r="BP191" s="9">
        <v>0</v>
      </c>
      <c r="BQ191" s="9">
        <f t="shared" si="73"/>
        <v>0</v>
      </c>
      <c r="BR191" s="9">
        <v>0</v>
      </c>
      <c r="BS191" s="9">
        <f t="shared" si="74"/>
        <v>0</v>
      </c>
      <c r="BT191" s="9">
        <f t="shared" si="75"/>
        <v>3.9052911999999997</v>
      </c>
      <c r="BU191" s="9">
        <f t="shared" si="76"/>
        <v>19.437655466666666</v>
      </c>
      <c r="BV191" s="9">
        <f t="shared" si="77"/>
        <v>335.4832912</v>
      </c>
      <c r="BW191">
        <f t="shared" si="78"/>
        <v>335.4832912</v>
      </c>
      <c r="BX191">
        <v>0</v>
      </c>
      <c r="BY191">
        <f t="shared" si="79"/>
        <v>1659.4734554666666</v>
      </c>
      <c r="BZ191">
        <v>1848.6437760000001</v>
      </c>
      <c r="CA191">
        <f t="shared" si="80"/>
        <v>3823.9689327999995</v>
      </c>
      <c r="CB191">
        <f t="shared" si="81"/>
        <v>7667.5694554666661</v>
      </c>
      <c r="CC191">
        <v>0</v>
      </c>
      <c r="CD191">
        <v>0</v>
      </c>
      <c r="CE191">
        <f t="shared" si="82"/>
        <v>0</v>
      </c>
      <c r="CF191">
        <f t="shared" si="83"/>
        <v>6008.0959999999995</v>
      </c>
      <c r="CG191">
        <f t="shared" si="84"/>
        <v>3823.9689327999995</v>
      </c>
      <c r="CH191">
        <f t="shared" si="85"/>
        <v>0</v>
      </c>
      <c r="CJ191" t="s">
        <v>278</v>
      </c>
      <c r="CL191" t="str">
        <f t="shared" si="86"/>
        <v/>
      </c>
    </row>
    <row r="192" spans="1:90" x14ac:dyDescent="0.25">
      <c r="A192" t="s">
        <v>120</v>
      </c>
      <c r="B192" t="s">
        <v>181</v>
      </c>
      <c r="C192" s="1">
        <v>46204</v>
      </c>
      <c r="D192" t="s">
        <v>182</v>
      </c>
      <c r="E192" t="s">
        <v>175</v>
      </c>
      <c r="F192" s="4">
        <v>1</v>
      </c>
      <c r="G192" s="4">
        <v>0.6</v>
      </c>
      <c r="H192" s="9">
        <v>6008.0960000000005</v>
      </c>
      <c r="I192" s="9">
        <v>1001.3493333333333</v>
      </c>
      <c r="J192" s="9">
        <f t="shared" si="58"/>
        <v>7009.445333333334</v>
      </c>
      <c r="K192" s="9">
        <v>0</v>
      </c>
      <c r="L192" s="9">
        <f t="shared" si="59"/>
        <v>0</v>
      </c>
      <c r="M192">
        <v>0</v>
      </c>
      <c r="N192" s="4">
        <f t="shared" si="60"/>
        <v>0</v>
      </c>
      <c r="O192" s="9">
        <v>3755.06</v>
      </c>
      <c r="P192" s="9">
        <v>2253.0360000000001</v>
      </c>
      <c r="Q192" s="9">
        <v>0</v>
      </c>
      <c r="R192" s="9">
        <v>0</v>
      </c>
      <c r="S192" s="9">
        <v>0</v>
      </c>
      <c r="T192" s="9">
        <v>0</v>
      </c>
      <c r="U192" s="9">
        <v>0</v>
      </c>
      <c r="V192" s="9">
        <v>0</v>
      </c>
      <c r="W192" s="9">
        <f t="shared" si="61"/>
        <v>6008.0959999999995</v>
      </c>
      <c r="X192" s="9">
        <v>0</v>
      </c>
      <c r="Y192" s="9">
        <v>0</v>
      </c>
      <c r="Z192" s="9">
        <v>0</v>
      </c>
      <c r="AA192" s="9">
        <v>0</v>
      </c>
      <c r="AB192" s="9">
        <f t="shared" si="62"/>
        <v>0</v>
      </c>
      <c r="AC192" s="9">
        <v>0</v>
      </c>
      <c r="AD192" s="9">
        <v>0</v>
      </c>
      <c r="AE192" s="9">
        <v>6008.0959999999995</v>
      </c>
      <c r="AF192" s="9">
        <v>0</v>
      </c>
      <c r="AG192" s="9">
        <v>0</v>
      </c>
      <c r="AH192" s="9">
        <v>0</v>
      </c>
      <c r="AI192" s="9">
        <v>0</v>
      </c>
      <c r="AJ192" s="9">
        <v>0</v>
      </c>
      <c r="AK192" s="9">
        <v>0</v>
      </c>
      <c r="AL192" s="9">
        <v>0</v>
      </c>
      <c r="AM192" s="9">
        <v>0</v>
      </c>
      <c r="AN192" s="9">
        <v>0</v>
      </c>
      <c r="AO192" s="9">
        <v>0</v>
      </c>
      <c r="AP192" s="9">
        <v>0</v>
      </c>
      <c r="AQ192" s="25">
        <v>0</v>
      </c>
      <c r="AR192" s="9">
        <f t="shared" si="63"/>
        <v>0</v>
      </c>
      <c r="AS192" s="25">
        <v>0</v>
      </c>
      <c r="AT192" s="9">
        <f t="shared" si="64"/>
        <v>0</v>
      </c>
      <c r="AU192" s="9">
        <v>0</v>
      </c>
      <c r="AV192" s="25">
        <v>0</v>
      </c>
      <c r="AW192" s="9">
        <f t="shared" si="65"/>
        <v>0</v>
      </c>
      <c r="AX192" s="25">
        <v>0</v>
      </c>
      <c r="AY192" s="9">
        <f t="shared" si="66"/>
        <v>0</v>
      </c>
      <c r="AZ192" s="9">
        <v>0</v>
      </c>
      <c r="BA192" s="25">
        <v>0</v>
      </c>
      <c r="BB192" s="9">
        <f t="shared" si="67"/>
        <v>0</v>
      </c>
      <c r="BC192" s="25">
        <v>0</v>
      </c>
      <c r="BD192" s="9">
        <f t="shared" si="68"/>
        <v>0</v>
      </c>
      <c r="BE192" s="9">
        <v>0</v>
      </c>
      <c r="BF192" s="9">
        <v>0</v>
      </c>
      <c r="BG192" s="9">
        <f t="shared" si="69"/>
        <v>0</v>
      </c>
      <c r="BH192" s="9">
        <v>0</v>
      </c>
      <c r="BI192" s="9">
        <f t="shared" si="70"/>
        <v>0</v>
      </c>
      <c r="BJ192" s="9">
        <v>0</v>
      </c>
      <c r="BK192" s="9">
        <v>0</v>
      </c>
      <c r="BL192" s="9">
        <f t="shared" si="71"/>
        <v>0</v>
      </c>
      <c r="BM192" s="9">
        <v>0</v>
      </c>
      <c r="BN192" s="9">
        <f t="shared" si="72"/>
        <v>0</v>
      </c>
      <c r="BO192" s="9">
        <v>0</v>
      </c>
      <c r="BP192" s="9">
        <v>0</v>
      </c>
      <c r="BQ192" s="9">
        <f t="shared" si="73"/>
        <v>0</v>
      </c>
      <c r="BR192" s="9">
        <v>0</v>
      </c>
      <c r="BS192" s="9">
        <f t="shared" si="74"/>
        <v>0</v>
      </c>
      <c r="BT192" s="9">
        <f t="shared" si="75"/>
        <v>0</v>
      </c>
      <c r="BU192" s="9">
        <f t="shared" si="76"/>
        <v>0</v>
      </c>
      <c r="BV192" s="9">
        <f t="shared" si="77"/>
        <v>0</v>
      </c>
      <c r="BW192">
        <f t="shared" si="78"/>
        <v>0</v>
      </c>
      <c r="BX192">
        <v>0</v>
      </c>
      <c r="BY192">
        <f t="shared" si="79"/>
        <v>0</v>
      </c>
      <c r="BZ192">
        <v>1848.6437760000003</v>
      </c>
      <c r="CA192">
        <f t="shared" si="80"/>
        <v>4159.4522239999988</v>
      </c>
      <c r="CB192">
        <f t="shared" si="81"/>
        <v>6008.0959999999995</v>
      </c>
      <c r="CC192">
        <v>0</v>
      </c>
      <c r="CD192">
        <v>0</v>
      </c>
      <c r="CE192">
        <f t="shared" si="82"/>
        <v>0</v>
      </c>
      <c r="CF192">
        <f t="shared" si="83"/>
        <v>6008.0959999999995</v>
      </c>
      <c r="CG192">
        <f t="shared" si="84"/>
        <v>4159.4522239999988</v>
      </c>
      <c r="CH192">
        <f t="shared" si="85"/>
        <v>0</v>
      </c>
      <c r="CJ192" t="s">
        <v>278</v>
      </c>
      <c r="CL192" t="str">
        <f t="shared" si="86"/>
        <v/>
      </c>
    </row>
    <row r="193" spans="1:90" x14ac:dyDescent="0.25">
      <c r="A193" t="s">
        <v>120</v>
      </c>
      <c r="B193" t="s">
        <v>183</v>
      </c>
      <c r="C193" s="1">
        <v>46204</v>
      </c>
      <c r="D193" t="s">
        <v>174</v>
      </c>
      <c r="E193" t="s">
        <v>175</v>
      </c>
      <c r="F193" s="4">
        <v>1</v>
      </c>
      <c r="G193" s="4">
        <v>0.6</v>
      </c>
      <c r="H193" s="9">
        <v>6008.0960000000005</v>
      </c>
      <c r="I193" s="9">
        <v>1001.3493333333333</v>
      </c>
      <c r="J193" s="9">
        <f t="shared" si="58"/>
        <v>7009.445333333334</v>
      </c>
      <c r="K193" s="9">
        <v>0</v>
      </c>
      <c r="L193" s="9">
        <f t="shared" si="59"/>
        <v>0</v>
      </c>
      <c r="M193">
        <v>0</v>
      </c>
      <c r="N193" s="4">
        <f t="shared" si="60"/>
        <v>0</v>
      </c>
      <c r="O193" s="9">
        <v>3755.06</v>
      </c>
      <c r="P193" s="9">
        <v>2253.0360000000001</v>
      </c>
      <c r="Q193" s="9">
        <v>0</v>
      </c>
      <c r="R193" s="9">
        <v>0</v>
      </c>
      <c r="S193" s="9">
        <v>0</v>
      </c>
      <c r="T193" s="9">
        <v>0</v>
      </c>
      <c r="U193" s="9">
        <v>0</v>
      </c>
      <c r="V193" s="9">
        <v>0</v>
      </c>
      <c r="W193" s="9">
        <f t="shared" si="61"/>
        <v>6008.0959999999995</v>
      </c>
      <c r="X193" s="9">
        <v>1001.3493333333333</v>
      </c>
      <c r="Y193" s="9">
        <v>0</v>
      </c>
      <c r="Z193" s="9">
        <v>7009.4453333333331</v>
      </c>
      <c r="AA193" s="9">
        <v>0</v>
      </c>
      <c r="AB193" s="9">
        <f t="shared" si="62"/>
        <v>7009.4453333333331</v>
      </c>
      <c r="AC193" s="9">
        <v>5101.2</v>
      </c>
      <c r="AD193" s="9">
        <v>0</v>
      </c>
      <c r="AE193" s="9">
        <v>6008.0959999999995</v>
      </c>
      <c r="AF193" s="9">
        <v>239.75639999999999</v>
      </c>
      <c r="AG193" s="9">
        <v>1203.8832</v>
      </c>
      <c r="AH193" s="9">
        <v>79.068600000000004</v>
      </c>
      <c r="AI193" s="9">
        <v>280.56599999999997</v>
      </c>
      <c r="AJ193" s="9">
        <v>10.202399999999999</v>
      </c>
      <c r="AK193" s="9">
        <v>5.1011999999999995</v>
      </c>
      <c r="AL193" s="9">
        <v>30.607199999999999</v>
      </c>
      <c r="AM193" s="9">
        <v>7.6517999999999997</v>
      </c>
      <c r="AN193" s="9">
        <v>38.259</v>
      </c>
      <c r="AO193" s="9">
        <v>76.518000000000001</v>
      </c>
      <c r="AP193" s="9">
        <v>510.11999999999989</v>
      </c>
      <c r="AQ193" s="25">
        <v>1.9E-3</v>
      </c>
      <c r="AR193" s="9">
        <f t="shared" si="63"/>
        <v>0.96922799999999976</v>
      </c>
      <c r="AS193" s="25">
        <v>9.5999999999999992E-3</v>
      </c>
      <c r="AT193" s="9">
        <f t="shared" si="64"/>
        <v>4.8971519999999984</v>
      </c>
      <c r="AU193" s="9">
        <v>1398.1253333333334</v>
      </c>
      <c r="AV193" s="25">
        <v>2.0999999999999999E-3</v>
      </c>
      <c r="AW193" s="9">
        <f t="shared" si="65"/>
        <v>2.9360632</v>
      </c>
      <c r="AX193" s="25">
        <v>1.04E-2</v>
      </c>
      <c r="AY193" s="9">
        <f t="shared" si="66"/>
        <v>14.540503466666667</v>
      </c>
      <c r="AZ193" s="9">
        <v>0</v>
      </c>
      <c r="BA193" s="25">
        <v>0</v>
      </c>
      <c r="BB193" s="9">
        <f t="shared" si="67"/>
        <v>0</v>
      </c>
      <c r="BC193" s="25">
        <v>0</v>
      </c>
      <c r="BD193" s="9">
        <f t="shared" si="68"/>
        <v>0</v>
      </c>
      <c r="BE193" s="9">
        <v>510.11999999999989</v>
      </c>
      <c r="BF193" s="9">
        <v>1.9E-3</v>
      </c>
      <c r="BG193" s="9">
        <f t="shared" si="69"/>
        <v>0.96922799999999976</v>
      </c>
      <c r="BH193" s="9">
        <v>9.5999999999999992E-3</v>
      </c>
      <c r="BI193" s="9">
        <f t="shared" si="70"/>
        <v>4.8971519999999984</v>
      </c>
      <c r="BJ193" s="9">
        <v>1577.8502400000016</v>
      </c>
      <c r="BK193" s="9">
        <v>2.0999999999999999E-3</v>
      </c>
      <c r="BL193" s="9">
        <f t="shared" si="71"/>
        <v>3.3134855040000031</v>
      </c>
      <c r="BM193" s="9">
        <v>1.04E-2</v>
      </c>
      <c r="BN193" s="9">
        <f t="shared" si="72"/>
        <v>16.409642496000014</v>
      </c>
      <c r="BO193" s="9">
        <v>0</v>
      </c>
      <c r="BP193" s="9">
        <v>0</v>
      </c>
      <c r="BQ193" s="9">
        <f t="shared" si="73"/>
        <v>0</v>
      </c>
      <c r="BR193" s="9">
        <v>0</v>
      </c>
      <c r="BS193" s="9">
        <f t="shared" si="74"/>
        <v>0</v>
      </c>
      <c r="BT193" s="9">
        <f t="shared" si="75"/>
        <v>3.9052911999999997</v>
      </c>
      <c r="BU193" s="9">
        <f t="shared" si="76"/>
        <v>19.437655466666666</v>
      </c>
      <c r="BV193" s="9">
        <f t="shared" si="77"/>
        <v>335.4832912</v>
      </c>
      <c r="BW193">
        <f t="shared" si="78"/>
        <v>335.4832912</v>
      </c>
      <c r="BX193">
        <v>0</v>
      </c>
      <c r="BY193">
        <f t="shared" si="79"/>
        <v>1659.4734554666666</v>
      </c>
      <c r="BZ193">
        <v>1848.6437760000001</v>
      </c>
      <c r="CA193">
        <f t="shared" si="80"/>
        <v>3823.9689327999995</v>
      </c>
      <c r="CB193">
        <f t="shared" si="81"/>
        <v>7667.5694554666661</v>
      </c>
      <c r="CC193">
        <v>0</v>
      </c>
      <c r="CD193">
        <v>0</v>
      </c>
      <c r="CE193">
        <f t="shared" si="82"/>
        <v>0</v>
      </c>
      <c r="CF193">
        <f t="shared" si="83"/>
        <v>6008.0959999999995</v>
      </c>
      <c r="CG193">
        <f t="shared" si="84"/>
        <v>3823.9689327999995</v>
      </c>
      <c r="CH193">
        <f t="shared" si="85"/>
        <v>0</v>
      </c>
      <c r="CJ193" t="s">
        <v>278</v>
      </c>
      <c r="CL193" t="str">
        <f t="shared" si="86"/>
        <v/>
      </c>
    </row>
    <row r="194" spans="1:90" x14ac:dyDescent="0.25">
      <c r="A194" t="s">
        <v>120</v>
      </c>
      <c r="B194" t="s">
        <v>184</v>
      </c>
      <c r="C194" s="1">
        <v>46235</v>
      </c>
      <c r="D194" t="s">
        <v>174</v>
      </c>
      <c r="E194" t="s">
        <v>175</v>
      </c>
      <c r="F194" s="4">
        <v>1</v>
      </c>
      <c r="G194" s="4">
        <v>0.6</v>
      </c>
      <c r="H194" s="9">
        <v>6008.0960000000005</v>
      </c>
      <c r="I194" s="9">
        <v>1001.3493333333333</v>
      </c>
      <c r="J194" s="9">
        <f t="shared" si="58"/>
        <v>7009.445333333334</v>
      </c>
      <c r="K194" s="9">
        <v>0</v>
      </c>
      <c r="L194" s="9">
        <f t="shared" si="59"/>
        <v>0</v>
      </c>
      <c r="M194">
        <v>0</v>
      </c>
      <c r="N194" s="4">
        <f t="shared" si="60"/>
        <v>0</v>
      </c>
      <c r="O194" s="9">
        <v>3755.06</v>
      </c>
      <c r="P194" s="9">
        <v>2253.0360000000001</v>
      </c>
      <c r="Q194" s="9">
        <v>0</v>
      </c>
      <c r="R194" s="9">
        <v>0</v>
      </c>
      <c r="S194" s="9">
        <v>0</v>
      </c>
      <c r="T194" s="9">
        <v>0</v>
      </c>
      <c r="U194" s="9">
        <v>0</v>
      </c>
      <c r="V194" s="9">
        <v>0</v>
      </c>
      <c r="W194" s="9">
        <f t="shared" si="61"/>
        <v>6008.0959999999995</v>
      </c>
      <c r="X194" s="9">
        <v>1001.3493333333333</v>
      </c>
      <c r="Y194" s="9">
        <v>0</v>
      </c>
      <c r="Z194" s="9">
        <v>7009.4453333333331</v>
      </c>
      <c r="AA194" s="9">
        <v>0</v>
      </c>
      <c r="AB194" s="9">
        <f t="shared" si="62"/>
        <v>7009.4453333333331</v>
      </c>
      <c r="AC194" s="9">
        <v>5101.2</v>
      </c>
      <c r="AD194" s="9">
        <v>0</v>
      </c>
      <c r="AE194" s="9">
        <v>6008.0959999999995</v>
      </c>
      <c r="AF194" s="9">
        <v>239.75639999999999</v>
      </c>
      <c r="AG194" s="9">
        <v>1203.8832</v>
      </c>
      <c r="AH194" s="9">
        <v>79.068600000000004</v>
      </c>
      <c r="AI194" s="9">
        <v>280.56599999999997</v>
      </c>
      <c r="AJ194" s="9">
        <v>10.202399999999999</v>
      </c>
      <c r="AK194" s="9">
        <v>5.1011999999999995</v>
      </c>
      <c r="AL194" s="9">
        <v>30.607199999999999</v>
      </c>
      <c r="AM194" s="9">
        <v>7.6517999999999997</v>
      </c>
      <c r="AN194" s="9">
        <v>38.259</v>
      </c>
      <c r="AO194" s="9">
        <v>76.518000000000001</v>
      </c>
      <c r="AP194" s="9">
        <v>510.11999999999989</v>
      </c>
      <c r="AQ194" s="25">
        <v>1.9E-3</v>
      </c>
      <c r="AR194" s="9">
        <f t="shared" si="63"/>
        <v>0.96922799999999976</v>
      </c>
      <c r="AS194" s="25">
        <v>9.5999999999999992E-3</v>
      </c>
      <c r="AT194" s="9">
        <f t="shared" si="64"/>
        <v>4.8971519999999984</v>
      </c>
      <c r="AU194" s="9">
        <v>1398.1253333333334</v>
      </c>
      <c r="AV194" s="25">
        <v>2.0999999999999999E-3</v>
      </c>
      <c r="AW194" s="9">
        <f t="shared" si="65"/>
        <v>2.9360632</v>
      </c>
      <c r="AX194" s="25">
        <v>1.04E-2</v>
      </c>
      <c r="AY194" s="9">
        <f t="shared" si="66"/>
        <v>14.540503466666667</v>
      </c>
      <c r="AZ194" s="9">
        <v>0</v>
      </c>
      <c r="BA194" s="25">
        <v>0</v>
      </c>
      <c r="BB194" s="9">
        <f t="shared" si="67"/>
        <v>0</v>
      </c>
      <c r="BC194" s="25">
        <v>0</v>
      </c>
      <c r="BD194" s="9">
        <f t="shared" si="68"/>
        <v>0</v>
      </c>
      <c r="BE194" s="9">
        <v>510.11999999999989</v>
      </c>
      <c r="BF194" s="9">
        <v>1.9E-3</v>
      </c>
      <c r="BG194" s="9">
        <f t="shared" si="69"/>
        <v>0.96922799999999976</v>
      </c>
      <c r="BH194" s="9">
        <v>9.5999999999999992E-3</v>
      </c>
      <c r="BI194" s="9">
        <f t="shared" si="70"/>
        <v>4.8971519999999984</v>
      </c>
      <c r="BJ194" s="9">
        <v>1577.8502400000016</v>
      </c>
      <c r="BK194" s="9">
        <v>2.0999999999999999E-3</v>
      </c>
      <c r="BL194" s="9">
        <f t="shared" si="71"/>
        <v>3.3134855040000031</v>
      </c>
      <c r="BM194" s="9">
        <v>1.04E-2</v>
      </c>
      <c r="BN194" s="9">
        <f t="shared" si="72"/>
        <v>16.409642496000014</v>
      </c>
      <c r="BO194" s="9">
        <v>0</v>
      </c>
      <c r="BP194" s="9">
        <v>0</v>
      </c>
      <c r="BQ194" s="9">
        <f t="shared" si="73"/>
        <v>0</v>
      </c>
      <c r="BR194" s="9">
        <v>0</v>
      </c>
      <c r="BS194" s="9">
        <f t="shared" si="74"/>
        <v>0</v>
      </c>
      <c r="BT194" s="9">
        <f t="shared" si="75"/>
        <v>3.9052911999999997</v>
      </c>
      <c r="BU194" s="9">
        <f t="shared" si="76"/>
        <v>19.437655466666666</v>
      </c>
      <c r="BV194" s="9">
        <f t="shared" si="77"/>
        <v>335.4832912</v>
      </c>
      <c r="BW194">
        <f t="shared" si="78"/>
        <v>335.4832912</v>
      </c>
      <c r="BX194">
        <v>0</v>
      </c>
      <c r="BY194">
        <f t="shared" si="79"/>
        <v>1659.4734554666666</v>
      </c>
      <c r="BZ194">
        <v>1848.6437760000001</v>
      </c>
      <c r="CA194">
        <f t="shared" si="80"/>
        <v>3823.9689327999995</v>
      </c>
      <c r="CB194">
        <f t="shared" si="81"/>
        <v>7667.5694554666661</v>
      </c>
      <c r="CC194">
        <v>0</v>
      </c>
      <c r="CD194">
        <v>0</v>
      </c>
      <c r="CE194">
        <f t="shared" si="82"/>
        <v>0</v>
      </c>
      <c r="CF194">
        <f t="shared" si="83"/>
        <v>6008.0959999999995</v>
      </c>
      <c r="CG194">
        <f t="shared" si="84"/>
        <v>3823.9689327999995</v>
      </c>
      <c r="CH194">
        <f t="shared" si="85"/>
        <v>0</v>
      </c>
      <c r="CJ194" t="s">
        <v>278</v>
      </c>
      <c r="CL194" t="str">
        <f t="shared" si="86"/>
        <v/>
      </c>
    </row>
    <row r="195" spans="1:90" x14ac:dyDescent="0.25">
      <c r="A195" t="s">
        <v>120</v>
      </c>
      <c r="B195" t="s">
        <v>185</v>
      </c>
      <c r="C195" s="1">
        <v>46266</v>
      </c>
      <c r="D195" t="s">
        <v>174</v>
      </c>
      <c r="E195" t="s">
        <v>175</v>
      </c>
      <c r="F195" s="4">
        <v>1</v>
      </c>
      <c r="G195" s="4">
        <v>0.6</v>
      </c>
      <c r="H195" s="9">
        <v>6008.0960000000005</v>
      </c>
      <c r="I195" s="9">
        <v>1001.3493333333333</v>
      </c>
      <c r="J195" s="9">
        <f t="shared" si="58"/>
        <v>7009.445333333334</v>
      </c>
      <c r="K195" s="9">
        <v>0</v>
      </c>
      <c r="L195" s="9">
        <f t="shared" si="59"/>
        <v>0</v>
      </c>
      <c r="M195">
        <v>0</v>
      </c>
      <c r="N195" s="4">
        <f t="shared" si="60"/>
        <v>0</v>
      </c>
      <c r="O195" s="9">
        <v>3755.06</v>
      </c>
      <c r="P195" s="9">
        <v>2253.0360000000001</v>
      </c>
      <c r="Q195" s="9">
        <v>0</v>
      </c>
      <c r="R195" s="9">
        <v>0</v>
      </c>
      <c r="S195" s="9">
        <v>0</v>
      </c>
      <c r="T195" s="9">
        <v>0</v>
      </c>
      <c r="U195" s="9">
        <v>0</v>
      </c>
      <c r="V195" s="9">
        <v>0</v>
      </c>
      <c r="W195" s="9">
        <f t="shared" si="61"/>
        <v>6008.0959999999995</v>
      </c>
      <c r="X195" s="9">
        <v>1001.3493333333333</v>
      </c>
      <c r="Y195" s="9">
        <v>0</v>
      </c>
      <c r="Z195" s="9">
        <v>7009.4453333333331</v>
      </c>
      <c r="AA195" s="9">
        <v>0</v>
      </c>
      <c r="AB195" s="9">
        <f t="shared" si="62"/>
        <v>7009.4453333333331</v>
      </c>
      <c r="AC195" s="9">
        <v>5101.2</v>
      </c>
      <c r="AD195" s="9">
        <v>0</v>
      </c>
      <c r="AE195" s="9">
        <v>6008.0959999999995</v>
      </c>
      <c r="AF195" s="9">
        <v>239.75639999999999</v>
      </c>
      <c r="AG195" s="9">
        <v>1203.8832</v>
      </c>
      <c r="AH195" s="9">
        <v>79.068600000000004</v>
      </c>
      <c r="AI195" s="9">
        <v>280.56599999999997</v>
      </c>
      <c r="AJ195" s="9">
        <v>10.202399999999999</v>
      </c>
      <c r="AK195" s="9">
        <v>5.1011999999999995</v>
      </c>
      <c r="AL195" s="9">
        <v>30.607199999999999</v>
      </c>
      <c r="AM195" s="9">
        <v>7.6517999999999997</v>
      </c>
      <c r="AN195" s="9">
        <v>38.259</v>
      </c>
      <c r="AO195" s="9">
        <v>76.518000000000001</v>
      </c>
      <c r="AP195" s="9">
        <v>510.11999999999989</v>
      </c>
      <c r="AQ195" s="25">
        <v>1.9E-3</v>
      </c>
      <c r="AR195" s="9">
        <f t="shared" si="63"/>
        <v>0.96922799999999976</v>
      </c>
      <c r="AS195" s="25">
        <v>9.5999999999999992E-3</v>
      </c>
      <c r="AT195" s="9">
        <f t="shared" si="64"/>
        <v>4.8971519999999984</v>
      </c>
      <c r="AU195" s="9">
        <v>1398.1253333333334</v>
      </c>
      <c r="AV195" s="25">
        <v>2.0999999999999999E-3</v>
      </c>
      <c r="AW195" s="9">
        <f t="shared" si="65"/>
        <v>2.9360632</v>
      </c>
      <c r="AX195" s="25">
        <v>1.04E-2</v>
      </c>
      <c r="AY195" s="9">
        <f t="shared" si="66"/>
        <v>14.540503466666667</v>
      </c>
      <c r="AZ195" s="9">
        <v>0</v>
      </c>
      <c r="BA195" s="25">
        <v>0</v>
      </c>
      <c r="BB195" s="9">
        <f t="shared" si="67"/>
        <v>0</v>
      </c>
      <c r="BC195" s="25">
        <v>0</v>
      </c>
      <c r="BD195" s="9">
        <f t="shared" si="68"/>
        <v>0</v>
      </c>
      <c r="BE195" s="9">
        <v>510.11999999999989</v>
      </c>
      <c r="BF195" s="9">
        <v>1.9E-3</v>
      </c>
      <c r="BG195" s="9">
        <f t="shared" si="69"/>
        <v>0.96922799999999976</v>
      </c>
      <c r="BH195" s="9">
        <v>9.5999999999999992E-3</v>
      </c>
      <c r="BI195" s="9">
        <f t="shared" si="70"/>
        <v>4.8971519999999984</v>
      </c>
      <c r="BJ195" s="9">
        <v>1577.8502400000016</v>
      </c>
      <c r="BK195" s="9">
        <v>2.0999999999999999E-3</v>
      </c>
      <c r="BL195" s="9">
        <f t="shared" si="71"/>
        <v>3.3134855040000031</v>
      </c>
      <c r="BM195" s="9">
        <v>1.04E-2</v>
      </c>
      <c r="BN195" s="9">
        <f t="shared" si="72"/>
        <v>16.409642496000014</v>
      </c>
      <c r="BO195" s="9">
        <v>0</v>
      </c>
      <c r="BP195" s="9">
        <v>0</v>
      </c>
      <c r="BQ195" s="9">
        <f t="shared" si="73"/>
        <v>0</v>
      </c>
      <c r="BR195" s="9">
        <v>0</v>
      </c>
      <c r="BS195" s="9">
        <f t="shared" si="74"/>
        <v>0</v>
      </c>
      <c r="BT195" s="9">
        <f t="shared" si="75"/>
        <v>3.9052911999999997</v>
      </c>
      <c r="BU195" s="9">
        <f t="shared" si="76"/>
        <v>19.437655466666666</v>
      </c>
      <c r="BV195" s="9">
        <f t="shared" si="77"/>
        <v>335.4832912</v>
      </c>
      <c r="BW195">
        <f t="shared" si="78"/>
        <v>335.4832912</v>
      </c>
      <c r="BX195">
        <v>0</v>
      </c>
      <c r="BY195">
        <f t="shared" si="79"/>
        <v>1659.4734554666666</v>
      </c>
      <c r="BZ195">
        <v>1848.6437760000001</v>
      </c>
      <c r="CA195">
        <f t="shared" si="80"/>
        <v>3823.9689327999995</v>
      </c>
      <c r="CB195">
        <f t="shared" si="81"/>
        <v>7667.5694554666661</v>
      </c>
      <c r="CC195">
        <v>0</v>
      </c>
      <c r="CD195">
        <v>0</v>
      </c>
      <c r="CE195">
        <f t="shared" si="82"/>
        <v>0</v>
      </c>
      <c r="CF195">
        <f t="shared" si="83"/>
        <v>6008.0959999999995</v>
      </c>
      <c r="CG195">
        <f t="shared" si="84"/>
        <v>3823.9689327999995</v>
      </c>
      <c r="CH195">
        <f t="shared" si="85"/>
        <v>0</v>
      </c>
      <c r="CJ195" t="s">
        <v>278</v>
      </c>
      <c r="CL195" t="str">
        <f t="shared" si="86"/>
        <v/>
      </c>
    </row>
    <row r="196" spans="1:90" x14ac:dyDescent="0.25">
      <c r="A196" t="s">
        <v>120</v>
      </c>
      <c r="B196" t="s">
        <v>186</v>
      </c>
      <c r="C196" s="1">
        <v>46296</v>
      </c>
      <c r="D196" t="s">
        <v>174</v>
      </c>
      <c r="E196" t="s">
        <v>175</v>
      </c>
      <c r="F196" s="4">
        <v>1</v>
      </c>
      <c r="G196" s="4">
        <v>0.6</v>
      </c>
      <c r="H196" s="9">
        <v>6008.0960000000005</v>
      </c>
      <c r="I196" s="9">
        <v>1001.3493333333333</v>
      </c>
      <c r="J196" s="9">
        <f t="shared" ref="J196:J259" si="87">$H196+$I196</f>
        <v>7009.445333333334</v>
      </c>
      <c r="K196" s="9">
        <v>0</v>
      </c>
      <c r="L196" s="9">
        <f t="shared" ref="L196:L259" si="88">IF($E196="Nacimiento/cuidado menor",$K196*30,0)</f>
        <v>0</v>
      </c>
      <c r="M196">
        <v>0</v>
      </c>
      <c r="N196" s="4">
        <f t="shared" ref="N196:N259" si="89">IF($E196="Nacimiento/cuidado menor",$M196/30,0)</f>
        <v>0</v>
      </c>
      <c r="O196" s="9">
        <v>3755.06</v>
      </c>
      <c r="P196" s="9">
        <v>2253.0360000000001</v>
      </c>
      <c r="Q196" s="9">
        <v>0</v>
      </c>
      <c r="R196" s="9">
        <v>0</v>
      </c>
      <c r="S196" s="9">
        <v>0</v>
      </c>
      <c r="T196" s="9">
        <v>0</v>
      </c>
      <c r="U196" s="9">
        <v>0</v>
      </c>
      <c r="V196" s="9">
        <v>0</v>
      </c>
      <c r="W196" s="9">
        <f t="shared" ref="W196:W259" si="90">SUM($O196:$V196)</f>
        <v>6008.0959999999995</v>
      </c>
      <c r="X196" s="9">
        <v>1001.3493333333333</v>
      </c>
      <c r="Y196" s="9">
        <v>0</v>
      </c>
      <c r="Z196" s="9">
        <v>7009.4453333333331</v>
      </c>
      <c r="AA196" s="9">
        <v>0</v>
      </c>
      <c r="AB196" s="9">
        <f t="shared" ref="AB196:AB259" si="91">IF($D196="Mensual",$Z196+$AA196,0)</f>
        <v>7009.4453333333331</v>
      </c>
      <c r="AC196" s="9">
        <v>5101.2</v>
      </c>
      <c r="AD196" s="9">
        <v>0</v>
      </c>
      <c r="AE196" s="9">
        <v>6008.0959999999995</v>
      </c>
      <c r="AF196" s="9">
        <v>239.75639999999999</v>
      </c>
      <c r="AG196" s="9">
        <v>1203.8832</v>
      </c>
      <c r="AH196" s="9">
        <v>79.068600000000004</v>
      </c>
      <c r="AI196" s="9">
        <v>280.56599999999997</v>
      </c>
      <c r="AJ196" s="9">
        <v>10.202399999999999</v>
      </c>
      <c r="AK196" s="9">
        <v>5.1011999999999995</v>
      </c>
      <c r="AL196" s="9">
        <v>30.607199999999999</v>
      </c>
      <c r="AM196" s="9">
        <v>7.6517999999999997</v>
      </c>
      <c r="AN196" s="9">
        <v>38.259</v>
      </c>
      <c r="AO196" s="9">
        <v>76.518000000000001</v>
      </c>
      <c r="AP196" s="9">
        <v>510.11999999999989</v>
      </c>
      <c r="AQ196" s="25">
        <v>1.9E-3</v>
      </c>
      <c r="AR196" s="9">
        <f t="shared" ref="AR196:AR259" si="92">$AP196*$AQ196</f>
        <v>0.96922799999999976</v>
      </c>
      <c r="AS196" s="25">
        <v>9.5999999999999992E-3</v>
      </c>
      <c r="AT196" s="9">
        <f t="shared" ref="AT196:AT259" si="93">$AP196*$AS196</f>
        <v>4.8971519999999984</v>
      </c>
      <c r="AU196" s="9">
        <v>1398.1253333333334</v>
      </c>
      <c r="AV196" s="25">
        <v>2.0999999999999999E-3</v>
      </c>
      <c r="AW196" s="9">
        <f t="shared" ref="AW196:AW259" si="94">$AU196*$AV196</f>
        <v>2.9360632</v>
      </c>
      <c r="AX196" s="25">
        <v>1.04E-2</v>
      </c>
      <c r="AY196" s="9">
        <f t="shared" ref="AY196:AY259" si="95">$AU196*$AX196</f>
        <v>14.540503466666667</v>
      </c>
      <c r="AZ196" s="9">
        <v>0</v>
      </c>
      <c r="BA196" s="25">
        <v>0</v>
      </c>
      <c r="BB196" s="9">
        <f t="shared" ref="BB196:BB259" si="96">$AZ196*$BA196</f>
        <v>0</v>
      </c>
      <c r="BC196" s="25">
        <v>0</v>
      </c>
      <c r="BD196" s="9">
        <f t="shared" ref="BD196:BD259" si="97">$AZ196*$BC196</f>
        <v>0</v>
      </c>
      <c r="BE196" s="9">
        <v>510.11999999999989</v>
      </c>
      <c r="BF196" s="9">
        <v>1.9E-3</v>
      </c>
      <c r="BG196" s="9">
        <f t="shared" ref="BG196:BG259" si="98">$BE196*$BF196</f>
        <v>0.96922799999999976</v>
      </c>
      <c r="BH196" s="9">
        <v>9.5999999999999992E-3</v>
      </c>
      <c r="BI196" s="9">
        <f t="shared" ref="BI196:BI259" si="99">$BE196*$BH196</f>
        <v>4.8971519999999984</v>
      </c>
      <c r="BJ196" s="9">
        <v>1398.1253333333334</v>
      </c>
      <c r="BK196" s="9">
        <v>2.0999999999999999E-3</v>
      </c>
      <c r="BL196" s="9">
        <f t="shared" ref="BL196:BL259" si="100">$BJ196*$BK196</f>
        <v>2.9360632</v>
      </c>
      <c r="BM196" s="9">
        <v>1.04E-2</v>
      </c>
      <c r="BN196" s="9">
        <f t="shared" ref="BN196:BN259" si="101">$BJ196*$BM196</f>
        <v>14.540503466666667</v>
      </c>
      <c r="BO196" s="9">
        <v>0</v>
      </c>
      <c r="BP196" s="9">
        <v>0</v>
      </c>
      <c r="BQ196" s="9">
        <f t="shared" ref="BQ196:BQ259" si="102">$BO196*$BP196</f>
        <v>0</v>
      </c>
      <c r="BR196" s="9">
        <v>0</v>
      </c>
      <c r="BS196" s="9">
        <f t="shared" ref="BS196:BS259" si="103">$BO196*$BR196</f>
        <v>0</v>
      </c>
      <c r="BT196" s="9">
        <f t="shared" ref="BT196:BT259" si="104">SUM($AR196,$AW196,$BB196)</f>
        <v>3.9052911999999997</v>
      </c>
      <c r="BU196" s="9">
        <f t="shared" ref="BU196:BU259" si="105">SUM($AT196,$AY196,$BD196)</f>
        <v>19.437655466666666</v>
      </c>
      <c r="BV196" s="9">
        <f t="shared" ref="BV196:BV259" si="106">SUM($AF196,$AH196,$AK196,$AM196)+$BT196</f>
        <v>335.4832912</v>
      </c>
      <c r="BW196">
        <f t="shared" ref="BW196:BW259" si="107">$BV196+$BX196</f>
        <v>335.4832912</v>
      </c>
      <c r="BX196">
        <v>0</v>
      </c>
      <c r="BY196">
        <f t="shared" ref="BY196:BY259" si="108">SUM($AG196,$AI196,$AJ196,$AL196,$AN196,$AO196)+$BU196</f>
        <v>1659.4734554666666</v>
      </c>
      <c r="BZ196">
        <v>1848.6437760000001</v>
      </c>
      <c r="CA196">
        <f t="shared" ref="CA196:CA259" si="109">$W196-$BV196-$BZ196</f>
        <v>3823.9689327999995</v>
      </c>
      <c r="CB196">
        <f t="shared" ref="CB196:CB259" si="110">$W196+$BY196</f>
        <v>7667.5694554666661</v>
      </c>
      <c r="CC196">
        <v>0</v>
      </c>
      <c r="CD196">
        <v>0</v>
      </c>
      <c r="CE196">
        <f t="shared" ref="CE196:CE259" si="111">MAX(0,$CC196-$BX196-$CD196)</f>
        <v>0</v>
      </c>
      <c r="CF196">
        <f t="shared" ref="CF196:CF259" si="112">$W196+$CC196</f>
        <v>6008.0959999999995</v>
      </c>
      <c r="CG196">
        <f t="shared" ref="CG196:CG259" si="113">$CA196+$CE196</f>
        <v>3823.9689327999995</v>
      </c>
      <c r="CH196">
        <f t="shared" ref="CH196:CH259" si="114">IF($E196="Nacimiento/cuidado menor",MAX(0,$J196-$L196)*$N196,0)</f>
        <v>0</v>
      </c>
      <c r="CJ196" t="s">
        <v>278</v>
      </c>
      <c r="CL196" t="str">
        <f t="shared" ref="CL196:CL259" si="115">IF($E196="Nacimiento/cuidado menor",IF(ABS($CC196-$L196*$N196)&lt;0.02,"OK","REVISAR"),"")</f>
        <v/>
      </c>
    </row>
    <row r="197" spans="1:90" x14ac:dyDescent="0.25">
      <c r="A197" t="s">
        <v>120</v>
      </c>
      <c r="B197" t="s">
        <v>187</v>
      </c>
      <c r="C197" s="1">
        <v>46327</v>
      </c>
      <c r="D197" t="s">
        <v>174</v>
      </c>
      <c r="E197" t="s">
        <v>175</v>
      </c>
      <c r="F197" s="4">
        <v>1</v>
      </c>
      <c r="G197" s="4">
        <v>0.6</v>
      </c>
      <c r="H197" s="9">
        <v>6008.0960000000005</v>
      </c>
      <c r="I197" s="9">
        <v>1001.3493333333333</v>
      </c>
      <c r="J197" s="9">
        <f t="shared" si="87"/>
        <v>7009.445333333334</v>
      </c>
      <c r="K197" s="9">
        <v>0</v>
      </c>
      <c r="L197" s="9">
        <f t="shared" si="88"/>
        <v>0</v>
      </c>
      <c r="M197">
        <v>0</v>
      </c>
      <c r="N197" s="4">
        <f t="shared" si="89"/>
        <v>0</v>
      </c>
      <c r="O197" s="9">
        <v>3755.06</v>
      </c>
      <c r="P197" s="9">
        <v>2253.0360000000001</v>
      </c>
      <c r="Q197" s="9">
        <v>0</v>
      </c>
      <c r="R197" s="9">
        <v>0</v>
      </c>
      <c r="S197" s="9">
        <v>0</v>
      </c>
      <c r="T197" s="9">
        <v>0</v>
      </c>
      <c r="U197" s="9">
        <v>0</v>
      </c>
      <c r="V197" s="9">
        <v>0</v>
      </c>
      <c r="W197" s="9">
        <f t="shared" si="90"/>
        <v>6008.0959999999995</v>
      </c>
      <c r="X197" s="9">
        <v>1001.3493333333333</v>
      </c>
      <c r="Y197" s="9">
        <v>0</v>
      </c>
      <c r="Z197" s="9">
        <v>7009.4453333333331</v>
      </c>
      <c r="AA197" s="9">
        <v>0</v>
      </c>
      <c r="AB197" s="9">
        <f t="shared" si="91"/>
        <v>7009.4453333333331</v>
      </c>
      <c r="AC197" s="9">
        <v>5101.2</v>
      </c>
      <c r="AD197" s="9">
        <v>0</v>
      </c>
      <c r="AE197" s="9">
        <v>6008.0959999999995</v>
      </c>
      <c r="AF197" s="9">
        <v>239.75639999999999</v>
      </c>
      <c r="AG197" s="9">
        <v>1203.8832</v>
      </c>
      <c r="AH197" s="9">
        <v>79.068600000000004</v>
      </c>
      <c r="AI197" s="9">
        <v>280.56599999999997</v>
      </c>
      <c r="AJ197" s="9">
        <v>10.202399999999999</v>
      </c>
      <c r="AK197" s="9">
        <v>5.1011999999999995</v>
      </c>
      <c r="AL197" s="9">
        <v>30.607199999999999</v>
      </c>
      <c r="AM197" s="9">
        <v>7.6517999999999997</v>
      </c>
      <c r="AN197" s="9">
        <v>38.259</v>
      </c>
      <c r="AO197" s="9">
        <v>76.518000000000001</v>
      </c>
      <c r="AP197" s="9">
        <v>510.11999999999989</v>
      </c>
      <c r="AQ197" s="25">
        <v>1.9E-3</v>
      </c>
      <c r="AR197" s="9">
        <f t="shared" si="92"/>
        <v>0.96922799999999976</v>
      </c>
      <c r="AS197" s="25">
        <v>9.5999999999999992E-3</v>
      </c>
      <c r="AT197" s="9">
        <f t="shared" si="93"/>
        <v>4.8971519999999984</v>
      </c>
      <c r="AU197" s="9">
        <v>1398.1253333333334</v>
      </c>
      <c r="AV197" s="25">
        <v>2.0999999999999999E-3</v>
      </c>
      <c r="AW197" s="9">
        <f t="shared" si="94"/>
        <v>2.9360632</v>
      </c>
      <c r="AX197" s="25">
        <v>1.04E-2</v>
      </c>
      <c r="AY197" s="9">
        <f t="shared" si="95"/>
        <v>14.540503466666667</v>
      </c>
      <c r="AZ197" s="9">
        <v>0</v>
      </c>
      <c r="BA197" s="25">
        <v>0</v>
      </c>
      <c r="BB197" s="9">
        <f t="shared" si="96"/>
        <v>0</v>
      </c>
      <c r="BC197" s="25">
        <v>0</v>
      </c>
      <c r="BD197" s="9">
        <f t="shared" si="97"/>
        <v>0</v>
      </c>
      <c r="BE197" s="9">
        <v>510.11999999999989</v>
      </c>
      <c r="BF197" s="9">
        <v>1.9E-3</v>
      </c>
      <c r="BG197" s="9">
        <f t="shared" si="98"/>
        <v>0.96922799999999976</v>
      </c>
      <c r="BH197" s="9">
        <v>9.5999999999999992E-3</v>
      </c>
      <c r="BI197" s="9">
        <f t="shared" si="99"/>
        <v>4.8971519999999984</v>
      </c>
      <c r="BJ197" s="9">
        <v>1577.8502400000016</v>
      </c>
      <c r="BK197" s="9">
        <v>2.0999999999999999E-3</v>
      </c>
      <c r="BL197" s="9">
        <f t="shared" si="100"/>
        <v>3.3134855040000031</v>
      </c>
      <c r="BM197" s="9">
        <v>1.04E-2</v>
      </c>
      <c r="BN197" s="9">
        <f t="shared" si="101"/>
        <v>16.409642496000014</v>
      </c>
      <c r="BO197" s="9">
        <v>0</v>
      </c>
      <c r="BP197" s="9">
        <v>0</v>
      </c>
      <c r="BQ197" s="9">
        <f t="shared" si="102"/>
        <v>0</v>
      </c>
      <c r="BR197" s="9">
        <v>0</v>
      </c>
      <c r="BS197" s="9">
        <f t="shared" si="103"/>
        <v>0</v>
      </c>
      <c r="BT197" s="9">
        <f t="shared" si="104"/>
        <v>3.9052911999999997</v>
      </c>
      <c r="BU197" s="9">
        <f t="shared" si="105"/>
        <v>19.437655466666666</v>
      </c>
      <c r="BV197" s="9">
        <f t="shared" si="106"/>
        <v>335.4832912</v>
      </c>
      <c r="BW197">
        <f t="shared" si="107"/>
        <v>335.4832912</v>
      </c>
      <c r="BX197">
        <v>0</v>
      </c>
      <c r="BY197">
        <f t="shared" si="108"/>
        <v>1659.4734554666666</v>
      </c>
      <c r="BZ197">
        <v>1848.6437760000001</v>
      </c>
      <c r="CA197">
        <f t="shared" si="109"/>
        <v>3823.9689327999995</v>
      </c>
      <c r="CB197">
        <f t="shared" si="110"/>
        <v>7667.5694554666661</v>
      </c>
      <c r="CC197">
        <v>0</v>
      </c>
      <c r="CD197">
        <v>0</v>
      </c>
      <c r="CE197">
        <f t="shared" si="111"/>
        <v>0</v>
      </c>
      <c r="CF197">
        <f t="shared" si="112"/>
        <v>6008.0959999999995</v>
      </c>
      <c r="CG197">
        <f t="shared" si="113"/>
        <v>3823.9689327999995</v>
      </c>
      <c r="CH197">
        <f t="shared" si="114"/>
        <v>0</v>
      </c>
      <c r="CJ197" t="s">
        <v>278</v>
      </c>
      <c r="CL197" t="str">
        <f t="shared" si="115"/>
        <v/>
      </c>
    </row>
    <row r="198" spans="1:90" x14ac:dyDescent="0.25">
      <c r="A198" t="s">
        <v>120</v>
      </c>
      <c r="B198" t="s">
        <v>188</v>
      </c>
      <c r="C198" s="1">
        <v>46357</v>
      </c>
      <c r="D198" t="s">
        <v>182</v>
      </c>
      <c r="E198" t="s">
        <v>175</v>
      </c>
      <c r="F198" s="4">
        <v>1</v>
      </c>
      <c r="G198" s="4">
        <v>0.6</v>
      </c>
      <c r="H198" s="9">
        <v>6008.0960000000005</v>
      </c>
      <c r="I198" s="9">
        <v>1001.3493333333333</v>
      </c>
      <c r="J198" s="9">
        <f t="shared" si="87"/>
        <v>7009.445333333334</v>
      </c>
      <c r="K198" s="9">
        <v>0</v>
      </c>
      <c r="L198" s="9">
        <f t="shared" si="88"/>
        <v>0</v>
      </c>
      <c r="M198">
        <v>0</v>
      </c>
      <c r="N198" s="4">
        <f t="shared" si="89"/>
        <v>0</v>
      </c>
      <c r="O198" s="9">
        <v>3755.06</v>
      </c>
      <c r="P198" s="9">
        <v>2253.0360000000001</v>
      </c>
      <c r="Q198" s="9">
        <v>0</v>
      </c>
      <c r="R198" s="9">
        <v>0</v>
      </c>
      <c r="S198" s="9">
        <v>0</v>
      </c>
      <c r="T198" s="9">
        <v>0</v>
      </c>
      <c r="U198" s="9">
        <v>0</v>
      </c>
      <c r="V198" s="9">
        <v>0</v>
      </c>
      <c r="W198" s="9">
        <f t="shared" si="90"/>
        <v>6008.0959999999995</v>
      </c>
      <c r="X198" s="9">
        <v>0</v>
      </c>
      <c r="Y198" s="9">
        <v>0</v>
      </c>
      <c r="Z198" s="9">
        <v>0</v>
      </c>
      <c r="AA198" s="9">
        <v>0</v>
      </c>
      <c r="AB198" s="9">
        <f t="shared" si="91"/>
        <v>0</v>
      </c>
      <c r="AC198" s="9">
        <v>0</v>
      </c>
      <c r="AD198" s="9">
        <v>0</v>
      </c>
      <c r="AE198" s="9">
        <v>6008.0959999999995</v>
      </c>
      <c r="AF198" s="9">
        <v>0</v>
      </c>
      <c r="AG198" s="9">
        <v>0</v>
      </c>
      <c r="AH198" s="9">
        <v>0</v>
      </c>
      <c r="AI198" s="9">
        <v>0</v>
      </c>
      <c r="AJ198" s="9">
        <v>0</v>
      </c>
      <c r="AK198" s="9">
        <v>0</v>
      </c>
      <c r="AL198" s="9">
        <v>0</v>
      </c>
      <c r="AM198" s="9">
        <v>0</v>
      </c>
      <c r="AN198" s="9">
        <v>0</v>
      </c>
      <c r="AO198" s="9">
        <v>0</v>
      </c>
      <c r="AP198" s="9">
        <v>0</v>
      </c>
      <c r="AQ198" s="25">
        <v>0</v>
      </c>
      <c r="AR198" s="9">
        <f t="shared" si="92"/>
        <v>0</v>
      </c>
      <c r="AS198" s="25">
        <v>0</v>
      </c>
      <c r="AT198" s="9">
        <f t="shared" si="93"/>
        <v>0</v>
      </c>
      <c r="AU198" s="9">
        <v>0</v>
      </c>
      <c r="AV198" s="25">
        <v>0</v>
      </c>
      <c r="AW198" s="9">
        <f t="shared" si="94"/>
        <v>0</v>
      </c>
      <c r="AX198" s="25">
        <v>0</v>
      </c>
      <c r="AY198" s="9">
        <f t="shared" si="95"/>
        <v>0</v>
      </c>
      <c r="AZ198" s="9">
        <v>0</v>
      </c>
      <c r="BA198" s="25">
        <v>0</v>
      </c>
      <c r="BB198" s="9">
        <f t="shared" si="96"/>
        <v>0</v>
      </c>
      <c r="BC198" s="25">
        <v>0</v>
      </c>
      <c r="BD198" s="9">
        <f t="shared" si="97"/>
        <v>0</v>
      </c>
      <c r="BE198" s="9">
        <v>0</v>
      </c>
      <c r="BF198" s="9">
        <v>0</v>
      </c>
      <c r="BG198" s="9">
        <f t="shared" si="98"/>
        <v>0</v>
      </c>
      <c r="BH198" s="9">
        <v>0</v>
      </c>
      <c r="BI198" s="9">
        <f t="shared" si="99"/>
        <v>0</v>
      </c>
      <c r="BJ198" s="9">
        <v>0</v>
      </c>
      <c r="BK198" s="9">
        <v>0</v>
      </c>
      <c r="BL198" s="9">
        <f t="shared" si="100"/>
        <v>0</v>
      </c>
      <c r="BM198" s="9">
        <v>0</v>
      </c>
      <c r="BN198" s="9">
        <f t="shared" si="101"/>
        <v>0</v>
      </c>
      <c r="BO198" s="9">
        <v>0</v>
      </c>
      <c r="BP198" s="9">
        <v>0</v>
      </c>
      <c r="BQ198" s="9">
        <f t="shared" si="102"/>
        <v>0</v>
      </c>
      <c r="BR198" s="9">
        <v>0</v>
      </c>
      <c r="BS198" s="9">
        <f t="shared" si="103"/>
        <v>0</v>
      </c>
      <c r="BT198" s="9">
        <f t="shared" si="104"/>
        <v>0</v>
      </c>
      <c r="BU198" s="9">
        <f t="shared" si="105"/>
        <v>0</v>
      </c>
      <c r="BV198" s="9">
        <f t="shared" si="106"/>
        <v>0</v>
      </c>
      <c r="BW198">
        <f t="shared" si="107"/>
        <v>0</v>
      </c>
      <c r="BX198">
        <v>0</v>
      </c>
      <c r="BY198">
        <f t="shared" si="108"/>
        <v>0</v>
      </c>
      <c r="BZ198">
        <v>1848.6437760000003</v>
      </c>
      <c r="CA198">
        <f t="shared" si="109"/>
        <v>4159.4522239999988</v>
      </c>
      <c r="CB198">
        <f t="shared" si="110"/>
        <v>6008.0959999999995</v>
      </c>
      <c r="CC198">
        <v>0</v>
      </c>
      <c r="CD198">
        <v>0</v>
      </c>
      <c r="CE198">
        <f t="shared" si="111"/>
        <v>0</v>
      </c>
      <c r="CF198">
        <f t="shared" si="112"/>
        <v>6008.0959999999995</v>
      </c>
      <c r="CG198">
        <f t="shared" si="113"/>
        <v>4159.4522239999988</v>
      </c>
      <c r="CH198">
        <f t="shared" si="114"/>
        <v>0</v>
      </c>
      <c r="CJ198" t="s">
        <v>278</v>
      </c>
      <c r="CL198" t="str">
        <f t="shared" si="115"/>
        <v/>
      </c>
    </row>
    <row r="199" spans="1:90" x14ac:dyDescent="0.25">
      <c r="A199" t="s">
        <v>120</v>
      </c>
      <c r="B199" t="s">
        <v>189</v>
      </c>
      <c r="C199" s="1">
        <v>46357</v>
      </c>
      <c r="D199" t="s">
        <v>174</v>
      </c>
      <c r="E199" t="s">
        <v>175</v>
      </c>
      <c r="F199" s="4">
        <v>1</v>
      </c>
      <c r="G199" s="4">
        <v>0.6</v>
      </c>
      <c r="H199" s="9">
        <v>6008.0960000000005</v>
      </c>
      <c r="I199" s="9">
        <v>1001.3493333333333</v>
      </c>
      <c r="J199" s="9">
        <f t="shared" si="87"/>
        <v>7009.445333333334</v>
      </c>
      <c r="K199" s="9">
        <v>0</v>
      </c>
      <c r="L199" s="9">
        <f t="shared" si="88"/>
        <v>0</v>
      </c>
      <c r="M199">
        <v>0</v>
      </c>
      <c r="N199" s="4">
        <f t="shared" si="89"/>
        <v>0</v>
      </c>
      <c r="O199" s="9">
        <v>3755.06</v>
      </c>
      <c r="P199" s="9">
        <v>2253.0360000000001</v>
      </c>
      <c r="Q199" s="9">
        <v>0</v>
      </c>
      <c r="R199" s="9">
        <v>0</v>
      </c>
      <c r="S199" s="9">
        <v>0</v>
      </c>
      <c r="T199" s="9">
        <v>0</v>
      </c>
      <c r="U199" s="9">
        <v>0</v>
      </c>
      <c r="V199" s="9">
        <v>0</v>
      </c>
      <c r="W199" s="9">
        <f t="shared" si="90"/>
        <v>6008.0959999999995</v>
      </c>
      <c r="X199" s="9">
        <v>1001.3493333333333</v>
      </c>
      <c r="Y199" s="9">
        <v>0</v>
      </c>
      <c r="Z199" s="9">
        <v>7009.4453333333331</v>
      </c>
      <c r="AA199" s="9">
        <v>0</v>
      </c>
      <c r="AB199" s="9">
        <f t="shared" si="91"/>
        <v>7009.4453333333331</v>
      </c>
      <c r="AC199" s="9">
        <v>5101.2</v>
      </c>
      <c r="AD199" s="9">
        <v>0</v>
      </c>
      <c r="AE199" s="9">
        <v>6008.0959999999995</v>
      </c>
      <c r="AF199" s="9">
        <v>239.75639999999999</v>
      </c>
      <c r="AG199" s="9">
        <v>1203.8832</v>
      </c>
      <c r="AH199" s="9">
        <v>79.068600000000004</v>
      </c>
      <c r="AI199" s="9">
        <v>280.56599999999997</v>
      </c>
      <c r="AJ199" s="9">
        <v>10.202399999999999</v>
      </c>
      <c r="AK199" s="9">
        <v>5.1011999999999995</v>
      </c>
      <c r="AL199" s="9">
        <v>30.607199999999999</v>
      </c>
      <c r="AM199" s="9">
        <v>7.6517999999999997</v>
      </c>
      <c r="AN199" s="9">
        <v>38.259</v>
      </c>
      <c r="AO199" s="9">
        <v>76.518000000000001</v>
      </c>
      <c r="AP199" s="9">
        <v>510.11999999999989</v>
      </c>
      <c r="AQ199" s="25">
        <v>1.9E-3</v>
      </c>
      <c r="AR199" s="9">
        <f t="shared" si="92"/>
        <v>0.96922799999999976</v>
      </c>
      <c r="AS199" s="25">
        <v>9.5999999999999992E-3</v>
      </c>
      <c r="AT199" s="9">
        <f t="shared" si="93"/>
        <v>4.8971519999999984</v>
      </c>
      <c r="AU199" s="9">
        <v>1398.1253333333334</v>
      </c>
      <c r="AV199" s="25">
        <v>2.0999999999999999E-3</v>
      </c>
      <c r="AW199" s="9">
        <f t="shared" si="94"/>
        <v>2.9360632</v>
      </c>
      <c r="AX199" s="25">
        <v>1.04E-2</v>
      </c>
      <c r="AY199" s="9">
        <f t="shared" si="95"/>
        <v>14.540503466666667</v>
      </c>
      <c r="AZ199" s="9">
        <v>0</v>
      </c>
      <c r="BA199" s="25">
        <v>0</v>
      </c>
      <c r="BB199" s="9">
        <f t="shared" si="96"/>
        <v>0</v>
      </c>
      <c r="BC199" s="25">
        <v>0</v>
      </c>
      <c r="BD199" s="9">
        <f t="shared" si="97"/>
        <v>0</v>
      </c>
      <c r="BE199" s="9">
        <v>510.11999999999989</v>
      </c>
      <c r="BF199" s="9">
        <v>1.9E-3</v>
      </c>
      <c r="BG199" s="9">
        <f t="shared" si="98"/>
        <v>0.96922799999999976</v>
      </c>
      <c r="BH199" s="9">
        <v>9.5999999999999992E-3</v>
      </c>
      <c r="BI199" s="9">
        <f t="shared" si="99"/>
        <v>4.8971519999999984</v>
      </c>
      <c r="BJ199" s="9">
        <v>1577.8502400000016</v>
      </c>
      <c r="BK199" s="9">
        <v>2.0999999999999999E-3</v>
      </c>
      <c r="BL199" s="9">
        <f t="shared" si="100"/>
        <v>3.3134855040000031</v>
      </c>
      <c r="BM199" s="9">
        <v>1.04E-2</v>
      </c>
      <c r="BN199" s="9">
        <f t="shared" si="101"/>
        <v>16.409642496000014</v>
      </c>
      <c r="BO199" s="9">
        <v>0</v>
      </c>
      <c r="BP199" s="9">
        <v>0</v>
      </c>
      <c r="BQ199" s="9">
        <f t="shared" si="102"/>
        <v>0</v>
      </c>
      <c r="BR199" s="9">
        <v>0</v>
      </c>
      <c r="BS199" s="9">
        <f t="shared" si="103"/>
        <v>0</v>
      </c>
      <c r="BT199" s="9">
        <f t="shared" si="104"/>
        <v>3.9052911999999997</v>
      </c>
      <c r="BU199" s="9">
        <f t="shared" si="105"/>
        <v>19.437655466666666</v>
      </c>
      <c r="BV199" s="9">
        <f t="shared" si="106"/>
        <v>335.4832912</v>
      </c>
      <c r="BW199">
        <f t="shared" si="107"/>
        <v>335.4832912</v>
      </c>
      <c r="BX199">
        <v>0</v>
      </c>
      <c r="BY199">
        <f t="shared" si="108"/>
        <v>1659.4734554666666</v>
      </c>
      <c r="BZ199">
        <v>1848.6437760000001</v>
      </c>
      <c r="CA199">
        <f t="shared" si="109"/>
        <v>3823.9689327999995</v>
      </c>
      <c r="CB199">
        <f t="shared" si="110"/>
        <v>7667.5694554666661</v>
      </c>
      <c r="CC199">
        <v>0</v>
      </c>
      <c r="CD199">
        <v>0</v>
      </c>
      <c r="CE199">
        <f t="shared" si="111"/>
        <v>0</v>
      </c>
      <c r="CF199">
        <f t="shared" si="112"/>
        <v>6008.0959999999995</v>
      </c>
      <c r="CG199">
        <f t="shared" si="113"/>
        <v>3823.9689327999995</v>
      </c>
      <c r="CH199">
        <f t="shared" si="114"/>
        <v>0</v>
      </c>
      <c r="CJ199" t="s">
        <v>278</v>
      </c>
      <c r="CL199" t="str">
        <f t="shared" si="115"/>
        <v/>
      </c>
    </row>
    <row r="200" spans="1:90" x14ac:dyDescent="0.25">
      <c r="A200" t="s">
        <v>122</v>
      </c>
      <c r="B200" t="s">
        <v>173</v>
      </c>
      <c r="C200" s="1">
        <v>46023</v>
      </c>
      <c r="D200" t="s">
        <v>174</v>
      </c>
      <c r="E200" t="s">
        <v>175</v>
      </c>
      <c r="F200" s="4">
        <v>1</v>
      </c>
      <c r="G200" s="4">
        <v>0.5</v>
      </c>
      <c r="H200" s="9">
        <v>5966.82</v>
      </c>
      <c r="I200" s="9">
        <v>994.46999999999991</v>
      </c>
      <c r="J200" s="9">
        <f t="shared" si="87"/>
        <v>6961.29</v>
      </c>
      <c r="K200" s="9">
        <v>0</v>
      </c>
      <c r="L200" s="9">
        <f t="shared" si="88"/>
        <v>0</v>
      </c>
      <c r="M200">
        <v>0</v>
      </c>
      <c r="N200" s="4">
        <f t="shared" si="89"/>
        <v>0</v>
      </c>
      <c r="O200" s="9">
        <v>3977.88</v>
      </c>
      <c r="P200" s="9">
        <v>1988.94</v>
      </c>
      <c r="Q200" s="9">
        <v>0</v>
      </c>
      <c r="R200" s="9">
        <v>0</v>
      </c>
      <c r="S200" s="9">
        <v>0</v>
      </c>
      <c r="T200" s="9">
        <v>0</v>
      </c>
      <c r="U200" s="9">
        <v>0</v>
      </c>
      <c r="V200" s="9">
        <v>0</v>
      </c>
      <c r="W200" s="9">
        <f t="shared" si="90"/>
        <v>5966.82</v>
      </c>
      <c r="X200" s="9">
        <v>994.46999999999991</v>
      </c>
      <c r="Y200" s="9">
        <v>0</v>
      </c>
      <c r="Z200" s="9">
        <v>6961.29</v>
      </c>
      <c r="AA200" s="9">
        <v>0</v>
      </c>
      <c r="AB200" s="9">
        <f t="shared" si="91"/>
        <v>6961.29</v>
      </c>
      <c r="AC200" s="9">
        <v>5101.2</v>
      </c>
      <c r="AD200" s="9">
        <v>0</v>
      </c>
      <c r="AE200" s="9">
        <v>5966.82</v>
      </c>
      <c r="AF200" s="9">
        <v>239.75639999999999</v>
      </c>
      <c r="AG200" s="9">
        <v>1203.8832</v>
      </c>
      <c r="AH200" s="9">
        <v>79.068600000000004</v>
      </c>
      <c r="AI200" s="9">
        <v>280.56599999999997</v>
      </c>
      <c r="AJ200" s="9">
        <v>10.202399999999999</v>
      </c>
      <c r="AK200" s="9">
        <v>5.1011999999999995</v>
      </c>
      <c r="AL200" s="9">
        <v>30.607199999999999</v>
      </c>
      <c r="AM200" s="9">
        <v>7.6517999999999997</v>
      </c>
      <c r="AN200" s="9">
        <v>38.259</v>
      </c>
      <c r="AO200" s="9">
        <v>76.518000000000001</v>
      </c>
      <c r="AP200" s="9">
        <v>510.11999999999989</v>
      </c>
      <c r="AQ200" s="25">
        <v>1.9E-3</v>
      </c>
      <c r="AR200" s="9">
        <f t="shared" si="92"/>
        <v>0.96922799999999976</v>
      </c>
      <c r="AS200" s="25">
        <v>9.5999999999999992E-3</v>
      </c>
      <c r="AT200" s="9">
        <f t="shared" si="93"/>
        <v>4.8971519999999984</v>
      </c>
      <c r="AU200" s="9">
        <v>1349.9700000000003</v>
      </c>
      <c r="AV200" s="25">
        <v>2.0999999999999999E-3</v>
      </c>
      <c r="AW200" s="9">
        <f t="shared" si="94"/>
        <v>2.8349370000000005</v>
      </c>
      <c r="AX200" s="25">
        <v>1.04E-2</v>
      </c>
      <c r="AY200" s="9">
        <f t="shared" si="95"/>
        <v>14.039688000000002</v>
      </c>
      <c r="AZ200" s="9">
        <v>0</v>
      </c>
      <c r="BA200" s="25">
        <v>0</v>
      </c>
      <c r="BB200" s="9">
        <f t="shared" si="96"/>
        <v>0</v>
      </c>
      <c r="BC200" s="25">
        <v>0</v>
      </c>
      <c r="BD200" s="9">
        <f t="shared" si="97"/>
        <v>0</v>
      </c>
      <c r="BE200" s="9">
        <v>510.11999999999989</v>
      </c>
      <c r="BF200" s="9">
        <v>1.9E-3</v>
      </c>
      <c r="BG200" s="9">
        <f t="shared" si="98"/>
        <v>0.96922799999999976</v>
      </c>
      <c r="BH200" s="9">
        <v>9.5999999999999992E-3</v>
      </c>
      <c r="BI200" s="9">
        <f t="shared" si="99"/>
        <v>4.8971519999999984</v>
      </c>
      <c r="BJ200" s="9">
        <v>1253.8593000000001</v>
      </c>
      <c r="BK200" s="9">
        <v>2.0999999999999999E-3</v>
      </c>
      <c r="BL200" s="9">
        <f t="shared" si="100"/>
        <v>2.6331045299999998</v>
      </c>
      <c r="BM200" s="9">
        <v>1.04E-2</v>
      </c>
      <c r="BN200" s="9">
        <f t="shared" si="101"/>
        <v>13.04013672</v>
      </c>
      <c r="BO200" s="9">
        <v>0</v>
      </c>
      <c r="BP200" s="9">
        <v>0</v>
      </c>
      <c r="BQ200" s="9">
        <f t="shared" si="102"/>
        <v>0</v>
      </c>
      <c r="BR200" s="9">
        <v>0</v>
      </c>
      <c r="BS200" s="9">
        <f t="shared" si="103"/>
        <v>0</v>
      </c>
      <c r="BT200" s="9">
        <f t="shared" si="104"/>
        <v>3.8041650000000002</v>
      </c>
      <c r="BU200" s="9">
        <f t="shared" si="105"/>
        <v>18.93684</v>
      </c>
      <c r="BV200" s="9">
        <f t="shared" si="106"/>
        <v>335.38216499999999</v>
      </c>
      <c r="BW200">
        <f t="shared" si="107"/>
        <v>335.38216499999999</v>
      </c>
      <c r="BX200">
        <v>0</v>
      </c>
      <c r="BY200">
        <f t="shared" si="108"/>
        <v>1658.97264</v>
      </c>
      <c r="BZ200">
        <v>1695.8954350800002</v>
      </c>
      <c r="CA200">
        <f t="shared" si="109"/>
        <v>3935.5423999199993</v>
      </c>
      <c r="CB200">
        <f t="shared" si="110"/>
        <v>7625.7926399999997</v>
      </c>
      <c r="CC200">
        <v>0</v>
      </c>
      <c r="CD200">
        <v>0</v>
      </c>
      <c r="CE200">
        <f t="shared" si="111"/>
        <v>0</v>
      </c>
      <c r="CF200">
        <f t="shared" si="112"/>
        <v>5966.82</v>
      </c>
      <c r="CG200">
        <f t="shared" si="113"/>
        <v>3935.5423999199993</v>
      </c>
      <c r="CH200">
        <f t="shared" si="114"/>
        <v>0</v>
      </c>
      <c r="CJ200" t="s">
        <v>278</v>
      </c>
      <c r="CL200" t="str">
        <f t="shared" si="115"/>
        <v/>
      </c>
    </row>
    <row r="201" spans="1:90" x14ac:dyDescent="0.25">
      <c r="A201" t="s">
        <v>122</v>
      </c>
      <c r="B201" t="s">
        <v>176</v>
      </c>
      <c r="C201" s="1">
        <v>46054</v>
      </c>
      <c r="D201" t="s">
        <v>174</v>
      </c>
      <c r="E201" t="s">
        <v>175</v>
      </c>
      <c r="F201" s="4">
        <v>1</v>
      </c>
      <c r="G201" s="4">
        <v>0.5</v>
      </c>
      <c r="H201" s="9">
        <v>5966.82</v>
      </c>
      <c r="I201" s="9">
        <v>994.46999999999991</v>
      </c>
      <c r="J201" s="9">
        <f t="shared" si="87"/>
        <v>6961.29</v>
      </c>
      <c r="K201" s="9">
        <v>0</v>
      </c>
      <c r="L201" s="9">
        <f t="shared" si="88"/>
        <v>0</v>
      </c>
      <c r="M201">
        <v>0</v>
      </c>
      <c r="N201" s="4">
        <f t="shared" si="89"/>
        <v>0</v>
      </c>
      <c r="O201" s="9">
        <v>3977.88</v>
      </c>
      <c r="P201" s="9">
        <v>1988.94</v>
      </c>
      <c r="Q201" s="9">
        <v>0</v>
      </c>
      <c r="R201" s="9">
        <v>0</v>
      </c>
      <c r="S201" s="9">
        <v>0</v>
      </c>
      <c r="T201" s="9">
        <v>0</v>
      </c>
      <c r="U201" s="9">
        <v>0</v>
      </c>
      <c r="V201" s="9">
        <v>0</v>
      </c>
      <c r="W201" s="9">
        <f t="shared" si="90"/>
        <v>5966.82</v>
      </c>
      <c r="X201" s="9">
        <v>994.46999999999991</v>
      </c>
      <c r="Y201" s="9">
        <v>0</v>
      </c>
      <c r="Z201" s="9">
        <v>6961.29</v>
      </c>
      <c r="AA201" s="9">
        <v>0</v>
      </c>
      <c r="AB201" s="9">
        <f t="shared" si="91"/>
        <v>6961.29</v>
      </c>
      <c r="AC201" s="9">
        <v>5101.2</v>
      </c>
      <c r="AD201" s="9">
        <v>0</v>
      </c>
      <c r="AE201" s="9">
        <v>5966.82</v>
      </c>
      <c r="AF201" s="9">
        <v>239.75639999999999</v>
      </c>
      <c r="AG201" s="9">
        <v>1203.8832</v>
      </c>
      <c r="AH201" s="9">
        <v>79.068600000000004</v>
      </c>
      <c r="AI201" s="9">
        <v>280.56599999999997</v>
      </c>
      <c r="AJ201" s="9">
        <v>10.202399999999999</v>
      </c>
      <c r="AK201" s="9">
        <v>5.1011999999999995</v>
      </c>
      <c r="AL201" s="9">
        <v>30.607199999999999</v>
      </c>
      <c r="AM201" s="9">
        <v>7.6517999999999997</v>
      </c>
      <c r="AN201" s="9">
        <v>38.259</v>
      </c>
      <c r="AO201" s="9">
        <v>76.518000000000001</v>
      </c>
      <c r="AP201" s="9">
        <v>510.11999999999989</v>
      </c>
      <c r="AQ201" s="25">
        <v>1.9E-3</v>
      </c>
      <c r="AR201" s="9">
        <f t="shared" si="92"/>
        <v>0.96922799999999976</v>
      </c>
      <c r="AS201" s="25">
        <v>9.5999999999999992E-3</v>
      </c>
      <c r="AT201" s="9">
        <f t="shared" si="93"/>
        <v>4.8971519999999984</v>
      </c>
      <c r="AU201" s="9">
        <v>1349.9700000000003</v>
      </c>
      <c r="AV201" s="25">
        <v>2.0999999999999999E-3</v>
      </c>
      <c r="AW201" s="9">
        <f t="shared" si="94"/>
        <v>2.8349370000000005</v>
      </c>
      <c r="AX201" s="25">
        <v>1.04E-2</v>
      </c>
      <c r="AY201" s="9">
        <f t="shared" si="95"/>
        <v>14.039688000000002</v>
      </c>
      <c r="AZ201" s="9">
        <v>0</v>
      </c>
      <c r="BA201" s="25">
        <v>0</v>
      </c>
      <c r="BB201" s="9">
        <f t="shared" si="96"/>
        <v>0</v>
      </c>
      <c r="BC201" s="25">
        <v>0</v>
      </c>
      <c r="BD201" s="9">
        <f t="shared" si="97"/>
        <v>0</v>
      </c>
      <c r="BE201" s="9">
        <v>510.11999999999989</v>
      </c>
      <c r="BF201" s="9">
        <v>1.9E-3</v>
      </c>
      <c r="BG201" s="9">
        <f t="shared" si="98"/>
        <v>0.96922799999999976</v>
      </c>
      <c r="BH201" s="9">
        <v>9.5999999999999992E-3</v>
      </c>
      <c r="BI201" s="9">
        <f t="shared" si="99"/>
        <v>4.8971519999999984</v>
      </c>
      <c r="BJ201" s="9">
        <v>1253.8593000000001</v>
      </c>
      <c r="BK201" s="9">
        <v>2.0999999999999999E-3</v>
      </c>
      <c r="BL201" s="9">
        <f t="shared" si="100"/>
        <v>2.6331045299999998</v>
      </c>
      <c r="BM201" s="9">
        <v>1.04E-2</v>
      </c>
      <c r="BN201" s="9">
        <f t="shared" si="101"/>
        <v>13.04013672</v>
      </c>
      <c r="BO201" s="9">
        <v>0</v>
      </c>
      <c r="BP201" s="9">
        <v>0</v>
      </c>
      <c r="BQ201" s="9">
        <f t="shared" si="102"/>
        <v>0</v>
      </c>
      <c r="BR201" s="9">
        <v>0</v>
      </c>
      <c r="BS201" s="9">
        <f t="shared" si="103"/>
        <v>0</v>
      </c>
      <c r="BT201" s="9">
        <f t="shared" si="104"/>
        <v>3.8041650000000002</v>
      </c>
      <c r="BU201" s="9">
        <f t="shared" si="105"/>
        <v>18.93684</v>
      </c>
      <c r="BV201" s="9">
        <f t="shared" si="106"/>
        <v>335.38216499999999</v>
      </c>
      <c r="BW201">
        <f t="shared" si="107"/>
        <v>335.38216499999999</v>
      </c>
      <c r="BX201">
        <v>0</v>
      </c>
      <c r="BY201">
        <f t="shared" si="108"/>
        <v>1658.97264</v>
      </c>
      <c r="BZ201">
        <v>1695.8954350800002</v>
      </c>
      <c r="CA201">
        <f t="shared" si="109"/>
        <v>3935.5423999199993</v>
      </c>
      <c r="CB201">
        <f t="shared" si="110"/>
        <v>7625.7926399999997</v>
      </c>
      <c r="CC201">
        <v>0</v>
      </c>
      <c r="CD201">
        <v>0</v>
      </c>
      <c r="CE201">
        <f t="shared" si="111"/>
        <v>0</v>
      </c>
      <c r="CF201">
        <f t="shared" si="112"/>
        <v>5966.82</v>
      </c>
      <c r="CG201">
        <f t="shared" si="113"/>
        <v>3935.5423999199993</v>
      </c>
      <c r="CH201">
        <f t="shared" si="114"/>
        <v>0</v>
      </c>
      <c r="CJ201" t="s">
        <v>278</v>
      </c>
      <c r="CL201" t="str">
        <f t="shared" si="115"/>
        <v/>
      </c>
    </row>
    <row r="202" spans="1:90" x14ac:dyDescent="0.25">
      <c r="A202" t="s">
        <v>122</v>
      </c>
      <c r="B202" t="s">
        <v>177</v>
      </c>
      <c r="C202" s="1">
        <v>46082</v>
      </c>
      <c r="D202" t="s">
        <v>174</v>
      </c>
      <c r="E202" t="s">
        <v>175</v>
      </c>
      <c r="F202" s="4">
        <v>1</v>
      </c>
      <c r="G202" s="4">
        <v>0.5</v>
      </c>
      <c r="H202" s="9">
        <v>5966.82</v>
      </c>
      <c r="I202" s="9">
        <v>994.46999999999991</v>
      </c>
      <c r="J202" s="9">
        <f t="shared" si="87"/>
        <v>6961.29</v>
      </c>
      <c r="K202" s="9">
        <v>0</v>
      </c>
      <c r="L202" s="9">
        <f t="shared" si="88"/>
        <v>0</v>
      </c>
      <c r="M202">
        <v>0</v>
      </c>
      <c r="N202" s="4">
        <f t="shared" si="89"/>
        <v>0</v>
      </c>
      <c r="O202" s="9">
        <v>3977.88</v>
      </c>
      <c r="P202" s="9">
        <v>1988.94</v>
      </c>
      <c r="Q202" s="9">
        <v>0</v>
      </c>
      <c r="R202" s="9">
        <v>0</v>
      </c>
      <c r="S202" s="9">
        <v>0</v>
      </c>
      <c r="T202" s="9">
        <v>0</v>
      </c>
      <c r="U202" s="9">
        <v>0</v>
      </c>
      <c r="V202" s="9">
        <v>0</v>
      </c>
      <c r="W202" s="9">
        <f t="shared" si="90"/>
        <v>5966.82</v>
      </c>
      <c r="X202" s="9">
        <v>994.46999999999991</v>
      </c>
      <c r="Y202" s="9">
        <v>0</v>
      </c>
      <c r="Z202" s="9">
        <v>6961.29</v>
      </c>
      <c r="AA202" s="9">
        <v>0</v>
      </c>
      <c r="AB202" s="9">
        <f t="shared" si="91"/>
        <v>6961.29</v>
      </c>
      <c r="AC202" s="9">
        <v>5101.2</v>
      </c>
      <c r="AD202" s="9">
        <v>0</v>
      </c>
      <c r="AE202" s="9">
        <v>5966.82</v>
      </c>
      <c r="AF202" s="9">
        <v>239.75639999999999</v>
      </c>
      <c r="AG202" s="9">
        <v>1203.8832</v>
      </c>
      <c r="AH202" s="9">
        <v>79.068600000000004</v>
      </c>
      <c r="AI202" s="9">
        <v>280.56599999999997</v>
      </c>
      <c r="AJ202" s="9">
        <v>10.202399999999999</v>
      </c>
      <c r="AK202" s="9">
        <v>5.1011999999999995</v>
      </c>
      <c r="AL202" s="9">
        <v>30.607199999999999</v>
      </c>
      <c r="AM202" s="9">
        <v>7.6517999999999997</v>
      </c>
      <c r="AN202" s="9">
        <v>38.259</v>
      </c>
      <c r="AO202" s="9">
        <v>76.518000000000001</v>
      </c>
      <c r="AP202" s="9">
        <v>510.11999999999989</v>
      </c>
      <c r="AQ202" s="25">
        <v>1.9E-3</v>
      </c>
      <c r="AR202" s="9">
        <f t="shared" si="92"/>
        <v>0.96922799999999976</v>
      </c>
      <c r="AS202" s="25">
        <v>9.5999999999999992E-3</v>
      </c>
      <c r="AT202" s="9">
        <f t="shared" si="93"/>
        <v>4.8971519999999984</v>
      </c>
      <c r="AU202" s="9">
        <v>1349.9700000000003</v>
      </c>
      <c r="AV202" s="25">
        <v>2.0999999999999999E-3</v>
      </c>
      <c r="AW202" s="9">
        <f t="shared" si="94"/>
        <v>2.8349370000000005</v>
      </c>
      <c r="AX202" s="25">
        <v>1.04E-2</v>
      </c>
      <c r="AY202" s="9">
        <f t="shared" si="95"/>
        <v>14.039688000000002</v>
      </c>
      <c r="AZ202" s="9">
        <v>0</v>
      </c>
      <c r="BA202" s="25">
        <v>0</v>
      </c>
      <c r="BB202" s="9">
        <f t="shared" si="96"/>
        <v>0</v>
      </c>
      <c r="BC202" s="25">
        <v>0</v>
      </c>
      <c r="BD202" s="9">
        <f t="shared" si="97"/>
        <v>0</v>
      </c>
      <c r="BE202" s="9">
        <v>510.11999999999989</v>
      </c>
      <c r="BF202" s="9">
        <v>1.9E-3</v>
      </c>
      <c r="BG202" s="9">
        <f t="shared" si="98"/>
        <v>0.96922799999999976</v>
      </c>
      <c r="BH202" s="9">
        <v>9.5999999999999992E-3</v>
      </c>
      <c r="BI202" s="9">
        <f t="shared" si="99"/>
        <v>4.8971519999999984</v>
      </c>
      <c r="BJ202" s="9">
        <v>1253.8593000000001</v>
      </c>
      <c r="BK202" s="9">
        <v>2.0999999999999999E-3</v>
      </c>
      <c r="BL202" s="9">
        <f t="shared" si="100"/>
        <v>2.6331045299999998</v>
      </c>
      <c r="BM202" s="9">
        <v>1.04E-2</v>
      </c>
      <c r="BN202" s="9">
        <f t="shared" si="101"/>
        <v>13.04013672</v>
      </c>
      <c r="BO202" s="9">
        <v>0</v>
      </c>
      <c r="BP202" s="9">
        <v>0</v>
      </c>
      <c r="BQ202" s="9">
        <f t="shared" si="102"/>
        <v>0</v>
      </c>
      <c r="BR202" s="9">
        <v>0</v>
      </c>
      <c r="BS202" s="9">
        <f t="shared" si="103"/>
        <v>0</v>
      </c>
      <c r="BT202" s="9">
        <f t="shared" si="104"/>
        <v>3.8041650000000002</v>
      </c>
      <c r="BU202" s="9">
        <f t="shared" si="105"/>
        <v>18.93684</v>
      </c>
      <c r="BV202" s="9">
        <f t="shared" si="106"/>
        <v>335.38216499999999</v>
      </c>
      <c r="BW202">
        <f t="shared" si="107"/>
        <v>335.38216499999999</v>
      </c>
      <c r="BX202">
        <v>0</v>
      </c>
      <c r="BY202">
        <f t="shared" si="108"/>
        <v>1658.97264</v>
      </c>
      <c r="BZ202">
        <v>1695.8954350800002</v>
      </c>
      <c r="CA202">
        <f t="shared" si="109"/>
        <v>3935.5423999199993</v>
      </c>
      <c r="CB202">
        <f t="shared" si="110"/>
        <v>7625.7926399999997</v>
      </c>
      <c r="CC202">
        <v>0</v>
      </c>
      <c r="CD202">
        <v>0</v>
      </c>
      <c r="CE202">
        <f t="shared" si="111"/>
        <v>0</v>
      </c>
      <c r="CF202">
        <f t="shared" si="112"/>
        <v>5966.82</v>
      </c>
      <c r="CG202">
        <f t="shared" si="113"/>
        <v>3935.5423999199993</v>
      </c>
      <c r="CH202">
        <f t="shared" si="114"/>
        <v>0</v>
      </c>
      <c r="CJ202" t="s">
        <v>278</v>
      </c>
      <c r="CL202" t="str">
        <f t="shared" si="115"/>
        <v/>
      </c>
    </row>
    <row r="203" spans="1:90" x14ac:dyDescent="0.25">
      <c r="A203" t="s">
        <v>122</v>
      </c>
      <c r="B203" t="s">
        <v>178</v>
      </c>
      <c r="C203" s="1">
        <v>46113</v>
      </c>
      <c r="D203" t="s">
        <v>174</v>
      </c>
      <c r="E203" t="s">
        <v>175</v>
      </c>
      <c r="F203" s="4">
        <v>1</v>
      </c>
      <c r="G203" s="4">
        <v>0.5</v>
      </c>
      <c r="H203" s="9">
        <v>5966.82</v>
      </c>
      <c r="I203" s="9">
        <v>994.46999999999991</v>
      </c>
      <c r="J203" s="9">
        <f t="shared" si="87"/>
        <v>6961.29</v>
      </c>
      <c r="K203" s="9">
        <v>0</v>
      </c>
      <c r="L203" s="9">
        <f t="shared" si="88"/>
        <v>0</v>
      </c>
      <c r="M203">
        <v>0</v>
      </c>
      <c r="N203" s="4">
        <f t="shared" si="89"/>
        <v>0</v>
      </c>
      <c r="O203" s="9">
        <v>3977.88</v>
      </c>
      <c r="P203" s="9">
        <v>1988.94</v>
      </c>
      <c r="Q203" s="9">
        <v>0</v>
      </c>
      <c r="R203" s="9">
        <v>0</v>
      </c>
      <c r="S203" s="9">
        <v>0</v>
      </c>
      <c r="T203" s="9">
        <v>0</v>
      </c>
      <c r="U203" s="9">
        <v>0</v>
      </c>
      <c r="V203" s="9">
        <v>0</v>
      </c>
      <c r="W203" s="9">
        <f t="shared" si="90"/>
        <v>5966.82</v>
      </c>
      <c r="X203" s="9">
        <v>994.46999999999991</v>
      </c>
      <c r="Y203" s="9">
        <v>0</v>
      </c>
      <c r="Z203" s="9">
        <v>6961.29</v>
      </c>
      <c r="AA203" s="9">
        <v>0</v>
      </c>
      <c r="AB203" s="9">
        <f t="shared" si="91"/>
        <v>6961.29</v>
      </c>
      <c r="AC203" s="9">
        <v>5101.2</v>
      </c>
      <c r="AD203" s="9">
        <v>0</v>
      </c>
      <c r="AE203" s="9">
        <v>5966.82</v>
      </c>
      <c r="AF203" s="9">
        <v>239.75639999999999</v>
      </c>
      <c r="AG203" s="9">
        <v>1203.8832</v>
      </c>
      <c r="AH203" s="9">
        <v>79.068600000000004</v>
      </c>
      <c r="AI203" s="9">
        <v>280.56599999999997</v>
      </c>
      <c r="AJ203" s="9">
        <v>10.202399999999999</v>
      </c>
      <c r="AK203" s="9">
        <v>5.1011999999999995</v>
      </c>
      <c r="AL203" s="9">
        <v>30.607199999999999</v>
      </c>
      <c r="AM203" s="9">
        <v>7.6517999999999997</v>
      </c>
      <c r="AN203" s="9">
        <v>38.259</v>
      </c>
      <c r="AO203" s="9">
        <v>76.518000000000001</v>
      </c>
      <c r="AP203" s="9">
        <v>510.11999999999989</v>
      </c>
      <c r="AQ203" s="25">
        <v>1.9E-3</v>
      </c>
      <c r="AR203" s="9">
        <f t="shared" si="92"/>
        <v>0.96922799999999976</v>
      </c>
      <c r="AS203" s="25">
        <v>9.5999999999999992E-3</v>
      </c>
      <c r="AT203" s="9">
        <f t="shared" si="93"/>
        <v>4.8971519999999984</v>
      </c>
      <c r="AU203" s="9">
        <v>1349.9700000000003</v>
      </c>
      <c r="AV203" s="25">
        <v>2.0999999999999999E-3</v>
      </c>
      <c r="AW203" s="9">
        <f t="shared" si="94"/>
        <v>2.8349370000000005</v>
      </c>
      <c r="AX203" s="25">
        <v>1.04E-2</v>
      </c>
      <c r="AY203" s="9">
        <f t="shared" si="95"/>
        <v>14.039688000000002</v>
      </c>
      <c r="AZ203" s="9">
        <v>0</v>
      </c>
      <c r="BA203" s="25">
        <v>0</v>
      </c>
      <c r="BB203" s="9">
        <f t="shared" si="96"/>
        <v>0</v>
      </c>
      <c r="BC203" s="25">
        <v>0</v>
      </c>
      <c r="BD203" s="9">
        <f t="shared" si="97"/>
        <v>0</v>
      </c>
      <c r="BE203" s="9">
        <v>510.11999999999989</v>
      </c>
      <c r="BF203" s="9">
        <v>1.9E-3</v>
      </c>
      <c r="BG203" s="9">
        <f t="shared" si="98"/>
        <v>0.96922799999999976</v>
      </c>
      <c r="BH203" s="9">
        <v>9.5999999999999992E-3</v>
      </c>
      <c r="BI203" s="9">
        <f t="shared" si="99"/>
        <v>4.8971519999999984</v>
      </c>
      <c r="BJ203" s="9">
        <v>1253.8593000000001</v>
      </c>
      <c r="BK203" s="9">
        <v>2.0999999999999999E-3</v>
      </c>
      <c r="BL203" s="9">
        <f t="shared" si="100"/>
        <v>2.6331045299999998</v>
      </c>
      <c r="BM203" s="9">
        <v>1.04E-2</v>
      </c>
      <c r="BN203" s="9">
        <f t="shared" si="101"/>
        <v>13.04013672</v>
      </c>
      <c r="BO203" s="9">
        <v>0</v>
      </c>
      <c r="BP203" s="9">
        <v>0</v>
      </c>
      <c r="BQ203" s="9">
        <f t="shared" si="102"/>
        <v>0</v>
      </c>
      <c r="BR203" s="9">
        <v>0</v>
      </c>
      <c r="BS203" s="9">
        <f t="shared" si="103"/>
        <v>0</v>
      </c>
      <c r="BT203" s="9">
        <f t="shared" si="104"/>
        <v>3.8041650000000002</v>
      </c>
      <c r="BU203" s="9">
        <f t="shared" si="105"/>
        <v>18.93684</v>
      </c>
      <c r="BV203" s="9">
        <f t="shared" si="106"/>
        <v>335.38216499999999</v>
      </c>
      <c r="BW203">
        <f t="shared" si="107"/>
        <v>335.38216499999999</v>
      </c>
      <c r="BX203">
        <v>0</v>
      </c>
      <c r="BY203">
        <f t="shared" si="108"/>
        <v>1658.97264</v>
      </c>
      <c r="BZ203">
        <v>1695.8954350800002</v>
      </c>
      <c r="CA203">
        <f t="shared" si="109"/>
        <v>3935.5423999199993</v>
      </c>
      <c r="CB203">
        <f t="shared" si="110"/>
        <v>7625.7926399999997</v>
      </c>
      <c r="CC203">
        <v>0</v>
      </c>
      <c r="CD203">
        <v>0</v>
      </c>
      <c r="CE203">
        <f t="shared" si="111"/>
        <v>0</v>
      </c>
      <c r="CF203">
        <f t="shared" si="112"/>
        <v>5966.82</v>
      </c>
      <c r="CG203">
        <f t="shared" si="113"/>
        <v>3935.5423999199993</v>
      </c>
      <c r="CH203">
        <f t="shared" si="114"/>
        <v>0</v>
      </c>
      <c r="CJ203" t="s">
        <v>278</v>
      </c>
      <c r="CL203" t="str">
        <f t="shared" si="115"/>
        <v/>
      </c>
    </row>
    <row r="204" spans="1:90" x14ac:dyDescent="0.25">
      <c r="A204" t="s">
        <v>122</v>
      </c>
      <c r="B204" t="s">
        <v>179</v>
      </c>
      <c r="C204" s="1">
        <v>46143</v>
      </c>
      <c r="D204" t="s">
        <v>174</v>
      </c>
      <c r="E204" t="s">
        <v>175</v>
      </c>
      <c r="F204" s="4">
        <v>1</v>
      </c>
      <c r="G204" s="4">
        <v>0.5</v>
      </c>
      <c r="H204" s="9">
        <v>5966.82</v>
      </c>
      <c r="I204" s="9">
        <v>994.46999999999991</v>
      </c>
      <c r="J204" s="9">
        <f t="shared" si="87"/>
        <v>6961.29</v>
      </c>
      <c r="K204" s="9">
        <v>0</v>
      </c>
      <c r="L204" s="9">
        <f t="shared" si="88"/>
        <v>0</v>
      </c>
      <c r="M204">
        <v>0</v>
      </c>
      <c r="N204" s="4">
        <f t="shared" si="89"/>
        <v>0</v>
      </c>
      <c r="O204" s="9">
        <v>3977.88</v>
      </c>
      <c r="P204" s="9">
        <v>1988.94</v>
      </c>
      <c r="Q204" s="9">
        <v>0</v>
      </c>
      <c r="R204" s="9">
        <v>0</v>
      </c>
      <c r="S204" s="9">
        <v>0</v>
      </c>
      <c r="T204" s="9">
        <v>0</v>
      </c>
      <c r="U204" s="9">
        <v>0</v>
      </c>
      <c r="V204" s="9">
        <v>0</v>
      </c>
      <c r="W204" s="9">
        <f t="shared" si="90"/>
        <v>5966.82</v>
      </c>
      <c r="X204" s="9">
        <v>994.46999999999991</v>
      </c>
      <c r="Y204" s="9">
        <v>0</v>
      </c>
      <c r="Z204" s="9">
        <v>6961.29</v>
      </c>
      <c r="AA204" s="9">
        <v>0</v>
      </c>
      <c r="AB204" s="9">
        <f t="shared" si="91"/>
        <v>6961.29</v>
      </c>
      <c r="AC204" s="9">
        <v>5101.2</v>
      </c>
      <c r="AD204" s="9">
        <v>0</v>
      </c>
      <c r="AE204" s="9">
        <v>5966.82</v>
      </c>
      <c r="AF204" s="9">
        <v>239.75639999999999</v>
      </c>
      <c r="AG204" s="9">
        <v>1203.8832</v>
      </c>
      <c r="AH204" s="9">
        <v>79.068600000000004</v>
      </c>
      <c r="AI204" s="9">
        <v>280.56599999999997</v>
      </c>
      <c r="AJ204" s="9">
        <v>10.202399999999999</v>
      </c>
      <c r="AK204" s="9">
        <v>5.1011999999999995</v>
      </c>
      <c r="AL204" s="9">
        <v>30.607199999999999</v>
      </c>
      <c r="AM204" s="9">
        <v>7.6517999999999997</v>
      </c>
      <c r="AN204" s="9">
        <v>38.259</v>
      </c>
      <c r="AO204" s="9">
        <v>76.518000000000001</v>
      </c>
      <c r="AP204" s="9">
        <v>510.11999999999989</v>
      </c>
      <c r="AQ204" s="25">
        <v>1.9E-3</v>
      </c>
      <c r="AR204" s="9">
        <f t="shared" si="92"/>
        <v>0.96922799999999976</v>
      </c>
      <c r="AS204" s="25">
        <v>9.5999999999999992E-3</v>
      </c>
      <c r="AT204" s="9">
        <f t="shared" si="93"/>
        <v>4.8971519999999984</v>
      </c>
      <c r="AU204" s="9">
        <v>1349.9700000000003</v>
      </c>
      <c r="AV204" s="25">
        <v>2.0999999999999999E-3</v>
      </c>
      <c r="AW204" s="9">
        <f t="shared" si="94"/>
        <v>2.8349370000000005</v>
      </c>
      <c r="AX204" s="25">
        <v>1.04E-2</v>
      </c>
      <c r="AY204" s="9">
        <f t="shared" si="95"/>
        <v>14.039688000000002</v>
      </c>
      <c r="AZ204" s="9">
        <v>0</v>
      </c>
      <c r="BA204" s="25">
        <v>0</v>
      </c>
      <c r="BB204" s="9">
        <f t="shared" si="96"/>
        <v>0</v>
      </c>
      <c r="BC204" s="25">
        <v>0</v>
      </c>
      <c r="BD204" s="9">
        <f t="shared" si="97"/>
        <v>0</v>
      </c>
      <c r="BE204" s="9">
        <v>510.11999999999989</v>
      </c>
      <c r="BF204" s="9">
        <v>1.9E-3</v>
      </c>
      <c r="BG204" s="9">
        <f t="shared" si="98"/>
        <v>0.96922799999999976</v>
      </c>
      <c r="BH204" s="9">
        <v>9.5999999999999992E-3</v>
      </c>
      <c r="BI204" s="9">
        <f t="shared" si="99"/>
        <v>4.8971519999999984</v>
      </c>
      <c r="BJ204" s="9">
        <v>1253.8593000000001</v>
      </c>
      <c r="BK204" s="9">
        <v>2.0999999999999999E-3</v>
      </c>
      <c r="BL204" s="9">
        <f t="shared" si="100"/>
        <v>2.6331045299999998</v>
      </c>
      <c r="BM204" s="9">
        <v>1.04E-2</v>
      </c>
      <c r="BN204" s="9">
        <f t="shared" si="101"/>
        <v>13.04013672</v>
      </c>
      <c r="BO204" s="9">
        <v>0</v>
      </c>
      <c r="BP204" s="9">
        <v>0</v>
      </c>
      <c r="BQ204" s="9">
        <f t="shared" si="102"/>
        <v>0</v>
      </c>
      <c r="BR204" s="9">
        <v>0</v>
      </c>
      <c r="BS204" s="9">
        <f t="shared" si="103"/>
        <v>0</v>
      </c>
      <c r="BT204" s="9">
        <f t="shared" si="104"/>
        <v>3.8041650000000002</v>
      </c>
      <c r="BU204" s="9">
        <f t="shared" si="105"/>
        <v>18.93684</v>
      </c>
      <c r="BV204" s="9">
        <f t="shared" si="106"/>
        <v>335.38216499999999</v>
      </c>
      <c r="BW204">
        <f t="shared" si="107"/>
        <v>335.38216499999999</v>
      </c>
      <c r="BX204">
        <v>0</v>
      </c>
      <c r="BY204">
        <f t="shared" si="108"/>
        <v>1658.97264</v>
      </c>
      <c r="BZ204">
        <v>1695.8954350800002</v>
      </c>
      <c r="CA204">
        <f t="shared" si="109"/>
        <v>3935.5423999199993</v>
      </c>
      <c r="CB204">
        <f t="shared" si="110"/>
        <v>7625.7926399999997</v>
      </c>
      <c r="CC204">
        <v>0</v>
      </c>
      <c r="CD204">
        <v>0</v>
      </c>
      <c r="CE204">
        <f t="shared" si="111"/>
        <v>0</v>
      </c>
      <c r="CF204">
        <f t="shared" si="112"/>
        <v>5966.82</v>
      </c>
      <c r="CG204">
        <f t="shared" si="113"/>
        <v>3935.5423999199993</v>
      </c>
      <c r="CH204">
        <f t="shared" si="114"/>
        <v>0</v>
      </c>
      <c r="CJ204" t="s">
        <v>278</v>
      </c>
      <c r="CL204" t="str">
        <f t="shared" si="115"/>
        <v/>
      </c>
    </row>
    <row r="205" spans="1:90" x14ac:dyDescent="0.25">
      <c r="A205" t="s">
        <v>122</v>
      </c>
      <c r="B205" t="s">
        <v>180</v>
      </c>
      <c r="C205" s="1">
        <v>46174</v>
      </c>
      <c r="D205" t="s">
        <v>174</v>
      </c>
      <c r="E205" t="s">
        <v>175</v>
      </c>
      <c r="F205" s="4">
        <v>1</v>
      </c>
      <c r="G205" s="4">
        <v>0.5</v>
      </c>
      <c r="H205" s="9">
        <v>5966.82</v>
      </c>
      <c r="I205" s="9">
        <v>994.46999999999991</v>
      </c>
      <c r="J205" s="9">
        <f t="shared" si="87"/>
        <v>6961.29</v>
      </c>
      <c r="K205" s="9">
        <v>0</v>
      </c>
      <c r="L205" s="9">
        <f t="shared" si="88"/>
        <v>0</v>
      </c>
      <c r="M205">
        <v>0</v>
      </c>
      <c r="N205" s="4">
        <f t="shared" si="89"/>
        <v>0</v>
      </c>
      <c r="O205" s="9">
        <v>3977.88</v>
      </c>
      <c r="P205" s="9">
        <v>1988.94</v>
      </c>
      <c r="Q205" s="9">
        <v>0</v>
      </c>
      <c r="R205" s="9">
        <v>0</v>
      </c>
      <c r="S205" s="9">
        <v>0</v>
      </c>
      <c r="T205" s="9">
        <v>0</v>
      </c>
      <c r="U205" s="9">
        <v>0</v>
      </c>
      <c r="V205" s="9">
        <v>0</v>
      </c>
      <c r="W205" s="9">
        <f t="shared" si="90"/>
        <v>5966.82</v>
      </c>
      <c r="X205" s="9">
        <v>994.46999999999991</v>
      </c>
      <c r="Y205" s="9">
        <v>0</v>
      </c>
      <c r="Z205" s="9">
        <v>6961.29</v>
      </c>
      <c r="AA205" s="9">
        <v>0</v>
      </c>
      <c r="AB205" s="9">
        <f t="shared" si="91"/>
        <v>6961.29</v>
      </c>
      <c r="AC205" s="9">
        <v>5101.2</v>
      </c>
      <c r="AD205" s="9">
        <v>0</v>
      </c>
      <c r="AE205" s="9">
        <v>5966.82</v>
      </c>
      <c r="AF205" s="9">
        <v>239.75639999999999</v>
      </c>
      <c r="AG205" s="9">
        <v>1203.8832</v>
      </c>
      <c r="AH205" s="9">
        <v>79.068600000000004</v>
      </c>
      <c r="AI205" s="9">
        <v>280.56599999999997</v>
      </c>
      <c r="AJ205" s="9">
        <v>10.202399999999999</v>
      </c>
      <c r="AK205" s="9">
        <v>5.1011999999999995</v>
      </c>
      <c r="AL205" s="9">
        <v>30.607199999999999</v>
      </c>
      <c r="AM205" s="9">
        <v>7.6517999999999997</v>
      </c>
      <c r="AN205" s="9">
        <v>38.259</v>
      </c>
      <c r="AO205" s="9">
        <v>76.518000000000001</v>
      </c>
      <c r="AP205" s="9">
        <v>510.11999999999989</v>
      </c>
      <c r="AQ205" s="25">
        <v>1.9E-3</v>
      </c>
      <c r="AR205" s="9">
        <f t="shared" si="92"/>
        <v>0.96922799999999976</v>
      </c>
      <c r="AS205" s="25">
        <v>9.5999999999999992E-3</v>
      </c>
      <c r="AT205" s="9">
        <f t="shared" si="93"/>
        <v>4.8971519999999984</v>
      </c>
      <c r="AU205" s="9">
        <v>1349.9700000000003</v>
      </c>
      <c r="AV205" s="25">
        <v>2.0999999999999999E-3</v>
      </c>
      <c r="AW205" s="9">
        <f t="shared" si="94"/>
        <v>2.8349370000000005</v>
      </c>
      <c r="AX205" s="25">
        <v>1.04E-2</v>
      </c>
      <c r="AY205" s="9">
        <f t="shared" si="95"/>
        <v>14.039688000000002</v>
      </c>
      <c r="AZ205" s="9">
        <v>0</v>
      </c>
      <c r="BA205" s="25">
        <v>0</v>
      </c>
      <c r="BB205" s="9">
        <f t="shared" si="96"/>
        <v>0</v>
      </c>
      <c r="BC205" s="25">
        <v>0</v>
      </c>
      <c r="BD205" s="9">
        <f t="shared" si="97"/>
        <v>0</v>
      </c>
      <c r="BE205" s="9">
        <v>510.11999999999989</v>
      </c>
      <c r="BF205" s="9">
        <v>1.9E-3</v>
      </c>
      <c r="BG205" s="9">
        <f t="shared" si="98"/>
        <v>0.96922799999999976</v>
      </c>
      <c r="BH205" s="9">
        <v>9.5999999999999992E-3</v>
      </c>
      <c r="BI205" s="9">
        <f t="shared" si="99"/>
        <v>4.8971519999999984</v>
      </c>
      <c r="BJ205" s="9">
        <v>1253.8593000000001</v>
      </c>
      <c r="BK205" s="9">
        <v>2.0999999999999999E-3</v>
      </c>
      <c r="BL205" s="9">
        <f t="shared" si="100"/>
        <v>2.6331045299999998</v>
      </c>
      <c r="BM205" s="9">
        <v>1.04E-2</v>
      </c>
      <c r="BN205" s="9">
        <f t="shared" si="101"/>
        <v>13.04013672</v>
      </c>
      <c r="BO205" s="9">
        <v>0</v>
      </c>
      <c r="BP205" s="9">
        <v>0</v>
      </c>
      <c r="BQ205" s="9">
        <f t="shared" si="102"/>
        <v>0</v>
      </c>
      <c r="BR205" s="9">
        <v>0</v>
      </c>
      <c r="BS205" s="9">
        <f t="shared" si="103"/>
        <v>0</v>
      </c>
      <c r="BT205" s="9">
        <f t="shared" si="104"/>
        <v>3.8041650000000002</v>
      </c>
      <c r="BU205" s="9">
        <f t="shared" si="105"/>
        <v>18.93684</v>
      </c>
      <c r="BV205" s="9">
        <f t="shared" si="106"/>
        <v>335.38216499999999</v>
      </c>
      <c r="BW205">
        <f t="shared" si="107"/>
        <v>335.38216499999999</v>
      </c>
      <c r="BX205">
        <v>0</v>
      </c>
      <c r="BY205">
        <f t="shared" si="108"/>
        <v>1658.97264</v>
      </c>
      <c r="BZ205">
        <v>1695.8954350800002</v>
      </c>
      <c r="CA205">
        <f t="shared" si="109"/>
        <v>3935.5423999199993</v>
      </c>
      <c r="CB205">
        <f t="shared" si="110"/>
        <v>7625.7926399999997</v>
      </c>
      <c r="CC205">
        <v>0</v>
      </c>
      <c r="CD205">
        <v>0</v>
      </c>
      <c r="CE205">
        <f t="shared" si="111"/>
        <v>0</v>
      </c>
      <c r="CF205">
        <f t="shared" si="112"/>
        <v>5966.82</v>
      </c>
      <c r="CG205">
        <f t="shared" si="113"/>
        <v>3935.5423999199993</v>
      </c>
      <c r="CH205">
        <f t="shared" si="114"/>
        <v>0</v>
      </c>
      <c r="CJ205" t="s">
        <v>278</v>
      </c>
      <c r="CL205" t="str">
        <f t="shared" si="115"/>
        <v/>
      </c>
    </row>
    <row r="206" spans="1:90" x14ac:dyDescent="0.25">
      <c r="A206" t="s">
        <v>122</v>
      </c>
      <c r="B206" t="s">
        <v>181</v>
      </c>
      <c r="C206" s="1">
        <v>46204</v>
      </c>
      <c r="D206" t="s">
        <v>182</v>
      </c>
      <c r="E206" t="s">
        <v>175</v>
      </c>
      <c r="F206" s="4">
        <v>1</v>
      </c>
      <c r="G206" s="4">
        <v>0.5</v>
      </c>
      <c r="H206" s="9">
        <v>5966.82</v>
      </c>
      <c r="I206" s="9">
        <v>994.46999999999991</v>
      </c>
      <c r="J206" s="9">
        <f t="shared" si="87"/>
        <v>6961.29</v>
      </c>
      <c r="K206" s="9">
        <v>0</v>
      </c>
      <c r="L206" s="9">
        <f t="shared" si="88"/>
        <v>0</v>
      </c>
      <c r="M206">
        <v>0</v>
      </c>
      <c r="N206" s="4">
        <f t="shared" si="89"/>
        <v>0</v>
      </c>
      <c r="O206" s="9">
        <v>3977.88</v>
      </c>
      <c r="P206" s="9">
        <v>1988.94</v>
      </c>
      <c r="Q206" s="9">
        <v>0</v>
      </c>
      <c r="R206" s="9">
        <v>0</v>
      </c>
      <c r="S206" s="9">
        <v>0</v>
      </c>
      <c r="T206" s="9">
        <v>0</v>
      </c>
      <c r="U206" s="9">
        <v>0</v>
      </c>
      <c r="V206" s="9">
        <v>0</v>
      </c>
      <c r="W206" s="9">
        <f t="shared" si="90"/>
        <v>5966.82</v>
      </c>
      <c r="X206" s="9">
        <v>0</v>
      </c>
      <c r="Y206" s="9">
        <v>0</v>
      </c>
      <c r="Z206" s="9">
        <v>0</v>
      </c>
      <c r="AA206" s="9">
        <v>0</v>
      </c>
      <c r="AB206" s="9">
        <f t="shared" si="91"/>
        <v>0</v>
      </c>
      <c r="AC206" s="9">
        <v>0</v>
      </c>
      <c r="AD206" s="9">
        <v>0</v>
      </c>
      <c r="AE206" s="9">
        <v>5966.82</v>
      </c>
      <c r="AF206" s="9">
        <v>0</v>
      </c>
      <c r="AG206" s="9">
        <v>0</v>
      </c>
      <c r="AH206" s="9">
        <v>0</v>
      </c>
      <c r="AI206" s="9">
        <v>0</v>
      </c>
      <c r="AJ206" s="9">
        <v>0</v>
      </c>
      <c r="AK206" s="9">
        <v>0</v>
      </c>
      <c r="AL206" s="9">
        <v>0</v>
      </c>
      <c r="AM206" s="9">
        <v>0</v>
      </c>
      <c r="AN206" s="9">
        <v>0</v>
      </c>
      <c r="AO206" s="9">
        <v>0</v>
      </c>
      <c r="AP206" s="9">
        <v>0</v>
      </c>
      <c r="AQ206" s="25">
        <v>0</v>
      </c>
      <c r="AR206" s="9">
        <f t="shared" si="92"/>
        <v>0</v>
      </c>
      <c r="AS206" s="25">
        <v>0</v>
      </c>
      <c r="AT206" s="9">
        <f t="shared" si="93"/>
        <v>0</v>
      </c>
      <c r="AU206" s="9">
        <v>0</v>
      </c>
      <c r="AV206" s="25">
        <v>0</v>
      </c>
      <c r="AW206" s="9">
        <f t="shared" si="94"/>
        <v>0</v>
      </c>
      <c r="AX206" s="25">
        <v>0</v>
      </c>
      <c r="AY206" s="9">
        <f t="shared" si="95"/>
        <v>0</v>
      </c>
      <c r="AZ206" s="9">
        <v>0</v>
      </c>
      <c r="BA206" s="25">
        <v>0</v>
      </c>
      <c r="BB206" s="9">
        <f t="shared" si="96"/>
        <v>0</v>
      </c>
      <c r="BC206" s="25">
        <v>0</v>
      </c>
      <c r="BD206" s="9">
        <f t="shared" si="97"/>
        <v>0</v>
      </c>
      <c r="BE206" s="9">
        <v>0</v>
      </c>
      <c r="BF206" s="9">
        <v>0</v>
      </c>
      <c r="BG206" s="9">
        <f t="shared" si="98"/>
        <v>0</v>
      </c>
      <c r="BH206" s="9">
        <v>0</v>
      </c>
      <c r="BI206" s="9">
        <f t="shared" si="99"/>
        <v>0</v>
      </c>
      <c r="BJ206" s="9">
        <v>0</v>
      </c>
      <c r="BK206" s="9">
        <v>0</v>
      </c>
      <c r="BL206" s="9">
        <f t="shared" si="100"/>
        <v>0</v>
      </c>
      <c r="BM206" s="9">
        <v>0</v>
      </c>
      <c r="BN206" s="9">
        <f t="shared" si="101"/>
        <v>0</v>
      </c>
      <c r="BO206" s="9">
        <v>0</v>
      </c>
      <c r="BP206" s="9">
        <v>0</v>
      </c>
      <c r="BQ206" s="9">
        <f t="shared" si="102"/>
        <v>0</v>
      </c>
      <c r="BR206" s="9">
        <v>0</v>
      </c>
      <c r="BS206" s="9">
        <f t="shared" si="103"/>
        <v>0</v>
      </c>
      <c r="BT206" s="9">
        <f t="shared" si="104"/>
        <v>0</v>
      </c>
      <c r="BU206" s="9">
        <f t="shared" si="105"/>
        <v>0</v>
      </c>
      <c r="BV206" s="9">
        <f t="shared" si="106"/>
        <v>0</v>
      </c>
      <c r="BW206">
        <f t="shared" si="107"/>
        <v>0</v>
      </c>
      <c r="BX206">
        <v>0</v>
      </c>
      <c r="BY206">
        <f t="shared" si="108"/>
        <v>0</v>
      </c>
      <c r="BZ206">
        <v>1695.8954350800002</v>
      </c>
      <c r="CA206">
        <f t="shared" si="109"/>
        <v>4270.9245649199993</v>
      </c>
      <c r="CB206">
        <f t="shared" si="110"/>
        <v>5966.82</v>
      </c>
      <c r="CC206">
        <v>0</v>
      </c>
      <c r="CD206">
        <v>0</v>
      </c>
      <c r="CE206">
        <f t="shared" si="111"/>
        <v>0</v>
      </c>
      <c r="CF206">
        <f t="shared" si="112"/>
        <v>5966.82</v>
      </c>
      <c r="CG206">
        <f t="shared" si="113"/>
        <v>4270.9245649199993</v>
      </c>
      <c r="CH206">
        <f t="shared" si="114"/>
        <v>0</v>
      </c>
      <c r="CJ206" t="s">
        <v>278</v>
      </c>
      <c r="CL206" t="str">
        <f t="shared" si="115"/>
        <v/>
      </c>
    </row>
    <row r="207" spans="1:90" x14ac:dyDescent="0.25">
      <c r="A207" t="s">
        <v>122</v>
      </c>
      <c r="B207" t="s">
        <v>183</v>
      </c>
      <c r="C207" s="1">
        <v>46204</v>
      </c>
      <c r="D207" t="s">
        <v>174</v>
      </c>
      <c r="E207" t="s">
        <v>175</v>
      </c>
      <c r="F207" s="4">
        <v>1</v>
      </c>
      <c r="G207" s="4">
        <v>0.5</v>
      </c>
      <c r="H207" s="9">
        <v>5966.82</v>
      </c>
      <c r="I207" s="9">
        <v>994.46999999999991</v>
      </c>
      <c r="J207" s="9">
        <f t="shared" si="87"/>
        <v>6961.29</v>
      </c>
      <c r="K207" s="9">
        <v>0</v>
      </c>
      <c r="L207" s="9">
        <f t="shared" si="88"/>
        <v>0</v>
      </c>
      <c r="M207">
        <v>0</v>
      </c>
      <c r="N207" s="4">
        <f t="shared" si="89"/>
        <v>0</v>
      </c>
      <c r="O207" s="9">
        <v>3977.88</v>
      </c>
      <c r="P207" s="9">
        <v>1988.94</v>
      </c>
      <c r="Q207" s="9">
        <v>0</v>
      </c>
      <c r="R207" s="9">
        <v>0</v>
      </c>
      <c r="S207" s="9">
        <v>0</v>
      </c>
      <c r="T207" s="9">
        <v>0</v>
      </c>
      <c r="U207" s="9">
        <v>0</v>
      </c>
      <c r="V207" s="9">
        <v>0</v>
      </c>
      <c r="W207" s="9">
        <f t="shared" si="90"/>
        <v>5966.82</v>
      </c>
      <c r="X207" s="9">
        <v>994.46999999999991</v>
      </c>
      <c r="Y207" s="9">
        <v>0</v>
      </c>
      <c r="Z207" s="9">
        <v>6961.29</v>
      </c>
      <c r="AA207" s="9">
        <v>0</v>
      </c>
      <c r="AB207" s="9">
        <f t="shared" si="91"/>
        <v>6961.29</v>
      </c>
      <c r="AC207" s="9">
        <v>5101.2</v>
      </c>
      <c r="AD207" s="9">
        <v>0</v>
      </c>
      <c r="AE207" s="9">
        <v>5966.82</v>
      </c>
      <c r="AF207" s="9">
        <v>239.75639999999999</v>
      </c>
      <c r="AG207" s="9">
        <v>1203.8832</v>
      </c>
      <c r="AH207" s="9">
        <v>79.068600000000004</v>
      </c>
      <c r="AI207" s="9">
        <v>280.56599999999997</v>
      </c>
      <c r="AJ207" s="9">
        <v>10.202399999999999</v>
      </c>
      <c r="AK207" s="9">
        <v>5.1011999999999995</v>
      </c>
      <c r="AL207" s="9">
        <v>30.607199999999999</v>
      </c>
      <c r="AM207" s="9">
        <v>7.6517999999999997</v>
      </c>
      <c r="AN207" s="9">
        <v>38.259</v>
      </c>
      <c r="AO207" s="9">
        <v>76.518000000000001</v>
      </c>
      <c r="AP207" s="9">
        <v>510.11999999999989</v>
      </c>
      <c r="AQ207" s="25">
        <v>1.9E-3</v>
      </c>
      <c r="AR207" s="9">
        <f t="shared" si="92"/>
        <v>0.96922799999999976</v>
      </c>
      <c r="AS207" s="25">
        <v>9.5999999999999992E-3</v>
      </c>
      <c r="AT207" s="9">
        <f t="shared" si="93"/>
        <v>4.8971519999999984</v>
      </c>
      <c r="AU207" s="9">
        <v>1349.9700000000003</v>
      </c>
      <c r="AV207" s="25">
        <v>2.0999999999999999E-3</v>
      </c>
      <c r="AW207" s="9">
        <f t="shared" si="94"/>
        <v>2.8349370000000005</v>
      </c>
      <c r="AX207" s="25">
        <v>1.04E-2</v>
      </c>
      <c r="AY207" s="9">
        <f t="shared" si="95"/>
        <v>14.039688000000002</v>
      </c>
      <c r="AZ207" s="9">
        <v>0</v>
      </c>
      <c r="BA207" s="25">
        <v>0</v>
      </c>
      <c r="BB207" s="9">
        <f t="shared" si="96"/>
        <v>0</v>
      </c>
      <c r="BC207" s="25">
        <v>0</v>
      </c>
      <c r="BD207" s="9">
        <f t="shared" si="97"/>
        <v>0</v>
      </c>
      <c r="BE207" s="9">
        <v>510.11999999999989</v>
      </c>
      <c r="BF207" s="9">
        <v>1.9E-3</v>
      </c>
      <c r="BG207" s="9">
        <f t="shared" si="98"/>
        <v>0.96922799999999976</v>
      </c>
      <c r="BH207" s="9">
        <v>9.5999999999999992E-3</v>
      </c>
      <c r="BI207" s="9">
        <f t="shared" si="99"/>
        <v>4.8971519999999984</v>
      </c>
      <c r="BJ207" s="9">
        <v>1253.8593000000001</v>
      </c>
      <c r="BK207" s="9">
        <v>2.0999999999999999E-3</v>
      </c>
      <c r="BL207" s="9">
        <f t="shared" si="100"/>
        <v>2.6331045299999998</v>
      </c>
      <c r="BM207" s="9">
        <v>1.04E-2</v>
      </c>
      <c r="BN207" s="9">
        <f t="shared" si="101"/>
        <v>13.04013672</v>
      </c>
      <c r="BO207" s="9">
        <v>0</v>
      </c>
      <c r="BP207" s="9">
        <v>0</v>
      </c>
      <c r="BQ207" s="9">
        <f t="shared" si="102"/>
        <v>0</v>
      </c>
      <c r="BR207" s="9">
        <v>0</v>
      </c>
      <c r="BS207" s="9">
        <f t="shared" si="103"/>
        <v>0</v>
      </c>
      <c r="BT207" s="9">
        <f t="shared" si="104"/>
        <v>3.8041650000000002</v>
      </c>
      <c r="BU207" s="9">
        <f t="shared" si="105"/>
        <v>18.93684</v>
      </c>
      <c r="BV207" s="9">
        <f t="shared" si="106"/>
        <v>335.38216499999999</v>
      </c>
      <c r="BW207">
        <f t="shared" si="107"/>
        <v>335.38216499999999</v>
      </c>
      <c r="BX207">
        <v>0</v>
      </c>
      <c r="BY207">
        <f t="shared" si="108"/>
        <v>1658.97264</v>
      </c>
      <c r="BZ207">
        <v>1695.8954350800002</v>
      </c>
      <c r="CA207">
        <f t="shared" si="109"/>
        <v>3935.5423999199993</v>
      </c>
      <c r="CB207">
        <f t="shared" si="110"/>
        <v>7625.7926399999997</v>
      </c>
      <c r="CC207">
        <v>0</v>
      </c>
      <c r="CD207">
        <v>0</v>
      </c>
      <c r="CE207">
        <f t="shared" si="111"/>
        <v>0</v>
      </c>
      <c r="CF207">
        <f t="shared" si="112"/>
        <v>5966.82</v>
      </c>
      <c r="CG207">
        <f t="shared" si="113"/>
        <v>3935.5423999199993</v>
      </c>
      <c r="CH207">
        <f t="shared" si="114"/>
        <v>0</v>
      </c>
      <c r="CJ207" t="s">
        <v>278</v>
      </c>
      <c r="CL207" t="str">
        <f t="shared" si="115"/>
        <v/>
      </c>
    </row>
    <row r="208" spans="1:90" x14ac:dyDescent="0.25">
      <c r="A208" t="s">
        <v>122</v>
      </c>
      <c r="B208" t="s">
        <v>184</v>
      </c>
      <c r="C208" s="1">
        <v>46235</v>
      </c>
      <c r="D208" t="s">
        <v>174</v>
      </c>
      <c r="E208" t="s">
        <v>175</v>
      </c>
      <c r="F208" s="4">
        <v>1</v>
      </c>
      <c r="G208" s="4">
        <v>0.5</v>
      </c>
      <c r="H208" s="9">
        <v>5966.82</v>
      </c>
      <c r="I208" s="9">
        <v>994.46999999999991</v>
      </c>
      <c r="J208" s="9">
        <f t="shared" si="87"/>
        <v>6961.29</v>
      </c>
      <c r="K208" s="9">
        <v>0</v>
      </c>
      <c r="L208" s="9">
        <f t="shared" si="88"/>
        <v>0</v>
      </c>
      <c r="M208">
        <v>0</v>
      </c>
      <c r="N208" s="4">
        <f t="shared" si="89"/>
        <v>0</v>
      </c>
      <c r="O208" s="9">
        <v>3977.88</v>
      </c>
      <c r="P208" s="9">
        <v>1988.94</v>
      </c>
      <c r="Q208" s="9">
        <v>0</v>
      </c>
      <c r="R208" s="9">
        <v>0</v>
      </c>
      <c r="S208" s="9">
        <v>0</v>
      </c>
      <c r="T208" s="9">
        <v>0</v>
      </c>
      <c r="U208" s="9">
        <v>0</v>
      </c>
      <c r="V208" s="9">
        <v>0</v>
      </c>
      <c r="W208" s="9">
        <f t="shared" si="90"/>
        <v>5966.82</v>
      </c>
      <c r="X208" s="9">
        <v>994.46999999999991</v>
      </c>
      <c r="Y208" s="9">
        <v>0</v>
      </c>
      <c r="Z208" s="9">
        <v>6961.29</v>
      </c>
      <c r="AA208" s="9">
        <v>0</v>
      </c>
      <c r="AB208" s="9">
        <f t="shared" si="91"/>
        <v>6961.29</v>
      </c>
      <c r="AC208" s="9">
        <v>5101.2</v>
      </c>
      <c r="AD208" s="9">
        <v>0</v>
      </c>
      <c r="AE208" s="9">
        <v>5966.82</v>
      </c>
      <c r="AF208" s="9">
        <v>239.75639999999999</v>
      </c>
      <c r="AG208" s="9">
        <v>1203.8832</v>
      </c>
      <c r="AH208" s="9">
        <v>79.068600000000004</v>
      </c>
      <c r="AI208" s="9">
        <v>280.56599999999997</v>
      </c>
      <c r="AJ208" s="9">
        <v>10.202399999999999</v>
      </c>
      <c r="AK208" s="9">
        <v>5.1011999999999995</v>
      </c>
      <c r="AL208" s="9">
        <v>30.607199999999999</v>
      </c>
      <c r="AM208" s="9">
        <v>7.6517999999999997</v>
      </c>
      <c r="AN208" s="9">
        <v>38.259</v>
      </c>
      <c r="AO208" s="9">
        <v>76.518000000000001</v>
      </c>
      <c r="AP208" s="9">
        <v>510.11999999999989</v>
      </c>
      <c r="AQ208" s="25">
        <v>1.9E-3</v>
      </c>
      <c r="AR208" s="9">
        <f t="shared" si="92"/>
        <v>0.96922799999999976</v>
      </c>
      <c r="AS208" s="25">
        <v>9.5999999999999992E-3</v>
      </c>
      <c r="AT208" s="9">
        <f t="shared" si="93"/>
        <v>4.8971519999999984</v>
      </c>
      <c r="AU208" s="9">
        <v>1349.9700000000003</v>
      </c>
      <c r="AV208" s="25">
        <v>2.0999999999999999E-3</v>
      </c>
      <c r="AW208" s="9">
        <f t="shared" si="94"/>
        <v>2.8349370000000005</v>
      </c>
      <c r="AX208" s="25">
        <v>1.04E-2</v>
      </c>
      <c r="AY208" s="9">
        <f t="shared" si="95"/>
        <v>14.039688000000002</v>
      </c>
      <c r="AZ208" s="9">
        <v>0</v>
      </c>
      <c r="BA208" s="25">
        <v>0</v>
      </c>
      <c r="BB208" s="9">
        <f t="shared" si="96"/>
        <v>0</v>
      </c>
      <c r="BC208" s="25">
        <v>0</v>
      </c>
      <c r="BD208" s="9">
        <f t="shared" si="97"/>
        <v>0</v>
      </c>
      <c r="BE208" s="9">
        <v>510.11999999999989</v>
      </c>
      <c r="BF208" s="9">
        <v>1.9E-3</v>
      </c>
      <c r="BG208" s="9">
        <f t="shared" si="98"/>
        <v>0.96922799999999976</v>
      </c>
      <c r="BH208" s="9">
        <v>9.5999999999999992E-3</v>
      </c>
      <c r="BI208" s="9">
        <f t="shared" si="99"/>
        <v>4.8971519999999984</v>
      </c>
      <c r="BJ208" s="9">
        <v>1253.8593000000001</v>
      </c>
      <c r="BK208" s="9">
        <v>2.0999999999999999E-3</v>
      </c>
      <c r="BL208" s="9">
        <f t="shared" si="100"/>
        <v>2.6331045299999998</v>
      </c>
      <c r="BM208" s="9">
        <v>1.04E-2</v>
      </c>
      <c r="BN208" s="9">
        <f t="shared" si="101"/>
        <v>13.04013672</v>
      </c>
      <c r="BO208" s="9">
        <v>0</v>
      </c>
      <c r="BP208" s="9">
        <v>0</v>
      </c>
      <c r="BQ208" s="9">
        <f t="shared" si="102"/>
        <v>0</v>
      </c>
      <c r="BR208" s="9">
        <v>0</v>
      </c>
      <c r="BS208" s="9">
        <f t="shared" si="103"/>
        <v>0</v>
      </c>
      <c r="BT208" s="9">
        <f t="shared" si="104"/>
        <v>3.8041650000000002</v>
      </c>
      <c r="BU208" s="9">
        <f t="shared" si="105"/>
        <v>18.93684</v>
      </c>
      <c r="BV208" s="9">
        <f t="shared" si="106"/>
        <v>335.38216499999999</v>
      </c>
      <c r="BW208">
        <f t="shared" si="107"/>
        <v>335.38216499999999</v>
      </c>
      <c r="BX208">
        <v>0</v>
      </c>
      <c r="BY208">
        <f t="shared" si="108"/>
        <v>1658.97264</v>
      </c>
      <c r="BZ208">
        <v>1695.8954350800002</v>
      </c>
      <c r="CA208">
        <f t="shared" si="109"/>
        <v>3935.5423999199993</v>
      </c>
      <c r="CB208">
        <f t="shared" si="110"/>
        <v>7625.7926399999997</v>
      </c>
      <c r="CC208">
        <v>0</v>
      </c>
      <c r="CD208">
        <v>0</v>
      </c>
      <c r="CE208">
        <f t="shared" si="111"/>
        <v>0</v>
      </c>
      <c r="CF208">
        <f t="shared" si="112"/>
        <v>5966.82</v>
      </c>
      <c r="CG208">
        <f t="shared" si="113"/>
        <v>3935.5423999199993</v>
      </c>
      <c r="CH208">
        <f t="shared" si="114"/>
        <v>0</v>
      </c>
      <c r="CJ208" t="s">
        <v>278</v>
      </c>
      <c r="CL208" t="str">
        <f t="shared" si="115"/>
        <v/>
      </c>
    </row>
    <row r="209" spans="1:90" x14ac:dyDescent="0.25">
      <c r="A209" t="s">
        <v>122</v>
      </c>
      <c r="B209" t="s">
        <v>185</v>
      </c>
      <c r="C209" s="1">
        <v>46266</v>
      </c>
      <c r="D209" t="s">
        <v>174</v>
      </c>
      <c r="E209" t="s">
        <v>175</v>
      </c>
      <c r="F209" s="4">
        <v>1</v>
      </c>
      <c r="G209" s="4">
        <v>0.5</v>
      </c>
      <c r="H209" s="9">
        <v>5966.82</v>
      </c>
      <c r="I209" s="9">
        <v>994.46999999999991</v>
      </c>
      <c r="J209" s="9">
        <f t="shared" si="87"/>
        <v>6961.29</v>
      </c>
      <c r="K209" s="9">
        <v>0</v>
      </c>
      <c r="L209" s="9">
        <f t="shared" si="88"/>
        <v>0</v>
      </c>
      <c r="M209">
        <v>0</v>
      </c>
      <c r="N209" s="4">
        <f t="shared" si="89"/>
        <v>0</v>
      </c>
      <c r="O209" s="9">
        <v>3977.88</v>
      </c>
      <c r="P209" s="9">
        <v>1988.94</v>
      </c>
      <c r="Q209" s="9">
        <v>0</v>
      </c>
      <c r="R209" s="9">
        <v>0</v>
      </c>
      <c r="S209" s="9">
        <v>0</v>
      </c>
      <c r="T209" s="9">
        <v>0</v>
      </c>
      <c r="U209" s="9">
        <v>0</v>
      </c>
      <c r="V209" s="9">
        <v>0</v>
      </c>
      <c r="W209" s="9">
        <f t="shared" si="90"/>
        <v>5966.82</v>
      </c>
      <c r="X209" s="9">
        <v>994.46999999999991</v>
      </c>
      <c r="Y209" s="9">
        <v>0</v>
      </c>
      <c r="Z209" s="9">
        <v>6961.29</v>
      </c>
      <c r="AA209" s="9">
        <v>0</v>
      </c>
      <c r="AB209" s="9">
        <f t="shared" si="91"/>
        <v>6961.29</v>
      </c>
      <c r="AC209" s="9">
        <v>5101.2</v>
      </c>
      <c r="AD209" s="9">
        <v>0</v>
      </c>
      <c r="AE209" s="9">
        <v>5966.82</v>
      </c>
      <c r="AF209" s="9">
        <v>239.75639999999999</v>
      </c>
      <c r="AG209" s="9">
        <v>1203.8832</v>
      </c>
      <c r="AH209" s="9">
        <v>79.068600000000004</v>
      </c>
      <c r="AI209" s="9">
        <v>280.56599999999997</v>
      </c>
      <c r="AJ209" s="9">
        <v>10.202399999999999</v>
      </c>
      <c r="AK209" s="9">
        <v>5.1011999999999995</v>
      </c>
      <c r="AL209" s="9">
        <v>30.607199999999999</v>
      </c>
      <c r="AM209" s="9">
        <v>7.6517999999999997</v>
      </c>
      <c r="AN209" s="9">
        <v>38.259</v>
      </c>
      <c r="AO209" s="9">
        <v>76.518000000000001</v>
      </c>
      <c r="AP209" s="9">
        <v>510.11999999999989</v>
      </c>
      <c r="AQ209" s="25">
        <v>1.9E-3</v>
      </c>
      <c r="AR209" s="9">
        <f t="shared" si="92"/>
        <v>0.96922799999999976</v>
      </c>
      <c r="AS209" s="25">
        <v>9.5999999999999992E-3</v>
      </c>
      <c r="AT209" s="9">
        <f t="shared" si="93"/>
        <v>4.8971519999999984</v>
      </c>
      <c r="AU209" s="9">
        <v>1349.9700000000003</v>
      </c>
      <c r="AV209" s="25">
        <v>2.0999999999999999E-3</v>
      </c>
      <c r="AW209" s="9">
        <f t="shared" si="94"/>
        <v>2.8349370000000005</v>
      </c>
      <c r="AX209" s="25">
        <v>1.04E-2</v>
      </c>
      <c r="AY209" s="9">
        <f t="shared" si="95"/>
        <v>14.039688000000002</v>
      </c>
      <c r="AZ209" s="9">
        <v>0</v>
      </c>
      <c r="BA209" s="25">
        <v>0</v>
      </c>
      <c r="BB209" s="9">
        <f t="shared" si="96"/>
        <v>0</v>
      </c>
      <c r="BC209" s="25">
        <v>0</v>
      </c>
      <c r="BD209" s="9">
        <f t="shared" si="97"/>
        <v>0</v>
      </c>
      <c r="BE209" s="9">
        <v>510.11999999999989</v>
      </c>
      <c r="BF209" s="9">
        <v>1.9E-3</v>
      </c>
      <c r="BG209" s="9">
        <f t="shared" si="98"/>
        <v>0.96922799999999976</v>
      </c>
      <c r="BH209" s="9">
        <v>9.5999999999999992E-3</v>
      </c>
      <c r="BI209" s="9">
        <f t="shared" si="99"/>
        <v>4.8971519999999984</v>
      </c>
      <c r="BJ209" s="9">
        <v>1253.8593000000001</v>
      </c>
      <c r="BK209" s="9">
        <v>2.0999999999999999E-3</v>
      </c>
      <c r="BL209" s="9">
        <f t="shared" si="100"/>
        <v>2.6331045299999998</v>
      </c>
      <c r="BM209" s="9">
        <v>1.04E-2</v>
      </c>
      <c r="BN209" s="9">
        <f t="shared" si="101"/>
        <v>13.04013672</v>
      </c>
      <c r="BO209" s="9">
        <v>0</v>
      </c>
      <c r="BP209" s="9">
        <v>0</v>
      </c>
      <c r="BQ209" s="9">
        <f t="shared" si="102"/>
        <v>0</v>
      </c>
      <c r="BR209" s="9">
        <v>0</v>
      </c>
      <c r="BS209" s="9">
        <f t="shared" si="103"/>
        <v>0</v>
      </c>
      <c r="BT209" s="9">
        <f t="shared" si="104"/>
        <v>3.8041650000000002</v>
      </c>
      <c r="BU209" s="9">
        <f t="shared" si="105"/>
        <v>18.93684</v>
      </c>
      <c r="BV209" s="9">
        <f t="shared" si="106"/>
        <v>335.38216499999999</v>
      </c>
      <c r="BW209">
        <f t="shared" si="107"/>
        <v>335.38216499999999</v>
      </c>
      <c r="BX209">
        <v>0</v>
      </c>
      <c r="BY209">
        <f t="shared" si="108"/>
        <v>1658.97264</v>
      </c>
      <c r="BZ209">
        <v>1695.8954350800002</v>
      </c>
      <c r="CA209">
        <f t="shared" si="109"/>
        <v>3935.5423999199993</v>
      </c>
      <c r="CB209">
        <f t="shared" si="110"/>
        <v>7625.7926399999997</v>
      </c>
      <c r="CC209">
        <v>0</v>
      </c>
      <c r="CD209">
        <v>0</v>
      </c>
      <c r="CE209">
        <f t="shared" si="111"/>
        <v>0</v>
      </c>
      <c r="CF209">
        <f t="shared" si="112"/>
        <v>5966.82</v>
      </c>
      <c r="CG209">
        <f t="shared" si="113"/>
        <v>3935.5423999199993</v>
      </c>
      <c r="CH209">
        <f t="shared" si="114"/>
        <v>0</v>
      </c>
      <c r="CJ209" t="s">
        <v>278</v>
      </c>
      <c r="CL209" t="str">
        <f t="shared" si="115"/>
        <v/>
      </c>
    </row>
    <row r="210" spans="1:90" x14ac:dyDescent="0.25">
      <c r="A210" t="s">
        <v>122</v>
      </c>
      <c r="B210" t="s">
        <v>186</v>
      </c>
      <c r="C210" s="1">
        <v>46296</v>
      </c>
      <c r="D210" t="s">
        <v>174</v>
      </c>
      <c r="E210" t="s">
        <v>175</v>
      </c>
      <c r="F210" s="4">
        <v>1</v>
      </c>
      <c r="G210" s="4">
        <v>0.5</v>
      </c>
      <c r="H210" s="9">
        <v>5966.82</v>
      </c>
      <c r="I210" s="9">
        <v>994.46999999999991</v>
      </c>
      <c r="J210" s="9">
        <f t="shared" si="87"/>
        <v>6961.29</v>
      </c>
      <c r="K210" s="9">
        <v>0</v>
      </c>
      <c r="L210" s="9">
        <f t="shared" si="88"/>
        <v>0</v>
      </c>
      <c r="M210">
        <v>0</v>
      </c>
      <c r="N210" s="4">
        <f t="shared" si="89"/>
        <v>0</v>
      </c>
      <c r="O210" s="9">
        <v>3977.88</v>
      </c>
      <c r="P210" s="9">
        <v>1988.94</v>
      </c>
      <c r="Q210" s="9">
        <v>0</v>
      </c>
      <c r="R210" s="9">
        <v>0</v>
      </c>
      <c r="S210" s="9">
        <v>0</v>
      </c>
      <c r="T210" s="9">
        <v>0</v>
      </c>
      <c r="U210" s="9">
        <v>0</v>
      </c>
      <c r="V210" s="9">
        <v>0</v>
      </c>
      <c r="W210" s="9">
        <f t="shared" si="90"/>
        <v>5966.82</v>
      </c>
      <c r="X210" s="9">
        <v>994.46999999999991</v>
      </c>
      <c r="Y210" s="9">
        <v>0</v>
      </c>
      <c r="Z210" s="9">
        <v>6961.29</v>
      </c>
      <c r="AA210" s="9">
        <v>0</v>
      </c>
      <c r="AB210" s="9">
        <f t="shared" si="91"/>
        <v>6961.29</v>
      </c>
      <c r="AC210" s="9">
        <v>5101.2</v>
      </c>
      <c r="AD210" s="9">
        <v>0</v>
      </c>
      <c r="AE210" s="9">
        <v>5966.82</v>
      </c>
      <c r="AF210" s="9">
        <v>239.75639999999999</v>
      </c>
      <c r="AG210" s="9">
        <v>1203.8832</v>
      </c>
      <c r="AH210" s="9">
        <v>79.068600000000004</v>
      </c>
      <c r="AI210" s="9">
        <v>280.56599999999997</v>
      </c>
      <c r="AJ210" s="9">
        <v>10.202399999999999</v>
      </c>
      <c r="AK210" s="9">
        <v>5.1011999999999995</v>
      </c>
      <c r="AL210" s="9">
        <v>30.607199999999999</v>
      </c>
      <c r="AM210" s="9">
        <v>7.6517999999999997</v>
      </c>
      <c r="AN210" s="9">
        <v>38.259</v>
      </c>
      <c r="AO210" s="9">
        <v>76.518000000000001</v>
      </c>
      <c r="AP210" s="9">
        <v>510.11999999999989</v>
      </c>
      <c r="AQ210" s="25">
        <v>1.9E-3</v>
      </c>
      <c r="AR210" s="9">
        <f t="shared" si="92"/>
        <v>0.96922799999999976</v>
      </c>
      <c r="AS210" s="25">
        <v>9.5999999999999992E-3</v>
      </c>
      <c r="AT210" s="9">
        <f t="shared" si="93"/>
        <v>4.8971519999999984</v>
      </c>
      <c r="AU210" s="9">
        <v>1349.9700000000003</v>
      </c>
      <c r="AV210" s="25">
        <v>2.0999999999999999E-3</v>
      </c>
      <c r="AW210" s="9">
        <f t="shared" si="94"/>
        <v>2.8349370000000005</v>
      </c>
      <c r="AX210" s="25">
        <v>1.04E-2</v>
      </c>
      <c r="AY210" s="9">
        <f t="shared" si="95"/>
        <v>14.039688000000002</v>
      </c>
      <c r="AZ210" s="9">
        <v>0</v>
      </c>
      <c r="BA210" s="25">
        <v>0</v>
      </c>
      <c r="BB210" s="9">
        <f t="shared" si="96"/>
        <v>0</v>
      </c>
      <c r="BC210" s="25">
        <v>0</v>
      </c>
      <c r="BD210" s="9">
        <f t="shared" si="97"/>
        <v>0</v>
      </c>
      <c r="BE210" s="9">
        <v>510.11999999999989</v>
      </c>
      <c r="BF210" s="9">
        <v>1.9E-3</v>
      </c>
      <c r="BG210" s="9">
        <f t="shared" si="98"/>
        <v>0.96922799999999976</v>
      </c>
      <c r="BH210" s="9">
        <v>9.5999999999999992E-3</v>
      </c>
      <c r="BI210" s="9">
        <f t="shared" si="99"/>
        <v>4.8971519999999984</v>
      </c>
      <c r="BJ210" s="9">
        <v>1253.8593000000001</v>
      </c>
      <c r="BK210" s="9">
        <v>2.0999999999999999E-3</v>
      </c>
      <c r="BL210" s="9">
        <f t="shared" si="100"/>
        <v>2.6331045299999998</v>
      </c>
      <c r="BM210" s="9">
        <v>1.04E-2</v>
      </c>
      <c r="BN210" s="9">
        <f t="shared" si="101"/>
        <v>13.04013672</v>
      </c>
      <c r="BO210" s="9">
        <v>0</v>
      </c>
      <c r="BP210" s="9">
        <v>0</v>
      </c>
      <c r="BQ210" s="9">
        <f t="shared" si="102"/>
        <v>0</v>
      </c>
      <c r="BR210" s="9">
        <v>0</v>
      </c>
      <c r="BS210" s="9">
        <f t="shared" si="103"/>
        <v>0</v>
      </c>
      <c r="BT210" s="9">
        <f t="shared" si="104"/>
        <v>3.8041650000000002</v>
      </c>
      <c r="BU210" s="9">
        <f t="shared" si="105"/>
        <v>18.93684</v>
      </c>
      <c r="BV210" s="9">
        <f t="shared" si="106"/>
        <v>335.38216499999999</v>
      </c>
      <c r="BW210">
        <f t="shared" si="107"/>
        <v>335.38216499999999</v>
      </c>
      <c r="BX210">
        <v>0</v>
      </c>
      <c r="BY210">
        <f t="shared" si="108"/>
        <v>1658.97264</v>
      </c>
      <c r="BZ210">
        <v>1695.8954350800002</v>
      </c>
      <c r="CA210">
        <f t="shared" si="109"/>
        <v>3935.5423999199993</v>
      </c>
      <c r="CB210">
        <f t="shared" si="110"/>
        <v>7625.7926399999997</v>
      </c>
      <c r="CC210">
        <v>0</v>
      </c>
      <c r="CD210">
        <v>0</v>
      </c>
      <c r="CE210">
        <f t="shared" si="111"/>
        <v>0</v>
      </c>
      <c r="CF210">
        <f t="shared" si="112"/>
        <v>5966.82</v>
      </c>
      <c r="CG210">
        <f t="shared" si="113"/>
        <v>3935.5423999199993</v>
      </c>
      <c r="CH210">
        <f t="shared" si="114"/>
        <v>0</v>
      </c>
      <c r="CJ210" t="s">
        <v>278</v>
      </c>
      <c r="CL210" t="str">
        <f t="shared" si="115"/>
        <v/>
      </c>
    </row>
    <row r="211" spans="1:90" x14ac:dyDescent="0.25">
      <c r="A211" t="s">
        <v>122</v>
      </c>
      <c r="B211" t="s">
        <v>187</v>
      </c>
      <c r="C211" s="1">
        <v>46327</v>
      </c>
      <c r="D211" t="s">
        <v>174</v>
      </c>
      <c r="E211" t="s">
        <v>175</v>
      </c>
      <c r="F211" s="4">
        <v>1</v>
      </c>
      <c r="G211" s="4">
        <v>0.5</v>
      </c>
      <c r="H211" s="9">
        <v>5966.82</v>
      </c>
      <c r="I211" s="9">
        <v>994.46999999999991</v>
      </c>
      <c r="J211" s="9">
        <f t="shared" si="87"/>
        <v>6961.29</v>
      </c>
      <c r="K211" s="9">
        <v>0</v>
      </c>
      <c r="L211" s="9">
        <f t="shared" si="88"/>
        <v>0</v>
      </c>
      <c r="M211">
        <v>0</v>
      </c>
      <c r="N211" s="4">
        <f t="shared" si="89"/>
        <v>0</v>
      </c>
      <c r="O211" s="9">
        <v>3977.88</v>
      </c>
      <c r="P211" s="9">
        <v>1988.94</v>
      </c>
      <c r="Q211" s="9">
        <v>0</v>
      </c>
      <c r="R211" s="9">
        <v>0</v>
      </c>
      <c r="S211" s="9">
        <v>0</v>
      </c>
      <c r="T211" s="9">
        <v>0</v>
      </c>
      <c r="U211" s="9">
        <v>0</v>
      </c>
      <c r="V211" s="9">
        <v>0</v>
      </c>
      <c r="W211" s="9">
        <f t="shared" si="90"/>
        <v>5966.82</v>
      </c>
      <c r="X211" s="9">
        <v>994.46999999999991</v>
      </c>
      <c r="Y211" s="9">
        <v>0</v>
      </c>
      <c r="Z211" s="9">
        <v>6961.29</v>
      </c>
      <c r="AA211" s="9">
        <v>0</v>
      </c>
      <c r="AB211" s="9">
        <f t="shared" si="91"/>
        <v>6961.29</v>
      </c>
      <c r="AC211" s="9">
        <v>5101.2</v>
      </c>
      <c r="AD211" s="9">
        <v>0</v>
      </c>
      <c r="AE211" s="9">
        <v>5966.82</v>
      </c>
      <c r="AF211" s="9">
        <v>239.75639999999999</v>
      </c>
      <c r="AG211" s="9">
        <v>1203.8832</v>
      </c>
      <c r="AH211" s="9">
        <v>79.068600000000004</v>
      </c>
      <c r="AI211" s="9">
        <v>280.56599999999997</v>
      </c>
      <c r="AJ211" s="9">
        <v>10.202399999999999</v>
      </c>
      <c r="AK211" s="9">
        <v>5.1011999999999995</v>
      </c>
      <c r="AL211" s="9">
        <v>30.607199999999999</v>
      </c>
      <c r="AM211" s="9">
        <v>7.6517999999999997</v>
      </c>
      <c r="AN211" s="9">
        <v>38.259</v>
      </c>
      <c r="AO211" s="9">
        <v>76.518000000000001</v>
      </c>
      <c r="AP211" s="9">
        <v>510.11999999999989</v>
      </c>
      <c r="AQ211" s="25">
        <v>1.9E-3</v>
      </c>
      <c r="AR211" s="9">
        <f t="shared" si="92"/>
        <v>0.96922799999999976</v>
      </c>
      <c r="AS211" s="25">
        <v>9.5999999999999992E-3</v>
      </c>
      <c r="AT211" s="9">
        <f t="shared" si="93"/>
        <v>4.8971519999999984</v>
      </c>
      <c r="AU211" s="9">
        <v>1349.9700000000003</v>
      </c>
      <c r="AV211" s="25">
        <v>2.0999999999999999E-3</v>
      </c>
      <c r="AW211" s="9">
        <f t="shared" si="94"/>
        <v>2.8349370000000005</v>
      </c>
      <c r="AX211" s="25">
        <v>1.04E-2</v>
      </c>
      <c r="AY211" s="9">
        <f t="shared" si="95"/>
        <v>14.039688000000002</v>
      </c>
      <c r="AZ211" s="9">
        <v>0</v>
      </c>
      <c r="BA211" s="25">
        <v>0</v>
      </c>
      <c r="BB211" s="9">
        <f t="shared" si="96"/>
        <v>0</v>
      </c>
      <c r="BC211" s="25">
        <v>0</v>
      </c>
      <c r="BD211" s="9">
        <f t="shared" si="97"/>
        <v>0</v>
      </c>
      <c r="BE211" s="9">
        <v>510.11999999999989</v>
      </c>
      <c r="BF211" s="9">
        <v>1.9E-3</v>
      </c>
      <c r="BG211" s="9">
        <f t="shared" si="98"/>
        <v>0.96922799999999976</v>
      </c>
      <c r="BH211" s="9">
        <v>9.5999999999999992E-3</v>
      </c>
      <c r="BI211" s="9">
        <f t="shared" si="99"/>
        <v>4.8971519999999984</v>
      </c>
      <c r="BJ211" s="9">
        <v>1253.8593000000001</v>
      </c>
      <c r="BK211" s="9">
        <v>2.0999999999999999E-3</v>
      </c>
      <c r="BL211" s="9">
        <f t="shared" si="100"/>
        <v>2.6331045299999998</v>
      </c>
      <c r="BM211" s="9">
        <v>1.04E-2</v>
      </c>
      <c r="BN211" s="9">
        <f t="shared" si="101"/>
        <v>13.04013672</v>
      </c>
      <c r="BO211" s="9">
        <v>0</v>
      </c>
      <c r="BP211" s="9">
        <v>0</v>
      </c>
      <c r="BQ211" s="9">
        <f t="shared" si="102"/>
        <v>0</v>
      </c>
      <c r="BR211" s="9">
        <v>0</v>
      </c>
      <c r="BS211" s="9">
        <f t="shared" si="103"/>
        <v>0</v>
      </c>
      <c r="BT211" s="9">
        <f t="shared" si="104"/>
        <v>3.8041650000000002</v>
      </c>
      <c r="BU211" s="9">
        <f t="shared" si="105"/>
        <v>18.93684</v>
      </c>
      <c r="BV211" s="9">
        <f t="shared" si="106"/>
        <v>335.38216499999999</v>
      </c>
      <c r="BW211">
        <f t="shared" si="107"/>
        <v>335.38216499999999</v>
      </c>
      <c r="BX211">
        <v>0</v>
      </c>
      <c r="BY211">
        <f t="shared" si="108"/>
        <v>1658.97264</v>
      </c>
      <c r="BZ211">
        <v>1695.8954350800002</v>
      </c>
      <c r="CA211">
        <f t="shared" si="109"/>
        <v>3935.5423999199993</v>
      </c>
      <c r="CB211">
        <f t="shared" si="110"/>
        <v>7625.7926399999997</v>
      </c>
      <c r="CC211">
        <v>0</v>
      </c>
      <c r="CD211">
        <v>0</v>
      </c>
      <c r="CE211">
        <f t="shared" si="111"/>
        <v>0</v>
      </c>
      <c r="CF211">
        <f t="shared" si="112"/>
        <v>5966.82</v>
      </c>
      <c r="CG211">
        <f t="shared" si="113"/>
        <v>3935.5423999199993</v>
      </c>
      <c r="CH211">
        <f t="shared" si="114"/>
        <v>0</v>
      </c>
      <c r="CJ211" t="s">
        <v>278</v>
      </c>
      <c r="CL211" t="str">
        <f t="shared" si="115"/>
        <v/>
      </c>
    </row>
    <row r="212" spans="1:90" x14ac:dyDescent="0.25">
      <c r="A212" t="s">
        <v>122</v>
      </c>
      <c r="B212" t="s">
        <v>188</v>
      </c>
      <c r="C212" s="1">
        <v>46357</v>
      </c>
      <c r="D212" t="s">
        <v>182</v>
      </c>
      <c r="E212" t="s">
        <v>175</v>
      </c>
      <c r="F212" s="4">
        <v>1</v>
      </c>
      <c r="G212" s="4">
        <v>0.5</v>
      </c>
      <c r="H212" s="9">
        <v>5966.82</v>
      </c>
      <c r="I212" s="9">
        <v>994.46999999999991</v>
      </c>
      <c r="J212" s="9">
        <f t="shared" si="87"/>
        <v>6961.29</v>
      </c>
      <c r="K212" s="9">
        <v>0</v>
      </c>
      <c r="L212" s="9">
        <f t="shared" si="88"/>
        <v>0</v>
      </c>
      <c r="M212">
        <v>0</v>
      </c>
      <c r="N212" s="4">
        <f t="shared" si="89"/>
        <v>0</v>
      </c>
      <c r="O212" s="9">
        <v>3977.88</v>
      </c>
      <c r="P212" s="9">
        <v>1988.94</v>
      </c>
      <c r="Q212" s="9">
        <v>0</v>
      </c>
      <c r="R212" s="9">
        <v>0</v>
      </c>
      <c r="S212" s="9">
        <v>0</v>
      </c>
      <c r="T212" s="9">
        <v>0</v>
      </c>
      <c r="U212" s="9">
        <v>0</v>
      </c>
      <c r="V212" s="9">
        <v>0</v>
      </c>
      <c r="W212" s="9">
        <f t="shared" si="90"/>
        <v>5966.82</v>
      </c>
      <c r="X212" s="9">
        <v>0</v>
      </c>
      <c r="Y212" s="9">
        <v>0</v>
      </c>
      <c r="Z212" s="9">
        <v>0</v>
      </c>
      <c r="AA212" s="9">
        <v>0</v>
      </c>
      <c r="AB212" s="9">
        <f t="shared" si="91"/>
        <v>0</v>
      </c>
      <c r="AC212" s="9">
        <v>0</v>
      </c>
      <c r="AD212" s="9">
        <v>0</v>
      </c>
      <c r="AE212" s="9">
        <v>5966.82</v>
      </c>
      <c r="AF212" s="9">
        <v>0</v>
      </c>
      <c r="AG212" s="9">
        <v>0</v>
      </c>
      <c r="AH212" s="9">
        <v>0</v>
      </c>
      <c r="AI212" s="9">
        <v>0</v>
      </c>
      <c r="AJ212" s="9">
        <v>0</v>
      </c>
      <c r="AK212" s="9">
        <v>0</v>
      </c>
      <c r="AL212" s="9">
        <v>0</v>
      </c>
      <c r="AM212" s="9">
        <v>0</v>
      </c>
      <c r="AN212" s="9">
        <v>0</v>
      </c>
      <c r="AO212" s="9">
        <v>0</v>
      </c>
      <c r="AP212" s="9">
        <v>0</v>
      </c>
      <c r="AQ212" s="25">
        <v>0</v>
      </c>
      <c r="AR212" s="9">
        <f t="shared" si="92"/>
        <v>0</v>
      </c>
      <c r="AS212" s="25">
        <v>0</v>
      </c>
      <c r="AT212" s="9">
        <f t="shared" si="93"/>
        <v>0</v>
      </c>
      <c r="AU212" s="9">
        <v>0</v>
      </c>
      <c r="AV212" s="25">
        <v>0</v>
      </c>
      <c r="AW212" s="9">
        <f t="shared" si="94"/>
        <v>0</v>
      </c>
      <c r="AX212" s="25">
        <v>0</v>
      </c>
      <c r="AY212" s="9">
        <f t="shared" si="95"/>
        <v>0</v>
      </c>
      <c r="AZ212" s="9">
        <v>0</v>
      </c>
      <c r="BA212" s="25">
        <v>0</v>
      </c>
      <c r="BB212" s="9">
        <f t="shared" si="96"/>
        <v>0</v>
      </c>
      <c r="BC212" s="25">
        <v>0</v>
      </c>
      <c r="BD212" s="9">
        <f t="shared" si="97"/>
        <v>0</v>
      </c>
      <c r="BE212" s="9">
        <v>0</v>
      </c>
      <c r="BF212" s="9">
        <v>0</v>
      </c>
      <c r="BG212" s="9">
        <f t="shared" si="98"/>
        <v>0</v>
      </c>
      <c r="BH212" s="9">
        <v>0</v>
      </c>
      <c r="BI212" s="9">
        <f t="shared" si="99"/>
        <v>0</v>
      </c>
      <c r="BJ212" s="9">
        <v>0</v>
      </c>
      <c r="BK212" s="9">
        <v>0</v>
      </c>
      <c r="BL212" s="9">
        <f t="shared" si="100"/>
        <v>0</v>
      </c>
      <c r="BM212" s="9">
        <v>0</v>
      </c>
      <c r="BN212" s="9">
        <f t="shared" si="101"/>
        <v>0</v>
      </c>
      <c r="BO212" s="9">
        <v>0</v>
      </c>
      <c r="BP212" s="9">
        <v>0</v>
      </c>
      <c r="BQ212" s="9">
        <f t="shared" si="102"/>
        <v>0</v>
      </c>
      <c r="BR212" s="9">
        <v>0</v>
      </c>
      <c r="BS212" s="9">
        <f t="shared" si="103"/>
        <v>0</v>
      </c>
      <c r="BT212" s="9">
        <f t="shared" si="104"/>
        <v>0</v>
      </c>
      <c r="BU212" s="9">
        <f t="shared" si="105"/>
        <v>0</v>
      </c>
      <c r="BV212" s="9">
        <f t="shared" si="106"/>
        <v>0</v>
      </c>
      <c r="BW212">
        <f t="shared" si="107"/>
        <v>0</v>
      </c>
      <c r="BX212">
        <v>0</v>
      </c>
      <c r="BY212">
        <f t="shared" si="108"/>
        <v>0</v>
      </c>
      <c r="BZ212">
        <v>1695.8954350800002</v>
      </c>
      <c r="CA212">
        <f t="shared" si="109"/>
        <v>4270.9245649199993</v>
      </c>
      <c r="CB212">
        <f t="shared" si="110"/>
        <v>5966.82</v>
      </c>
      <c r="CC212">
        <v>0</v>
      </c>
      <c r="CD212">
        <v>0</v>
      </c>
      <c r="CE212">
        <f t="shared" si="111"/>
        <v>0</v>
      </c>
      <c r="CF212">
        <f t="shared" si="112"/>
        <v>5966.82</v>
      </c>
      <c r="CG212">
        <f t="shared" si="113"/>
        <v>4270.9245649199993</v>
      </c>
      <c r="CH212">
        <f t="shared" si="114"/>
        <v>0</v>
      </c>
      <c r="CJ212" t="s">
        <v>278</v>
      </c>
      <c r="CL212" t="str">
        <f t="shared" si="115"/>
        <v/>
      </c>
    </row>
    <row r="213" spans="1:90" x14ac:dyDescent="0.25">
      <c r="A213" t="s">
        <v>122</v>
      </c>
      <c r="B213" t="s">
        <v>189</v>
      </c>
      <c r="C213" s="1">
        <v>46357</v>
      </c>
      <c r="D213" t="s">
        <v>174</v>
      </c>
      <c r="E213" t="s">
        <v>175</v>
      </c>
      <c r="F213" s="4">
        <v>1</v>
      </c>
      <c r="G213" s="4">
        <v>0.5</v>
      </c>
      <c r="H213" s="9">
        <v>5966.82</v>
      </c>
      <c r="I213" s="9">
        <v>994.46999999999991</v>
      </c>
      <c r="J213" s="9">
        <f t="shared" si="87"/>
        <v>6961.29</v>
      </c>
      <c r="K213" s="9">
        <v>0</v>
      </c>
      <c r="L213" s="9">
        <f t="shared" si="88"/>
        <v>0</v>
      </c>
      <c r="M213">
        <v>0</v>
      </c>
      <c r="N213" s="4">
        <f t="shared" si="89"/>
        <v>0</v>
      </c>
      <c r="O213" s="9">
        <v>3977.88</v>
      </c>
      <c r="P213" s="9">
        <v>1988.94</v>
      </c>
      <c r="Q213" s="9">
        <v>0</v>
      </c>
      <c r="R213" s="9">
        <v>0</v>
      </c>
      <c r="S213" s="9">
        <v>0</v>
      </c>
      <c r="T213" s="9">
        <v>0</v>
      </c>
      <c r="U213" s="9">
        <v>0</v>
      </c>
      <c r="V213" s="9">
        <v>0</v>
      </c>
      <c r="W213" s="9">
        <f t="shared" si="90"/>
        <v>5966.82</v>
      </c>
      <c r="X213" s="9">
        <v>994.46999999999991</v>
      </c>
      <c r="Y213" s="9">
        <v>0</v>
      </c>
      <c r="Z213" s="9">
        <v>6961.29</v>
      </c>
      <c r="AA213" s="9">
        <v>0</v>
      </c>
      <c r="AB213" s="9">
        <f t="shared" si="91"/>
        <v>6961.29</v>
      </c>
      <c r="AC213" s="9">
        <v>5101.2</v>
      </c>
      <c r="AD213" s="9">
        <v>0</v>
      </c>
      <c r="AE213" s="9">
        <v>5966.82</v>
      </c>
      <c r="AF213" s="9">
        <v>239.75639999999999</v>
      </c>
      <c r="AG213" s="9">
        <v>1203.8832</v>
      </c>
      <c r="AH213" s="9">
        <v>79.068600000000004</v>
      </c>
      <c r="AI213" s="9">
        <v>280.56599999999997</v>
      </c>
      <c r="AJ213" s="9">
        <v>10.202399999999999</v>
      </c>
      <c r="AK213" s="9">
        <v>5.1011999999999995</v>
      </c>
      <c r="AL213" s="9">
        <v>30.607199999999999</v>
      </c>
      <c r="AM213" s="9">
        <v>7.6517999999999997</v>
      </c>
      <c r="AN213" s="9">
        <v>38.259</v>
      </c>
      <c r="AO213" s="9">
        <v>76.518000000000001</v>
      </c>
      <c r="AP213" s="9">
        <v>510.11999999999989</v>
      </c>
      <c r="AQ213" s="25">
        <v>1.9E-3</v>
      </c>
      <c r="AR213" s="9">
        <f t="shared" si="92"/>
        <v>0.96922799999999976</v>
      </c>
      <c r="AS213" s="25">
        <v>9.5999999999999992E-3</v>
      </c>
      <c r="AT213" s="9">
        <f t="shared" si="93"/>
        <v>4.8971519999999984</v>
      </c>
      <c r="AU213" s="9">
        <v>1349.9700000000003</v>
      </c>
      <c r="AV213" s="25">
        <v>2.0999999999999999E-3</v>
      </c>
      <c r="AW213" s="9">
        <f t="shared" si="94"/>
        <v>2.8349370000000005</v>
      </c>
      <c r="AX213" s="25">
        <v>1.04E-2</v>
      </c>
      <c r="AY213" s="9">
        <f t="shared" si="95"/>
        <v>14.039688000000002</v>
      </c>
      <c r="AZ213" s="9">
        <v>0</v>
      </c>
      <c r="BA213" s="25">
        <v>0</v>
      </c>
      <c r="BB213" s="9">
        <f t="shared" si="96"/>
        <v>0</v>
      </c>
      <c r="BC213" s="25">
        <v>0</v>
      </c>
      <c r="BD213" s="9">
        <f t="shared" si="97"/>
        <v>0</v>
      </c>
      <c r="BE213" s="9">
        <v>510.11999999999989</v>
      </c>
      <c r="BF213" s="9">
        <v>1.9E-3</v>
      </c>
      <c r="BG213" s="9">
        <f t="shared" si="98"/>
        <v>0.96922799999999976</v>
      </c>
      <c r="BH213" s="9">
        <v>9.5999999999999992E-3</v>
      </c>
      <c r="BI213" s="9">
        <f t="shared" si="99"/>
        <v>4.8971519999999984</v>
      </c>
      <c r="BJ213" s="9">
        <v>1253.8593000000001</v>
      </c>
      <c r="BK213" s="9">
        <v>2.0999999999999999E-3</v>
      </c>
      <c r="BL213" s="9">
        <f t="shared" si="100"/>
        <v>2.6331045299999998</v>
      </c>
      <c r="BM213" s="9">
        <v>1.04E-2</v>
      </c>
      <c r="BN213" s="9">
        <f t="shared" si="101"/>
        <v>13.04013672</v>
      </c>
      <c r="BO213" s="9">
        <v>0</v>
      </c>
      <c r="BP213" s="9">
        <v>0</v>
      </c>
      <c r="BQ213" s="9">
        <f t="shared" si="102"/>
        <v>0</v>
      </c>
      <c r="BR213" s="9">
        <v>0</v>
      </c>
      <c r="BS213" s="9">
        <f t="shared" si="103"/>
        <v>0</v>
      </c>
      <c r="BT213" s="9">
        <f t="shared" si="104"/>
        <v>3.8041650000000002</v>
      </c>
      <c r="BU213" s="9">
        <f t="shared" si="105"/>
        <v>18.93684</v>
      </c>
      <c r="BV213" s="9">
        <f t="shared" si="106"/>
        <v>335.38216499999999</v>
      </c>
      <c r="BW213">
        <f t="shared" si="107"/>
        <v>335.38216499999999</v>
      </c>
      <c r="BX213">
        <v>0</v>
      </c>
      <c r="BY213">
        <f t="shared" si="108"/>
        <v>1658.97264</v>
      </c>
      <c r="BZ213">
        <v>1695.8954350800002</v>
      </c>
      <c r="CA213">
        <f t="shared" si="109"/>
        <v>3935.5423999199993</v>
      </c>
      <c r="CB213">
        <f t="shared" si="110"/>
        <v>7625.7926399999997</v>
      </c>
      <c r="CC213">
        <v>0</v>
      </c>
      <c r="CD213">
        <v>0</v>
      </c>
      <c r="CE213">
        <f t="shared" si="111"/>
        <v>0</v>
      </c>
      <c r="CF213">
        <f t="shared" si="112"/>
        <v>5966.82</v>
      </c>
      <c r="CG213">
        <f t="shared" si="113"/>
        <v>3935.5423999199993</v>
      </c>
      <c r="CH213">
        <f t="shared" si="114"/>
        <v>0</v>
      </c>
      <c r="CJ213" t="s">
        <v>278</v>
      </c>
      <c r="CL213" t="str">
        <f t="shared" si="115"/>
        <v/>
      </c>
    </row>
    <row r="214" spans="1:90" x14ac:dyDescent="0.25">
      <c r="A214" t="s">
        <v>124</v>
      </c>
      <c r="B214" t="s">
        <v>173</v>
      </c>
      <c r="C214" s="1">
        <v>46023</v>
      </c>
      <c r="D214" t="s">
        <v>174</v>
      </c>
      <c r="E214" t="s">
        <v>175</v>
      </c>
      <c r="F214" s="4">
        <v>1</v>
      </c>
      <c r="G214" s="4">
        <v>0.4</v>
      </c>
      <c r="H214" s="9">
        <v>2203.7820000000002</v>
      </c>
      <c r="I214" s="9">
        <v>367.29700000000003</v>
      </c>
      <c r="J214" s="9">
        <f t="shared" si="87"/>
        <v>2571.0790000000002</v>
      </c>
      <c r="K214" s="9">
        <v>0</v>
      </c>
      <c r="L214" s="9">
        <f t="shared" si="88"/>
        <v>0</v>
      </c>
      <c r="M214">
        <v>0</v>
      </c>
      <c r="N214" s="4">
        <f t="shared" si="89"/>
        <v>0</v>
      </c>
      <c r="O214" s="9">
        <v>1574.13</v>
      </c>
      <c r="P214" s="9">
        <v>629.65200000000004</v>
      </c>
      <c r="Q214" s="9">
        <v>0</v>
      </c>
      <c r="R214" s="9">
        <v>0</v>
      </c>
      <c r="S214" s="9">
        <v>0</v>
      </c>
      <c r="T214" s="9">
        <v>0</v>
      </c>
      <c r="U214" s="9">
        <v>0</v>
      </c>
      <c r="V214" s="9">
        <v>0</v>
      </c>
      <c r="W214" s="9">
        <f t="shared" si="90"/>
        <v>2203.7820000000002</v>
      </c>
      <c r="X214" s="9">
        <v>367.29700000000003</v>
      </c>
      <c r="Y214" s="9">
        <v>0</v>
      </c>
      <c r="Z214" s="9">
        <v>2571.0790000000002</v>
      </c>
      <c r="AA214" s="9">
        <v>0</v>
      </c>
      <c r="AB214" s="9">
        <f t="shared" si="91"/>
        <v>2571.0790000000002</v>
      </c>
      <c r="AC214" s="9">
        <v>2571.0790000000002</v>
      </c>
      <c r="AD214" s="9">
        <v>0</v>
      </c>
      <c r="AE214" s="9">
        <v>2203.7820000000002</v>
      </c>
      <c r="AF214" s="9">
        <v>120.84071300000001</v>
      </c>
      <c r="AG214" s="9">
        <v>596.43822041999999</v>
      </c>
      <c r="AH214" s="9">
        <v>39.851724500000003</v>
      </c>
      <c r="AI214" s="9">
        <v>139.00043272500002</v>
      </c>
      <c r="AJ214" s="9">
        <v>5.0545611900000003</v>
      </c>
      <c r="AK214" s="9">
        <v>2.5710790000000001</v>
      </c>
      <c r="AL214" s="9">
        <v>15.163683570000002</v>
      </c>
      <c r="AM214" s="9">
        <v>3.8566185000000002</v>
      </c>
      <c r="AN214" s="9">
        <v>18.954604462500001</v>
      </c>
      <c r="AO214" s="9">
        <v>37.909208925000001</v>
      </c>
      <c r="AP214" s="9">
        <v>0</v>
      </c>
      <c r="AQ214" s="25">
        <v>0</v>
      </c>
      <c r="AR214" s="9">
        <f t="shared" si="92"/>
        <v>0</v>
      </c>
      <c r="AS214" s="25">
        <v>0</v>
      </c>
      <c r="AT214" s="9">
        <f t="shared" si="93"/>
        <v>0</v>
      </c>
      <c r="AU214" s="9">
        <v>0</v>
      </c>
      <c r="AV214" s="25">
        <v>0</v>
      </c>
      <c r="AW214" s="9">
        <f t="shared" si="94"/>
        <v>0</v>
      </c>
      <c r="AX214" s="25">
        <v>0</v>
      </c>
      <c r="AY214" s="9">
        <f t="shared" si="95"/>
        <v>0</v>
      </c>
      <c r="AZ214" s="9">
        <v>0</v>
      </c>
      <c r="BA214" s="25">
        <v>0</v>
      </c>
      <c r="BB214" s="9">
        <f t="shared" si="96"/>
        <v>0</v>
      </c>
      <c r="BC214" s="25">
        <v>0</v>
      </c>
      <c r="BD214" s="9">
        <f t="shared" si="97"/>
        <v>0</v>
      </c>
      <c r="BE214" s="9">
        <v>0</v>
      </c>
      <c r="BF214" s="9">
        <v>0</v>
      </c>
      <c r="BG214" s="9">
        <f t="shared" si="98"/>
        <v>0</v>
      </c>
      <c r="BH214" s="9">
        <v>0</v>
      </c>
      <c r="BI214" s="9">
        <f t="shared" si="99"/>
        <v>0</v>
      </c>
      <c r="BJ214" s="9">
        <v>0</v>
      </c>
      <c r="BK214" s="9">
        <v>0</v>
      </c>
      <c r="BL214" s="9">
        <f t="shared" si="100"/>
        <v>0</v>
      </c>
      <c r="BM214" s="9">
        <v>0</v>
      </c>
      <c r="BN214" s="9">
        <f t="shared" si="101"/>
        <v>0</v>
      </c>
      <c r="BO214" s="9">
        <v>0</v>
      </c>
      <c r="BP214" s="9">
        <v>0</v>
      </c>
      <c r="BQ214" s="9">
        <f t="shared" si="102"/>
        <v>0</v>
      </c>
      <c r="BR214" s="9">
        <v>0</v>
      </c>
      <c r="BS214" s="9">
        <f t="shared" si="103"/>
        <v>0</v>
      </c>
      <c r="BT214" s="9">
        <f t="shared" si="104"/>
        <v>0</v>
      </c>
      <c r="BU214" s="9">
        <f t="shared" si="105"/>
        <v>0</v>
      </c>
      <c r="BV214" s="9">
        <f t="shared" si="106"/>
        <v>167.120135</v>
      </c>
      <c r="BW214">
        <f t="shared" si="107"/>
        <v>167.120135</v>
      </c>
      <c r="BX214">
        <v>0</v>
      </c>
      <c r="BY214">
        <f t="shared" si="108"/>
        <v>812.52071129249998</v>
      </c>
      <c r="BZ214">
        <v>368.26088670000001</v>
      </c>
      <c r="CA214">
        <f t="shared" si="109"/>
        <v>1668.4009783000001</v>
      </c>
      <c r="CB214">
        <f t="shared" si="110"/>
        <v>3016.3027112925001</v>
      </c>
      <c r="CC214">
        <v>0</v>
      </c>
      <c r="CD214">
        <v>0</v>
      </c>
      <c r="CE214">
        <f t="shared" si="111"/>
        <v>0</v>
      </c>
      <c r="CF214">
        <f t="shared" si="112"/>
        <v>2203.7820000000002</v>
      </c>
      <c r="CG214">
        <f t="shared" si="113"/>
        <v>1668.4009783000001</v>
      </c>
      <c r="CH214">
        <f t="shared" si="114"/>
        <v>0</v>
      </c>
      <c r="CJ214" t="s">
        <v>278</v>
      </c>
      <c r="CL214" t="str">
        <f t="shared" si="115"/>
        <v/>
      </c>
    </row>
    <row r="215" spans="1:90" x14ac:dyDescent="0.25">
      <c r="A215" t="s">
        <v>124</v>
      </c>
      <c r="B215" t="s">
        <v>176</v>
      </c>
      <c r="C215" s="1">
        <v>46054</v>
      </c>
      <c r="D215" t="s">
        <v>174</v>
      </c>
      <c r="E215" t="s">
        <v>175</v>
      </c>
      <c r="F215" s="4">
        <v>1</v>
      </c>
      <c r="G215" s="4">
        <v>0.4</v>
      </c>
      <c r="H215" s="9">
        <v>2203.7820000000002</v>
      </c>
      <c r="I215" s="9">
        <v>367.29700000000003</v>
      </c>
      <c r="J215" s="9">
        <f t="shared" si="87"/>
        <v>2571.0790000000002</v>
      </c>
      <c r="K215" s="9">
        <v>0</v>
      </c>
      <c r="L215" s="9">
        <f t="shared" si="88"/>
        <v>0</v>
      </c>
      <c r="M215">
        <v>0</v>
      </c>
      <c r="N215" s="4">
        <f t="shared" si="89"/>
        <v>0</v>
      </c>
      <c r="O215" s="9">
        <v>1574.13</v>
      </c>
      <c r="P215" s="9">
        <v>629.65200000000004</v>
      </c>
      <c r="Q215" s="9">
        <v>0</v>
      </c>
      <c r="R215" s="9">
        <v>0</v>
      </c>
      <c r="S215" s="9">
        <v>0</v>
      </c>
      <c r="T215" s="9">
        <v>0</v>
      </c>
      <c r="U215" s="9">
        <v>0</v>
      </c>
      <c r="V215" s="9">
        <v>0</v>
      </c>
      <c r="W215" s="9">
        <f t="shared" si="90"/>
        <v>2203.7820000000002</v>
      </c>
      <c r="X215" s="9">
        <v>367.29700000000003</v>
      </c>
      <c r="Y215" s="9">
        <v>0</v>
      </c>
      <c r="Z215" s="9">
        <v>2571.0790000000002</v>
      </c>
      <c r="AA215" s="9">
        <v>0</v>
      </c>
      <c r="AB215" s="9">
        <f t="shared" si="91"/>
        <v>2571.0790000000002</v>
      </c>
      <c r="AC215" s="9">
        <v>2571.0790000000002</v>
      </c>
      <c r="AD215" s="9">
        <v>0</v>
      </c>
      <c r="AE215" s="9">
        <v>2203.7820000000002</v>
      </c>
      <c r="AF215" s="9">
        <v>120.84071300000001</v>
      </c>
      <c r="AG215" s="9">
        <v>618.52852487999996</v>
      </c>
      <c r="AH215" s="9">
        <v>39.851724500000003</v>
      </c>
      <c r="AI215" s="9">
        <v>144.1485969</v>
      </c>
      <c r="AJ215" s="9">
        <v>5.2417671600000002</v>
      </c>
      <c r="AK215" s="9">
        <v>2.5710790000000001</v>
      </c>
      <c r="AL215" s="9">
        <v>15.725301480000001</v>
      </c>
      <c r="AM215" s="9">
        <v>3.8566185000000002</v>
      </c>
      <c r="AN215" s="9">
        <v>19.656626850000002</v>
      </c>
      <c r="AO215" s="9">
        <v>39.313253700000004</v>
      </c>
      <c r="AP215" s="9">
        <v>0</v>
      </c>
      <c r="AQ215" s="25">
        <v>0</v>
      </c>
      <c r="AR215" s="9">
        <f t="shared" si="92"/>
        <v>0</v>
      </c>
      <c r="AS215" s="25">
        <v>0</v>
      </c>
      <c r="AT215" s="9">
        <f t="shared" si="93"/>
        <v>0</v>
      </c>
      <c r="AU215" s="9">
        <v>0</v>
      </c>
      <c r="AV215" s="25">
        <v>0</v>
      </c>
      <c r="AW215" s="9">
        <f t="shared" si="94"/>
        <v>0</v>
      </c>
      <c r="AX215" s="25">
        <v>0</v>
      </c>
      <c r="AY215" s="9">
        <f t="shared" si="95"/>
        <v>0</v>
      </c>
      <c r="AZ215" s="9">
        <v>0</v>
      </c>
      <c r="BA215" s="25">
        <v>0</v>
      </c>
      <c r="BB215" s="9">
        <f t="shared" si="96"/>
        <v>0</v>
      </c>
      <c r="BC215" s="25">
        <v>0</v>
      </c>
      <c r="BD215" s="9">
        <f t="shared" si="97"/>
        <v>0</v>
      </c>
      <c r="BE215" s="9">
        <v>0</v>
      </c>
      <c r="BF215" s="9">
        <v>0</v>
      </c>
      <c r="BG215" s="9">
        <f t="shared" si="98"/>
        <v>0</v>
      </c>
      <c r="BH215" s="9">
        <v>0</v>
      </c>
      <c r="BI215" s="9">
        <f t="shared" si="99"/>
        <v>0</v>
      </c>
      <c r="BJ215" s="9">
        <v>0</v>
      </c>
      <c r="BK215" s="9">
        <v>0</v>
      </c>
      <c r="BL215" s="9">
        <f t="shared" si="100"/>
        <v>0</v>
      </c>
      <c r="BM215" s="9">
        <v>0</v>
      </c>
      <c r="BN215" s="9">
        <f t="shared" si="101"/>
        <v>0</v>
      </c>
      <c r="BO215" s="9">
        <v>0</v>
      </c>
      <c r="BP215" s="9">
        <v>0</v>
      </c>
      <c r="BQ215" s="9">
        <f t="shared" si="102"/>
        <v>0</v>
      </c>
      <c r="BR215" s="9">
        <v>0</v>
      </c>
      <c r="BS215" s="9">
        <f t="shared" si="103"/>
        <v>0</v>
      </c>
      <c r="BT215" s="9">
        <f t="shared" si="104"/>
        <v>0</v>
      </c>
      <c r="BU215" s="9">
        <f t="shared" si="105"/>
        <v>0</v>
      </c>
      <c r="BV215" s="9">
        <f t="shared" si="106"/>
        <v>167.120135</v>
      </c>
      <c r="BW215">
        <f t="shared" si="107"/>
        <v>167.120135</v>
      </c>
      <c r="BX215">
        <v>0</v>
      </c>
      <c r="BY215">
        <f t="shared" si="108"/>
        <v>842.61407096999994</v>
      </c>
      <c r="BZ215">
        <v>381.90017880000005</v>
      </c>
      <c r="CA215">
        <f t="shared" si="109"/>
        <v>1654.7616862</v>
      </c>
      <c r="CB215">
        <f t="shared" si="110"/>
        <v>3046.39607097</v>
      </c>
      <c r="CC215">
        <v>0</v>
      </c>
      <c r="CD215">
        <v>0</v>
      </c>
      <c r="CE215">
        <f t="shared" si="111"/>
        <v>0</v>
      </c>
      <c r="CF215">
        <f t="shared" si="112"/>
        <v>2203.7820000000002</v>
      </c>
      <c r="CG215">
        <f t="shared" si="113"/>
        <v>1654.7616862</v>
      </c>
      <c r="CH215">
        <f t="shared" si="114"/>
        <v>0</v>
      </c>
      <c r="CJ215" t="s">
        <v>278</v>
      </c>
      <c r="CL215" t="str">
        <f t="shared" si="115"/>
        <v/>
      </c>
    </row>
    <row r="216" spans="1:90" x14ac:dyDescent="0.25">
      <c r="A216" t="s">
        <v>124</v>
      </c>
      <c r="B216" t="s">
        <v>177</v>
      </c>
      <c r="C216" s="1">
        <v>46082</v>
      </c>
      <c r="D216" t="s">
        <v>174</v>
      </c>
      <c r="E216" t="s">
        <v>175</v>
      </c>
      <c r="F216" s="4">
        <v>1</v>
      </c>
      <c r="G216" s="4">
        <v>0.4</v>
      </c>
      <c r="H216" s="9">
        <v>2203.7820000000002</v>
      </c>
      <c r="I216" s="9">
        <v>367.29700000000003</v>
      </c>
      <c r="J216" s="9">
        <f t="shared" si="87"/>
        <v>2571.0790000000002</v>
      </c>
      <c r="K216" s="9">
        <v>0</v>
      </c>
      <c r="L216" s="9">
        <f t="shared" si="88"/>
        <v>0</v>
      </c>
      <c r="M216">
        <v>0</v>
      </c>
      <c r="N216" s="4">
        <f t="shared" si="89"/>
        <v>0</v>
      </c>
      <c r="O216" s="9">
        <v>1574.13</v>
      </c>
      <c r="P216" s="9">
        <v>629.65200000000004</v>
      </c>
      <c r="Q216" s="9">
        <v>0</v>
      </c>
      <c r="R216" s="9">
        <v>0</v>
      </c>
      <c r="S216" s="9">
        <v>0</v>
      </c>
      <c r="T216" s="9">
        <v>0</v>
      </c>
      <c r="U216" s="9">
        <v>0</v>
      </c>
      <c r="V216" s="9">
        <v>0</v>
      </c>
      <c r="W216" s="9">
        <f t="shared" si="90"/>
        <v>2203.7820000000002</v>
      </c>
      <c r="X216" s="9">
        <v>367.29700000000003</v>
      </c>
      <c r="Y216" s="9">
        <v>0</v>
      </c>
      <c r="Z216" s="9">
        <v>2571.0790000000002</v>
      </c>
      <c r="AA216" s="9">
        <v>0</v>
      </c>
      <c r="AB216" s="9">
        <f t="shared" si="91"/>
        <v>2571.0790000000002</v>
      </c>
      <c r="AC216" s="9">
        <v>2571.0790000000002</v>
      </c>
      <c r="AD216" s="9">
        <v>0</v>
      </c>
      <c r="AE216" s="9">
        <v>2203.7820000000002</v>
      </c>
      <c r="AF216" s="9">
        <v>120.84071300000001</v>
      </c>
      <c r="AG216" s="9">
        <v>618.52852487999996</v>
      </c>
      <c r="AH216" s="9">
        <v>39.851724500000003</v>
      </c>
      <c r="AI216" s="9">
        <v>144.1485969</v>
      </c>
      <c r="AJ216" s="9">
        <v>5.2417671600000002</v>
      </c>
      <c r="AK216" s="9">
        <v>2.5710790000000001</v>
      </c>
      <c r="AL216" s="9">
        <v>15.725301480000001</v>
      </c>
      <c r="AM216" s="9">
        <v>3.8566185000000002</v>
      </c>
      <c r="AN216" s="9">
        <v>19.656626850000002</v>
      </c>
      <c r="AO216" s="9">
        <v>39.313253700000004</v>
      </c>
      <c r="AP216" s="9">
        <v>0</v>
      </c>
      <c r="AQ216" s="25">
        <v>0</v>
      </c>
      <c r="AR216" s="9">
        <f t="shared" si="92"/>
        <v>0</v>
      </c>
      <c r="AS216" s="25">
        <v>0</v>
      </c>
      <c r="AT216" s="9">
        <f t="shared" si="93"/>
        <v>0</v>
      </c>
      <c r="AU216" s="9">
        <v>0</v>
      </c>
      <c r="AV216" s="25">
        <v>0</v>
      </c>
      <c r="AW216" s="9">
        <f t="shared" si="94"/>
        <v>0</v>
      </c>
      <c r="AX216" s="25">
        <v>0</v>
      </c>
      <c r="AY216" s="9">
        <f t="shared" si="95"/>
        <v>0</v>
      </c>
      <c r="AZ216" s="9">
        <v>0</v>
      </c>
      <c r="BA216" s="25">
        <v>0</v>
      </c>
      <c r="BB216" s="9">
        <f t="shared" si="96"/>
        <v>0</v>
      </c>
      <c r="BC216" s="25">
        <v>0</v>
      </c>
      <c r="BD216" s="9">
        <f t="shared" si="97"/>
        <v>0</v>
      </c>
      <c r="BE216" s="9">
        <v>0</v>
      </c>
      <c r="BF216" s="9">
        <v>0</v>
      </c>
      <c r="BG216" s="9">
        <f t="shared" si="98"/>
        <v>0</v>
      </c>
      <c r="BH216" s="9">
        <v>0</v>
      </c>
      <c r="BI216" s="9">
        <f t="shared" si="99"/>
        <v>0</v>
      </c>
      <c r="BJ216" s="9">
        <v>0</v>
      </c>
      <c r="BK216" s="9">
        <v>0</v>
      </c>
      <c r="BL216" s="9">
        <f t="shared" si="100"/>
        <v>0</v>
      </c>
      <c r="BM216" s="9">
        <v>0</v>
      </c>
      <c r="BN216" s="9">
        <f t="shared" si="101"/>
        <v>0</v>
      </c>
      <c r="BO216" s="9">
        <v>0</v>
      </c>
      <c r="BP216" s="9">
        <v>0</v>
      </c>
      <c r="BQ216" s="9">
        <f t="shared" si="102"/>
        <v>0</v>
      </c>
      <c r="BR216" s="9">
        <v>0</v>
      </c>
      <c r="BS216" s="9">
        <f t="shared" si="103"/>
        <v>0</v>
      </c>
      <c r="BT216" s="9">
        <f t="shared" si="104"/>
        <v>0</v>
      </c>
      <c r="BU216" s="9">
        <f t="shared" si="105"/>
        <v>0</v>
      </c>
      <c r="BV216" s="9">
        <f t="shared" si="106"/>
        <v>167.120135</v>
      </c>
      <c r="BW216">
        <f t="shared" si="107"/>
        <v>167.120135</v>
      </c>
      <c r="BX216">
        <v>0</v>
      </c>
      <c r="BY216">
        <f t="shared" si="108"/>
        <v>842.61407096999994</v>
      </c>
      <c r="BZ216">
        <v>381.90017880000005</v>
      </c>
      <c r="CA216">
        <f t="shared" si="109"/>
        <v>1654.7616862</v>
      </c>
      <c r="CB216">
        <f t="shared" si="110"/>
        <v>3046.39607097</v>
      </c>
      <c r="CC216">
        <v>0</v>
      </c>
      <c r="CD216">
        <v>0</v>
      </c>
      <c r="CE216">
        <f t="shared" si="111"/>
        <v>0</v>
      </c>
      <c r="CF216">
        <f t="shared" si="112"/>
        <v>2203.7820000000002</v>
      </c>
      <c r="CG216">
        <f t="shared" si="113"/>
        <v>1654.7616862</v>
      </c>
      <c r="CH216">
        <f t="shared" si="114"/>
        <v>0</v>
      </c>
      <c r="CJ216" t="s">
        <v>278</v>
      </c>
      <c r="CL216" t="str">
        <f t="shared" si="115"/>
        <v/>
      </c>
    </row>
    <row r="217" spans="1:90" x14ac:dyDescent="0.25">
      <c r="A217" t="s">
        <v>124</v>
      </c>
      <c r="B217" t="s">
        <v>178</v>
      </c>
      <c r="C217" s="1">
        <v>46113</v>
      </c>
      <c r="D217" t="s">
        <v>174</v>
      </c>
      <c r="E217" t="s">
        <v>175</v>
      </c>
      <c r="F217" s="4">
        <v>1</v>
      </c>
      <c r="G217" s="4">
        <v>0.4</v>
      </c>
      <c r="H217" s="9">
        <v>2203.7820000000002</v>
      </c>
      <c r="I217" s="9">
        <v>367.29700000000003</v>
      </c>
      <c r="J217" s="9">
        <f t="shared" si="87"/>
        <v>2571.0790000000002</v>
      </c>
      <c r="K217" s="9">
        <v>0</v>
      </c>
      <c r="L217" s="9">
        <f t="shared" si="88"/>
        <v>0</v>
      </c>
      <c r="M217">
        <v>0</v>
      </c>
      <c r="N217" s="4">
        <f t="shared" si="89"/>
        <v>0</v>
      </c>
      <c r="O217" s="9">
        <v>1574.13</v>
      </c>
      <c r="P217" s="9">
        <v>629.65200000000004</v>
      </c>
      <c r="Q217" s="9">
        <v>0</v>
      </c>
      <c r="R217" s="9">
        <v>0</v>
      </c>
      <c r="S217" s="9">
        <v>0</v>
      </c>
      <c r="T217" s="9">
        <v>0</v>
      </c>
      <c r="U217" s="9">
        <v>0</v>
      </c>
      <c r="V217" s="9">
        <v>0</v>
      </c>
      <c r="W217" s="9">
        <f t="shared" si="90"/>
        <v>2203.7820000000002</v>
      </c>
      <c r="X217" s="9">
        <v>367.29700000000003</v>
      </c>
      <c r="Y217" s="9">
        <v>0</v>
      </c>
      <c r="Z217" s="9">
        <v>2571.0790000000002</v>
      </c>
      <c r="AA217" s="9">
        <v>0</v>
      </c>
      <c r="AB217" s="9">
        <f t="shared" si="91"/>
        <v>2571.0790000000002</v>
      </c>
      <c r="AC217" s="9">
        <v>2571.0790000000002</v>
      </c>
      <c r="AD217" s="9">
        <v>0</v>
      </c>
      <c r="AE217" s="9">
        <v>2203.7820000000002</v>
      </c>
      <c r="AF217" s="9">
        <v>120.84071300000001</v>
      </c>
      <c r="AG217" s="9">
        <v>618.52852487999996</v>
      </c>
      <c r="AH217" s="9">
        <v>39.851724500000003</v>
      </c>
      <c r="AI217" s="9">
        <v>144.1485969</v>
      </c>
      <c r="AJ217" s="9">
        <v>5.2417671600000002</v>
      </c>
      <c r="AK217" s="9">
        <v>2.5710790000000001</v>
      </c>
      <c r="AL217" s="9">
        <v>15.725301480000001</v>
      </c>
      <c r="AM217" s="9">
        <v>3.8566185000000002</v>
      </c>
      <c r="AN217" s="9">
        <v>19.656626850000002</v>
      </c>
      <c r="AO217" s="9">
        <v>39.313253700000004</v>
      </c>
      <c r="AP217" s="9">
        <v>0</v>
      </c>
      <c r="AQ217" s="25">
        <v>0</v>
      </c>
      <c r="AR217" s="9">
        <f t="shared" si="92"/>
        <v>0</v>
      </c>
      <c r="AS217" s="25">
        <v>0</v>
      </c>
      <c r="AT217" s="9">
        <f t="shared" si="93"/>
        <v>0</v>
      </c>
      <c r="AU217" s="9">
        <v>0</v>
      </c>
      <c r="AV217" s="25">
        <v>0</v>
      </c>
      <c r="AW217" s="9">
        <f t="shared" si="94"/>
        <v>0</v>
      </c>
      <c r="AX217" s="25">
        <v>0</v>
      </c>
      <c r="AY217" s="9">
        <f t="shared" si="95"/>
        <v>0</v>
      </c>
      <c r="AZ217" s="9">
        <v>0</v>
      </c>
      <c r="BA217" s="25">
        <v>0</v>
      </c>
      <c r="BB217" s="9">
        <f t="shared" si="96"/>
        <v>0</v>
      </c>
      <c r="BC217" s="25">
        <v>0</v>
      </c>
      <c r="BD217" s="9">
        <f t="shared" si="97"/>
        <v>0</v>
      </c>
      <c r="BE217" s="9">
        <v>0</v>
      </c>
      <c r="BF217" s="9">
        <v>0</v>
      </c>
      <c r="BG217" s="9">
        <f t="shared" si="98"/>
        <v>0</v>
      </c>
      <c r="BH217" s="9">
        <v>0</v>
      </c>
      <c r="BI217" s="9">
        <f t="shared" si="99"/>
        <v>0</v>
      </c>
      <c r="BJ217" s="9">
        <v>0</v>
      </c>
      <c r="BK217" s="9">
        <v>0</v>
      </c>
      <c r="BL217" s="9">
        <f t="shared" si="100"/>
        <v>0</v>
      </c>
      <c r="BM217" s="9">
        <v>0</v>
      </c>
      <c r="BN217" s="9">
        <f t="shared" si="101"/>
        <v>0</v>
      </c>
      <c r="BO217" s="9">
        <v>0</v>
      </c>
      <c r="BP217" s="9">
        <v>0</v>
      </c>
      <c r="BQ217" s="9">
        <f t="shared" si="102"/>
        <v>0</v>
      </c>
      <c r="BR217" s="9">
        <v>0</v>
      </c>
      <c r="BS217" s="9">
        <f t="shared" si="103"/>
        <v>0</v>
      </c>
      <c r="BT217" s="9">
        <f t="shared" si="104"/>
        <v>0</v>
      </c>
      <c r="BU217" s="9">
        <f t="shared" si="105"/>
        <v>0</v>
      </c>
      <c r="BV217" s="9">
        <f t="shared" si="106"/>
        <v>167.120135</v>
      </c>
      <c r="BW217">
        <f t="shared" si="107"/>
        <v>167.120135</v>
      </c>
      <c r="BX217">
        <v>0</v>
      </c>
      <c r="BY217">
        <f t="shared" si="108"/>
        <v>842.61407096999994</v>
      </c>
      <c r="BZ217">
        <v>381.90017880000005</v>
      </c>
      <c r="CA217">
        <f t="shared" si="109"/>
        <v>1654.7616862</v>
      </c>
      <c r="CB217">
        <f t="shared" si="110"/>
        <v>3046.39607097</v>
      </c>
      <c r="CC217">
        <v>0</v>
      </c>
      <c r="CD217">
        <v>0</v>
      </c>
      <c r="CE217">
        <f t="shared" si="111"/>
        <v>0</v>
      </c>
      <c r="CF217">
        <f t="shared" si="112"/>
        <v>2203.7820000000002</v>
      </c>
      <c r="CG217">
        <f t="shared" si="113"/>
        <v>1654.7616862</v>
      </c>
      <c r="CH217">
        <f t="shared" si="114"/>
        <v>0</v>
      </c>
      <c r="CJ217" t="s">
        <v>278</v>
      </c>
      <c r="CL217" t="str">
        <f t="shared" si="115"/>
        <v/>
      </c>
    </row>
    <row r="218" spans="1:90" x14ac:dyDescent="0.25">
      <c r="A218" t="s">
        <v>124</v>
      </c>
      <c r="B218" t="s">
        <v>179</v>
      </c>
      <c r="C218" s="1">
        <v>46143</v>
      </c>
      <c r="D218" t="s">
        <v>174</v>
      </c>
      <c r="E218" t="s">
        <v>175</v>
      </c>
      <c r="F218" s="4">
        <v>1</v>
      </c>
      <c r="G218" s="4">
        <v>0.4</v>
      </c>
      <c r="H218" s="9">
        <v>2203.7820000000002</v>
      </c>
      <c r="I218" s="9">
        <v>367.29700000000003</v>
      </c>
      <c r="J218" s="9">
        <f t="shared" si="87"/>
        <v>2571.0790000000002</v>
      </c>
      <c r="K218" s="9">
        <v>0</v>
      </c>
      <c r="L218" s="9">
        <f t="shared" si="88"/>
        <v>0</v>
      </c>
      <c r="M218">
        <v>0</v>
      </c>
      <c r="N218" s="4">
        <f t="shared" si="89"/>
        <v>0</v>
      </c>
      <c r="O218" s="9">
        <v>1574.13</v>
      </c>
      <c r="P218" s="9">
        <v>629.65200000000004</v>
      </c>
      <c r="Q218" s="9">
        <v>0</v>
      </c>
      <c r="R218" s="9">
        <v>0</v>
      </c>
      <c r="S218" s="9">
        <v>0</v>
      </c>
      <c r="T218" s="9">
        <v>0</v>
      </c>
      <c r="U218" s="9">
        <v>0</v>
      </c>
      <c r="V218" s="9">
        <v>0</v>
      </c>
      <c r="W218" s="9">
        <f t="shared" si="90"/>
        <v>2203.7820000000002</v>
      </c>
      <c r="X218" s="9">
        <v>367.29700000000003</v>
      </c>
      <c r="Y218" s="9">
        <v>0</v>
      </c>
      <c r="Z218" s="9">
        <v>2571.0790000000002</v>
      </c>
      <c r="AA218" s="9">
        <v>0</v>
      </c>
      <c r="AB218" s="9">
        <f t="shared" si="91"/>
        <v>2571.0790000000002</v>
      </c>
      <c r="AC218" s="9">
        <v>2571.0790000000002</v>
      </c>
      <c r="AD218" s="9">
        <v>0</v>
      </c>
      <c r="AE218" s="9">
        <v>2203.7820000000002</v>
      </c>
      <c r="AF218" s="9">
        <v>120.84071300000001</v>
      </c>
      <c r="AG218" s="9">
        <v>618.52852487999996</v>
      </c>
      <c r="AH218" s="9">
        <v>39.851724500000003</v>
      </c>
      <c r="AI218" s="9">
        <v>144.1485969</v>
      </c>
      <c r="AJ218" s="9">
        <v>5.2417671600000002</v>
      </c>
      <c r="AK218" s="9">
        <v>2.5710790000000001</v>
      </c>
      <c r="AL218" s="9">
        <v>15.725301480000001</v>
      </c>
      <c r="AM218" s="9">
        <v>3.8566185000000002</v>
      </c>
      <c r="AN218" s="9">
        <v>19.656626850000002</v>
      </c>
      <c r="AO218" s="9">
        <v>39.313253700000004</v>
      </c>
      <c r="AP218" s="9">
        <v>0</v>
      </c>
      <c r="AQ218" s="25">
        <v>0</v>
      </c>
      <c r="AR218" s="9">
        <f t="shared" si="92"/>
        <v>0</v>
      </c>
      <c r="AS218" s="25">
        <v>0</v>
      </c>
      <c r="AT218" s="9">
        <f t="shared" si="93"/>
        <v>0</v>
      </c>
      <c r="AU218" s="9">
        <v>0</v>
      </c>
      <c r="AV218" s="25">
        <v>0</v>
      </c>
      <c r="AW218" s="9">
        <f t="shared" si="94"/>
        <v>0</v>
      </c>
      <c r="AX218" s="25">
        <v>0</v>
      </c>
      <c r="AY218" s="9">
        <f t="shared" si="95"/>
        <v>0</v>
      </c>
      <c r="AZ218" s="9">
        <v>0</v>
      </c>
      <c r="BA218" s="25">
        <v>0</v>
      </c>
      <c r="BB218" s="9">
        <f t="shared" si="96"/>
        <v>0</v>
      </c>
      <c r="BC218" s="25">
        <v>0</v>
      </c>
      <c r="BD218" s="9">
        <f t="shared" si="97"/>
        <v>0</v>
      </c>
      <c r="BE218" s="9">
        <v>0</v>
      </c>
      <c r="BF218" s="9">
        <v>0</v>
      </c>
      <c r="BG218" s="9">
        <f t="shared" si="98"/>
        <v>0</v>
      </c>
      <c r="BH218" s="9">
        <v>0</v>
      </c>
      <c r="BI218" s="9">
        <f t="shared" si="99"/>
        <v>0</v>
      </c>
      <c r="BJ218" s="9">
        <v>0</v>
      </c>
      <c r="BK218" s="9">
        <v>0</v>
      </c>
      <c r="BL218" s="9">
        <f t="shared" si="100"/>
        <v>0</v>
      </c>
      <c r="BM218" s="9">
        <v>0</v>
      </c>
      <c r="BN218" s="9">
        <f t="shared" si="101"/>
        <v>0</v>
      </c>
      <c r="BO218" s="9">
        <v>0</v>
      </c>
      <c r="BP218" s="9">
        <v>0</v>
      </c>
      <c r="BQ218" s="9">
        <f t="shared" si="102"/>
        <v>0</v>
      </c>
      <c r="BR218" s="9">
        <v>0</v>
      </c>
      <c r="BS218" s="9">
        <f t="shared" si="103"/>
        <v>0</v>
      </c>
      <c r="BT218" s="9">
        <f t="shared" si="104"/>
        <v>0</v>
      </c>
      <c r="BU218" s="9">
        <f t="shared" si="105"/>
        <v>0</v>
      </c>
      <c r="BV218" s="9">
        <f t="shared" si="106"/>
        <v>167.120135</v>
      </c>
      <c r="BW218">
        <f t="shared" si="107"/>
        <v>167.120135</v>
      </c>
      <c r="BX218">
        <v>0</v>
      </c>
      <c r="BY218">
        <f t="shared" si="108"/>
        <v>842.61407096999994</v>
      </c>
      <c r="BZ218">
        <v>381.90017880000005</v>
      </c>
      <c r="CA218">
        <f t="shared" si="109"/>
        <v>1654.7616862</v>
      </c>
      <c r="CB218">
        <f t="shared" si="110"/>
        <v>3046.39607097</v>
      </c>
      <c r="CC218">
        <v>0</v>
      </c>
      <c r="CD218">
        <v>0</v>
      </c>
      <c r="CE218">
        <f t="shared" si="111"/>
        <v>0</v>
      </c>
      <c r="CF218">
        <f t="shared" si="112"/>
        <v>2203.7820000000002</v>
      </c>
      <c r="CG218">
        <f t="shared" si="113"/>
        <v>1654.7616862</v>
      </c>
      <c r="CH218">
        <f t="shared" si="114"/>
        <v>0</v>
      </c>
      <c r="CJ218" t="s">
        <v>278</v>
      </c>
      <c r="CL218" t="str">
        <f t="shared" si="115"/>
        <v/>
      </c>
    </row>
    <row r="219" spans="1:90" x14ac:dyDescent="0.25">
      <c r="A219" t="s">
        <v>124</v>
      </c>
      <c r="B219" t="s">
        <v>180</v>
      </c>
      <c r="C219" s="1">
        <v>46174</v>
      </c>
      <c r="D219" t="s">
        <v>174</v>
      </c>
      <c r="E219" t="s">
        <v>175</v>
      </c>
      <c r="F219" s="4">
        <v>1</v>
      </c>
      <c r="G219" s="4">
        <v>0.4</v>
      </c>
      <c r="H219" s="9">
        <v>2203.7820000000002</v>
      </c>
      <c r="I219" s="9">
        <v>367.29700000000003</v>
      </c>
      <c r="J219" s="9">
        <f t="shared" si="87"/>
        <v>2571.0790000000002</v>
      </c>
      <c r="K219" s="9">
        <v>0</v>
      </c>
      <c r="L219" s="9">
        <f t="shared" si="88"/>
        <v>0</v>
      </c>
      <c r="M219">
        <v>0</v>
      </c>
      <c r="N219" s="4">
        <f t="shared" si="89"/>
        <v>0</v>
      </c>
      <c r="O219" s="9">
        <v>1574.13</v>
      </c>
      <c r="P219" s="9">
        <v>629.65200000000004</v>
      </c>
      <c r="Q219" s="9">
        <v>0</v>
      </c>
      <c r="R219" s="9">
        <v>0</v>
      </c>
      <c r="S219" s="9">
        <v>0</v>
      </c>
      <c r="T219" s="9">
        <v>0</v>
      </c>
      <c r="U219" s="9">
        <v>0</v>
      </c>
      <c r="V219" s="9">
        <v>0</v>
      </c>
      <c r="W219" s="9">
        <f t="shared" si="90"/>
        <v>2203.7820000000002</v>
      </c>
      <c r="X219" s="9">
        <v>367.29700000000003</v>
      </c>
      <c r="Y219" s="9">
        <v>0</v>
      </c>
      <c r="Z219" s="9">
        <v>2571.0790000000002</v>
      </c>
      <c r="AA219" s="9">
        <v>0</v>
      </c>
      <c r="AB219" s="9">
        <f t="shared" si="91"/>
        <v>2571.0790000000002</v>
      </c>
      <c r="AC219" s="9">
        <v>2571.0790000000002</v>
      </c>
      <c r="AD219" s="9">
        <v>0</v>
      </c>
      <c r="AE219" s="9">
        <v>2203.7820000000002</v>
      </c>
      <c r="AF219" s="9">
        <v>120.84071300000001</v>
      </c>
      <c r="AG219" s="9">
        <v>618.52852487999996</v>
      </c>
      <c r="AH219" s="9">
        <v>39.851724500000003</v>
      </c>
      <c r="AI219" s="9">
        <v>144.1485969</v>
      </c>
      <c r="AJ219" s="9">
        <v>5.2417671600000002</v>
      </c>
      <c r="AK219" s="9">
        <v>2.5710790000000001</v>
      </c>
      <c r="AL219" s="9">
        <v>15.725301480000001</v>
      </c>
      <c r="AM219" s="9">
        <v>3.8566185000000002</v>
      </c>
      <c r="AN219" s="9">
        <v>19.656626850000002</v>
      </c>
      <c r="AO219" s="9">
        <v>39.313253700000004</v>
      </c>
      <c r="AP219" s="9">
        <v>0</v>
      </c>
      <c r="AQ219" s="25">
        <v>0</v>
      </c>
      <c r="AR219" s="9">
        <f t="shared" si="92"/>
        <v>0</v>
      </c>
      <c r="AS219" s="25">
        <v>0</v>
      </c>
      <c r="AT219" s="9">
        <f t="shared" si="93"/>
        <v>0</v>
      </c>
      <c r="AU219" s="9">
        <v>0</v>
      </c>
      <c r="AV219" s="25">
        <v>0</v>
      </c>
      <c r="AW219" s="9">
        <f t="shared" si="94"/>
        <v>0</v>
      </c>
      <c r="AX219" s="25">
        <v>0</v>
      </c>
      <c r="AY219" s="9">
        <f t="shared" si="95"/>
        <v>0</v>
      </c>
      <c r="AZ219" s="9">
        <v>0</v>
      </c>
      <c r="BA219" s="25">
        <v>0</v>
      </c>
      <c r="BB219" s="9">
        <f t="shared" si="96"/>
        <v>0</v>
      </c>
      <c r="BC219" s="25">
        <v>0</v>
      </c>
      <c r="BD219" s="9">
        <f t="shared" si="97"/>
        <v>0</v>
      </c>
      <c r="BE219" s="9">
        <v>0</v>
      </c>
      <c r="BF219" s="9">
        <v>0</v>
      </c>
      <c r="BG219" s="9">
        <f t="shared" si="98"/>
        <v>0</v>
      </c>
      <c r="BH219" s="9">
        <v>0</v>
      </c>
      <c r="BI219" s="9">
        <f t="shared" si="99"/>
        <v>0</v>
      </c>
      <c r="BJ219" s="9">
        <v>0</v>
      </c>
      <c r="BK219" s="9">
        <v>0</v>
      </c>
      <c r="BL219" s="9">
        <f t="shared" si="100"/>
        <v>0</v>
      </c>
      <c r="BM219" s="9">
        <v>0</v>
      </c>
      <c r="BN219" s="9">
        <f t="shared" si="101"/>
        <v>0</v>
      </c>
      <c r="BO219" s="9">
        <v>0</v>
      </c>
      <c r="BP219" s="9">
        <v>0</v>
      </c>
      <c r="BQ219" s="9">
        <f t="shared" si="102"/>
        <v>0</v>
      </c>
      <c r="BR219" s="9">
        <v>0</v>
      </c>
      <c r="BS219" s="9">
        <f t="shared" si="103"/>
        <v>0</v>
      </c>
      <c r="BT219" s="9">
        <f t="shared" si="104"/>
        <v>0</v>
      </c>
      <c r="BU219" s="9">
        <f t="shared" si="105"/>
        <v>0</v>
      </c>
      <c r="BV219" s="9">
        <f t="shared" si="106"/>
        <v>167.120135</v>
      </c>
      <c r="BW219">
        <f t="shared" si="107"/>
        <v>167.120135</v>
      </c>
      <c r="BX219">
        <v>0</v>
      </c>
      <c r="BY219">
        <f t="shared" si="108"/>
        <v>842.61407096999994</v>
      </c>
      <c r="BZ219">
        <v>381.90017880000005</v>
      </c>
      <c r="CA219">
        <f t="shared" si="109"/>
        <v>1654.7616862</v>
      </c>
      <c r="CB219">
        <f t="shared" si="110"/>
        <v>3046.39607097</v>
      </c>
      <c r="CC219">
        <v>0</v>
      </c>
      <c r="CD219">
        <v>0</v>
      </c>
      <c r="CE219">
        <f t="shared" si="111"/>
        <v>0</v>
      </c>
      <c r="CF219">
        <f t="shared" si="112"/>
        <v>2203.7820000000002</v>
      </c>
      <c r="CG219">
        <f t="shared" si="113"/>
        <v>1654.7616862</v>
      </c>
      <c r="CH219">
        <f t="shared" si="114"/>
        <v>0</v>
      </c>
      <c r="CJ219" t="s">
        <v>278</v>
      </c>
      <c r="CL219" t="str">
        <f t="shared" si="115"/>
        <v/>
      </c>
    </row>
    <row r="220" spans="1:90" x14ac:dyDescent="0.25">
      <c r="A220" t="s">
        <v>124</v>
      </c>
      <c r="B220" t="s">
        <v>181</v>
      </c>
      <c r="C220" s="1">
        <v>46204</v>
      </c>
      <c r="D220" t="s">
        <v>182</v>
      </c>
      <c r="E220" t="s">
        <v>175</v>
      </c>
      <c r="F220" s="4">
        <v>1</v>
      </c>
      <c r="G220" s="4">
        <v>0.4</v>
      </c>
      <c r="H220" s="9">
        <v>2203.7820000000002</v>
      </c>
      <c r="I220" s="9">
        <v>367.29700000000003</v>
      </c>
      <c r="J220" s="9">
        <f t="shared" si="87"/>
        <v>2571.0790000000002</v>
      </c>
      <c r="K220" s="9">
        <v>0</v>
      </c>
      <c r="L220" s="9">
        <f t="shared" si="88"/>
        <v>0</v>
      </c>
      <c r="M220">
        <v>0</v>
      </c>
      <c r="N220" s="4">
        <f t="shared" si="89"/>
        <v>0</v>
      </c>
      <c r="O220" s="9">
        <v>1574.13</v>
      </c>
      <c r="P220" s="9">
        <v>629.65200000000004</v>
      </c>
      <c r="Q220" s="9">
        <v>0</v>
      </c>
      <c r="R220" s="9">
        <v>0</v>
      </c>
      <c r="S220" s="9">
        <v>0</v>
      </c>
      <c r="T220" s="9">
        <v>0</v>
      </c>
      <c r="U220" s="9">
        <v>0</v>
      </c>
      <c r="V220" s="9">
        <v>0</v>
      </c>
      <c r="W220" s="9">
        <f t="shared" si="90"/>
        <v>2203.7820000000002</v>
      </c>
      <c r="X220" s="9">
        <v>0</v>
      </c>
      <c r="Y220" s="9">
        <v>0</v>
      </c>
      <c r="Z220" s="9">
        <v>0</v>
      </c>
      <c r="AA220" s="9">
        <v>0</v>
      </c>
      <c r="AB220" s="9">
        <f t="shared" si="91"/>
        <v>0</v>
      </c>
      <c r="AC220" s="9">
        <v>0</v>
      </c>
      <c r="AD220" s="9">
        <v>0</v>
      </c>
      <c r="AE220" s="9">
        <v>2203.7820000000002</v>
      </c>
      <c r="AF220" s="9">
        <v>0</v>
      </c>
      <c r="AG220" s="9">
        <v>0</v>
      </c>
      <c r="AH220" s="9">
        <v>0</v>
      </c>
      <c r="AI220" s="9">
        <v>0</v>
      </c>
      <c r="AJ220" s="9">
        <v>0</v>
      </c>
      <c r="AK220" s="9">
        <v>0</v>
      </c>
      <c r="AL220" s="9">
        <v>0</v>
      </c>
      <c r="AM220" s="9">
        <v>0</v>
      </c>
      <c r="AN220" s="9">
        <v>0</v>
      </c>
      <c r="AO220" s="9">
        <v>0</v>
      </c>
      <c r="AP220" s="9">
        <v>0</v>
      </c>
      <c r="AQ220" s="25">
        <v>0</v>
      </c>
      <c r="AR220" s="9">
        <f t="shared" si="92"/>
        <v>0</v>
      </c>
      <c r="AS220" s="25">
        <v>0</v>
      </c>
      <c r="AT220" s="9">
        <f t="shared" si="93"/>
        <v>0</v>
      </c>
      <c r="AU220" s="9">
        <v>0</v>
      </c>
      <c r="AV220" s="25">
        <v>0</v>
      </c>
      <c r="AW220" s="9">
        <f t="shared" si="94"/>
        <v>0</v>
      </c>
      <c r="AX220" s="25">
        <v>0</v>
      </c>
      <c r="AY220" s="9">
        <f t="shared" si="95"/>
        <v>0</v>
      </c>
      <c r="AZ220" s="9">
        <v>0</v>
      </c>
      <c r="BA220" s="25">
        <v>0</v>
      </c>
      <c r="BB220" s="9">
        <f t="shared" si="96"/>
        <v>0</v>
      </c>
      <c r="BC220" s="25">
        <v>0</v>
      </c>
      <c r="BD220" s="9">
        <f t="shared" si="97"/>
        <v>0</v>
      </c>
      <c r="BE220" s="9">
        <v>0</v>
      </c>
      <c r="BF220" s="9">
        <v>0</v>
      </c>
      <c r="BG220" s="9">
        <f t="shared" si="98"/>
        <v>0</v>
      </c>
      <c r="BH220" s="9">
        <v>0</v>
      </c>
      <c r="BI220" s="9">
        <f t="shared" si="99"/>
        <v>0</v>
      </c>
      <c r="BJ220" s="9">
        <v>0</v>
      </c>
      <c r="BK220" s="9">
        <v>0</v>
      </c>
      <c r="BL220" s="9">
        <f t="shared" si="100"/>
        <v>0</v>
      </c>
      <c r="BM220" s="9">
        <v>0</v>
      </c>
      <c r="BN220" s="9">
        <f t="shared" si="101"/>
        <v>0</v>
      </c>
      <c r="BO220" s="9">
        <v>0</v>
      </c>
      <c r="BP220" s="9">
        <v>0</v>
      </c>
      <c r="BQ220" s="9">
        <f t="shared" si="102"/>
        <v>0</v>
      </c>
      <c r="BR220" s="9">
        <v>0</v>
      </c>
      <c r="BS220" s="9">
        <f t="shared" si="103"/>
        <v>0</v>
      </c>
      <c r="BT220" s="9">
        <f t="shared" si="104"/>
        <v>0</v>
      </c>
      <c r="BU220" s="9">
        <f t="shared" si="105"/>
        <v>0</v>
      </c>
      <c r="BV220" s="9">
        <f t="shared" si="106"/>
        <v>0</v>
      </c>
      <c r="BW220">
        <f t="shared" si="107"/>
        <v>0</v>
      </c>
      <c r="BX220">
        <v>0</v>
      </c>
      <c r="BY220">
        <f t="shared" si="108"/>
        <v>0</v>
      </c>
      <c r="BZ220">
        <v>379.62696345000001</v>
      </c>
      <c r="CA220">
        <f t="shared" si="109"/>
        <v>1824.1550365500002</v>
      </c>
      <c r="CB220">
        <f t="shared" si="110"/>
        <v>2203.7820000000002</v>
      </c>
      <c r="CC220">
        <v>0</v>
      </c>
      <c r="CD220">
        <v>0</v>
      </c>
      <c r="CE220">
        <f t="shared" si="111"/>
        <v>0</v>
      </c>
      <c r="CF220">
        <f t="shared" si="112"/>
        <v>2203.7820000000002</v>
      </c>
      <c r="CG220">
        <f t="shared" si="113"/>
        <v>1824.1550365500002</v>
      </c>
      <c r="CH220">
        <f t="shared" si="114"/>
        <v>0</v>
      </c>
      <c r="CJ220" t="s">
        <v>278</v>
      </c>
      <c r="CL220" t="str">
        <f t="shared" si="115"/>
        <v/>
      </c>
    </row>
    <row r="221" spans="1:90" x14ac:dyDescent="0.25">
      <c r="A221" t="s">
        <v>124</v>
      </c>
      <c r="B221" t="s">
        <v>183</v>
      </c>
      <c r="C221" s="1">
        <v>46204</v>
      </c>
      <c r="D221" t="s">
        <v>174</v>
      </c>
      <c r="E221" t="s">
        <v>175</v>
      </c>
      <c r="F221" s="4">
        <v>1</v>
      </c>
      <c r="G221" s="4">
        <v>0.4</v>
      </c>
      <c r="H221" s="9">
        <v>2203.7820000000002</v>
      </c>
      <c r="I221" s="9">
        <v>367.29700000000003</v>
      </c>
      <c r="J221" s="9">
        <f t="shared" si="87"/>
        <v>2571.0790000000002</v>
      </c>
      <c r="K221" s="9">
        <v>0</v>
      </c>
      <c r="L221" s="9">
        <f t="shared" si="88"/>
        <v>0</v>
      </c>
      <c r="M221">
        <v>0</v>
      </c>
      <c r="N221" s="4">
        <f t="shared" si="89"/>
        <v>0</v>
      </c>
      <c r="O221" s="9">
        <v>1574.13</v>
      </c>
      <c r="P221" s="9">
        <v>629.65200000000004</v>
      </c>
      <c r="Q221" s="9">
        <v>0</v>
      </c>
      <c r="R221" s="9">
        <v>0</v>
      </c>
      <c r="S221" s="9">
        <v>0</v>
      </c>
      <c r="T221" s="9">
        <v>0</v>
      </c>
      <c r="U221" s="9">
        <v>0</v>
      </c>
      <c r="V221" s="9">
        <v>0</v>
      </c>
      <c r="W221" s="9">
        <f t="shared" si="90"/>
        <v>2203.7820000000002</v>
      </c>
      <c r="X221" s="9">
        <v>367.29700000000003</v>
      </c>
      <c r="Y221" s="9">
        <v>0</v>
      </c>
      <c r="Z221" s="9">
        <v>2571.0790000000002</v>
      </c>
      <c r="AA221" s="9">
        <v>0</v>
      </c>
      <c r="AB221" s="9">
        <f t="shared" si="91"/>
        <v>2571.0790000000002</v>
      </c>
      <c r="AC221" s="9">
        <v>2571.0790000000002</v>
      </c>
      <c r="AD221" s="9">
        <v>0</v>
      </c>
      <c r="AE221" s="9">
        <v>2203.7820000000002</v>
      </c>
      <c r="AF221" s="9">
        <v>120.84071300000001</v>
      </c>
      <c r="AG221" s="9">
        <v>618.52852487999996</v>
      </c>
      <c r="AH221" s="9">
        <v>39.851724500000003</v>
      </c>
      <c r="AI221" s="9">
        <v>144.1485969</v>
      </c>
      <c r="AJ221" s="9">
        <v>5.2417671600000002</v>
      </c>
      <c r="AK221" s="9">
        <v>2.5710790000000001</v>
      </c>
      <c r="AL221" s="9">
        <v>15.725301480000001</v>
      </c>
      <c r="AM221" s="9">
        <v>3.8566185000000002</v>
      </c>
      <c r="AN221" s="9">
        <v>19.656626850000002</v>
      </c>
      <c r="AO221" s="9">
        <v>39.313253700000004</v>
      </c>
      <c r="AP221" s="9">
        <v>0</v>
      </c>
      <c r="AQ221" s="25">
        <v>0</v>
      </c>
      <c r="AR221" s="9">
        <f t="shared" si="92"/>
        <v>0</v>
      </c>
      <c r="AS221" s="25">
        <v>0</v>
      </c>
      <c r="AT221" s="9">
        <f t="shared" si="93"/>
        <v>0</v>
      </c>
      <c r="AU221" s="9">
        <v>0</v>
      </c>
      <c r="AV221" s="25">
        <v>0</v>
      </c>
      <c r="AW221" s="9">
        <f t="shared" si="94"/>
        <v>0</v>
      </c>
      <c r="AX221" s="25">
        <v>0</v>
      </c>
      <c r="AY221" s="9">
        <f t="shared" si="95"/>
        <v>0</v>
      </c>
      <c r="AZ221" s="9">
        <v>0</v>
      </c>
      <c r="BA221" s="25">
        <v>0</v>
      </c>
      <c r="BB221" s="9">
        <f t="shared" si="96"/>
        <v>0</v>
      </c>
      <c r="BC221" s="25">
        <v>0</v>
      </c>
      <c r="BD221" s="9">
        <f t="shared" si="97"/>
        <v>0</v>
      </c>
      <c r="BE221" s="9">
        <v>0</v>
      </c>
      <c r="BF221" s="9">
        <v>0</v>
      </c>
      <c r="BG221" s="9">
        <f t="shared" si="98"/>
        <v>0</v>
      </c>
      <c r="BH221" s="9">
        <v>0</v>
      </c>
      <c r="BI221" s="9">
        <f t="shared" si="99"/>
        <v>0</v>
      </c>
      <c r="BJ221" s="9">
        <v>0</v>
      </c>
      <c r="BK221" s="9">
        <v>0</v>
      </c>
      <c r="BL221" s="9">
        <f t="shared" si="100"/>
        <v>0</v>
      </c>
      <c r="BM221" s="9">
        <v>0</v>
      </c>
      <c r="BN221" s="9">
        <f t="shared" si="101"/>
        <v>0</v>
      </c>
      <c r="BO221" s="9">
        <v>0</v>
      </c>
      <c r="BP221" s="9">
        <v>0</v>
      </c>
      <c r="BQ221" s="9">
        <f t="shared" si="102"/>
        <v>0</v>
      </c>
      <c r="BR221" s="9">
        <v>0</v>
      </c>
      <c r="BS221" s="9">
        <f t="shared" si="103"/>
        <v>0</v>
      </c>
      <c r="BT221" s="9">
        <f t="shared" si="104"/>
        <v>0</v>
      </c>
      <c r="BU221" s="9">
        <f t="shared" si="105"/>
        <v>0</v>
      </c>
      <c r="BV221" s="9">
        <f t="shared" si="106"/>
        <v>167.120135</v>
      </c>
      <c r="BW221">
        <f t="shared" si="107"/>
        <v>167.120135</v>
      </c>
      <c r="BX221">
        <v>0</v>
      </c>
      <c r="BY221">
        <f t="shared" si="108"/>
        <v>842.61407096999994</v>
      </c>
      <c r="BZ221">
        <v>381.90017880000005</v>
      </c>
      <c r="CA221">
        <f t="shared" si="109"/>
        <v>1654.7616862</v>
      </c>
      <c r="CB221">
        <f t="shared" si="110"/>
        <v>3046.39607097</v>
      </c>
      <c r="CC221">
        <v>0</v>
      </c>
      <c r="CD221">
        <v>0</v>
      </c>
      <c r="CE221">
        <f t="shared" si="111"/>
        <v>0</v>
      </c>
      <c r="CF221">
        <f t="shared" si="112"/>
        <v>2203.7820000000002</v>
      </c>
      <c r="CG221">
        <f t="shared" si="113"/>
        <v>1654.7616862</v>
      </c>
      <c r="CH221">
        <f t="shared" si="114"/>
        <v>0</v>
      </c>
      <c r="CJ221" t="s">
        <v>278</v>
      </c>
      <c r="CL221" t="str">
        <f t="shared" si="115"/>
        <v/>
      </c>
    </row>
    <row r="222" spans="1:90" x14ac:dyDescent="0.25">
      <c r="A222" t="s">
        <v>124</v>
      </c>
      <c r="B222" t="s">
        <v>184</v>
      </c>
      <c r="C222" s="1">
        <v>46235</v>
      </c>
      <c r="D222" t="s">
        <v>174</v>
      </c>
      <c r="E222" t="s">
        <v>175</v>
      </c>
      <c r="F222" s="4">
        <v>1</v>
      </c>
      <c r="G222" s="4">
        <v>0.4</v>
      </c>
      <c r="H222" s="9">
        <v>2203.7820000000002</v>
      </c>
      <c r="I222" s="9">
        <v>367.29700000000003</v>
      </c>
      <c r="J222" s="9">
        <f t="shared" si="87"/>
        <v>2571.0790000000002</v>
      </c>
      <c r="K222" s="9">
        <v>0</v>
      </c>
      <c r="L222" s="9">
        <f t="shared" si="88"/>
        <v>0</v>
      </c>
      <c r="M222">
        <v>0</v>
      </c>
      <c r="N222" s="4">
        <f t="shared" si="89"/>
        <v>0</v>
      </c>
      <c r="O222" s="9">
        <v>1574.13</v>
      </c>
      <c r="P222" s="9">
        <v>629.65200000000004</v>
      </c>
      <c r="Q222" s="9">
        <v>0</v>
      </c>
      <c r="R222" s="9">
        <v>0</v>
      </c>
      <c r="S222" s="9">
        <v>0</v>
      </c>
      <c r="T222" s="9">
        <v>0</v>
      </c>
      <c r="U222" s="9">
        <v>0</v>
      </c>
      <c r="V222" s="9">
        <v>0</v>
      </c>
      <c r="W222" s="9">
        <f t="shared" si="90"/>
        <v>2203.7820000000002</v>
      </c>
      <c r="X222" s="9">
        <v>367.29700000000003</v>
      </c>
      <c r="Y222" s="9">
        <v>0</v>
      </c>
      <c r="Z222" s="9">
        <v>2571.0790000000002</v>
      </c>
      <c r="AA222" s="9">
        <v>0</v>
      </c>
      <c r="AB222" s="9">
        <f t="shared" si="91"/>
        <v>2571.0790000000002</v>
      </c>
      <c r="AC222" s="9">
        <v>2571.0790000000002</v>
      </c>
      <c r="AD222" s="9">
        <v>0</v>
      </c>
      <c r="AE222" s="9">
        <v>2203.7820000000002</v>
      </c>
      <c r="AF222" s="9">
        <v>120.84071300000001</v>
      </c>
      <c r="AG222" s="9">
        <v>618.52852487999996</v>
      </c>
      <c r="AH222" s="9">
        <v>39.851724500000003</v>
      </c>
      <c r="AI222" s="9">
        <v>144.1485969</v>
      </c>
      <c r="AJ222" s="9">
        <v>5.2417671600000002</v>
      </c>
      <c r="AK222" s="9">
        <v>2.5710790000000001</v>
      </c>
      <c r="AL222" s="9">
        <v>15.725301480000001</v>
      </c>
      <c r="AM222" s="9">
        <v>3.8566185000000002</v>
      </c>
      <c r="AN222" s="9">
        <v>19.656626850000002</v>
      </c>
      <c r="AO222" s="9">
        <v>39.313253700000004</v>
      </c>
      <c r="AP222" s="9">
        <v>0</v>
      </c>
      <c r="AQ222" s="25">
        <v>0</v>
      </c>
      <c r="AR222" s="9">
        <f t="shared" si="92"/>
        <v>0</v>
      </c>
      <c r="AS222" s="25">
        <v>0</v>
      </c>
      <c r="AT222" s="9">
        <f t="shared" si="93"/>
        <v>0</v>
      </c>
      <c r="AU222" s="9">
        <v>0</v>
      </c>
      <c r="AV222" s="25">
        <v>0</v>
      </c>
      <c r="AW222" s="9">
        <f t="shared" si="94"/>
        <v>0</v>
      </c>
      <c r="AX222" s="25">
        <v>0</v>
      </c>
      <c r="AY222" s="9">
        <f t="shared" si="95"/>
        <v>0</v>
      </c>
      <c r="AZ222" s="9">
        <v>0</v>
      </c>
      <c r="BA222" s="25">
        <v>0</v>
      </c>
      <c r="BB222" s="9">
        <f t="shared" si="96"/>
        <v>0</v>
      </c>
      <c r="BC222" s="25">
        <v>0</v>
      </c>
      <c r="BD222" s="9">
        <f t="shared" si="97"/>
        <v>0</v>
      </c>
      <c r="BE222" s="9">
        <v>0</v>
      </c>
      <c r="BF222" s="9">
        <v>0</v>
      </c>
      <c r="BG222" s="9">
        <f t="shared" si="98"/>
        <v>0</v>
      </c>
      <c r="BH222" s="9">
        <v>0</v>
      </c>
      <c r="BI222" s="9">
        <f t="shared" si="99"/>
        <v>0</v>
      </c>
      <c r="BJ222" s="9">
        <v>0</v>
      </c>
      <c r="BK222" s="9">
        <v>0</v>
      </c>
      <c r="BL222" s="9">
        <f t="shared" si="100"/>
        <v>0</v>
      </c>
      <c r="BM222" s="9">
        <v>0</v>
      </c>
      <c r="BN222" s="9">
        <f t="shared" si="101"/>
        <v>0</v>
      </c>
      <c r="BO222" s="9">
        <v>0</v>
      </c>
      <c r="BP222" s="9">
        <v>0</v>
      </c>
      <c r="BQ222" s="9">
        <f t="shared" si="102"/>
        <v>0</v>
      </c>
      <c r="BR222" s="9">
        <v>0</v>
      </c>
      <c r="BS222" s="9">
        <f t="shared" si="103"/>
        <v>0</v>
      </c>
      <c r="BT222" s="9">
        <f t="shared" si="104"/>
        <v>0</v>
      </c>
      <c r="BU222" s="9">
        <f t="shared" si="105"/>
        <v>0</v>
      </c>
      <c r="BV222" s="9">
        <f t="shared" si="106"/>
        <v>167.120135</v>
      </c>
      <c r="BW222">
        <f t="shared" si="107"/>
        <v>167.120135</v>
      </c>
      <c r="BX222">
        <v>0</v>
      </c>
      <c r="BY222">
        <f t="shared" si="108"/>
        <v>842.61407096999994</v>
      </c>
      <c r="BZ222">
        <v>381.90017880000005</v>
      </c>
      <c r="CA222">
        <f t="shared" si="109"/>
        <v>1654.7616862</v>
      </c>
      <c r="CB222">
        <f t="shared" si="110"/>
        <v>3046.39607097</v>
      </c>
      <c r="CC222">
        <v>0</v>
      </c>
      <c r="CD222">
        <v>0</v>
      </c>
      <c r="CE222">
        <f t="shared" si="111"/>
        <v>0</v>
      </c>
      <c r="CF222">
        <f t="shared" si="112"/>
        <v>2203.7820000000002</v>
      </c>
      <c r="CG222">
        <f t="shared" si="113"/>
        <v>1654.7616862</v>
      </c>
      <c r="CH222">
        <f t="shared" si="114"/>
        <v>0</v>
      </c>
      <c r="CJ222" t="s">
        <v>278</v>
      </c>
      <c r="CL222" t="str">
        <f t="shared" si="115"/>
        <v/>
      </c>
    </row>
    <row r="223" spans="1:90" x14ac:dyDescent="0.25">
      <c r="A223" t="s">
        <v>124</v>
      </c>
      <c r="B223" t="s">
        <v>185</v>
      </c>
      <c r="C223" s="1">
        <v>46266</v>
      </c>
      <c r="D223" t="s">
        <v>174</v>
      </c>
      <c r="E223" t="s">
        <v>175</v>
      </c>
      <c r="F223" s="4">
        <v>1</v>
      </c>
      <c r="G223" s="4">
        <v>0.4</v>
      </c>
      <c r="H223" s="9">
        <v>2203.7820000000002</v>
      </c>
      <c r="I223" s="9">
        <v>367.29700000000003</v>
      </c>
      <c r="J223" s="9">
        <f t="shared" si="87"/>
        <v>2571.0790000000002</v>
      </c>
      <c r="K223" s="9">
        <v>0</v>
      </c>
      <c r="L223" s="9">
        <f t="shared" si="88"/>
        <v>0</v>
      </c>
      <c r="M223">
        <v>0</v>
      </c>
      <c r="N223" s="4">
        <f t="shared" si="89"/>
        <v>0</v>
      </c>
      <c r="O223" s="9">
        <v>1574.13</v>
      </c>
      <c r="P223" s="9">
        <v>629.65200000000004</v>
      </c>
      <c r="Q223" s="9">
        <v>0</v>
      </c>
      <c r="R223" s="9">
        <v>0</v>
      </c>
      <c r="S223" s="9">
        <v>0</v>
      </c>
      <c r="T223" s="9">
        <v>0</v>
      </c>
      <c r="U223" s="9">
        <v>0</v>
      </c>
      <c r="V223" s="9">
        <v>0</v>
      </c>
      <c r="W223" s="9">
        <f t="shared" si="90"/>
        <v>2203.7820000000002</v>
      </c>
      <c r="X223" s="9">
        <v>367.29700000000003</v>
      </c>
      <c r="Y223" s="9">
        <v>0</v>
      </c>
      <c r="Z223" s="9">
        <v>2571.0790000000002</v>
      </c>
      <c r="AA223" s="9">
        <v>0</v>
      </c>
      <c r="AB223" s="9">
        <f t="shared" si="91"/>
        <v>2571.0790000000002</v>
      </c>
      <c r="AC223" s="9">
        <v>2571.0790000000002</v>
      </c>
      <c r="AD223" s="9">
        <v>0</v>
      </c>
      <c r="AE223" s="9">
        <v>2203.7820000000002</v>
      </c>
      <c r="AF223" s="9">
        <v>120.84071300000001</v>
      </c>
      <c r="AG223" s="9">
        <v>618.52852487999996</v>
      </c>
      <c r="AH223" s="9">
        <v>39.851724500000003</v>
      </c>
      <c r="AI223" s="9">
        <v>144.1485969</v>
      </c>
      <c r="AJ223" s="9">
        <v>5.2417671600000002</v>
      </c>
      <c r="AK223" s="9">
        <v>2.5710790000000001</v>
      </c>
      <c r="AL223" s="9">
        <v>15.725301480000001</v>
      </c>
      <c r="AM223" s="9">
        <v>3.8566185000000002</v>
      </c>
      <c r="AN223" s="9">
        <v>19.656626850000002</v>
      </c>
      <c r="AO223" s="9">
        <v>39.313253700000004</v>
      </c>
      <c r="AP223" s="9">
        <v>0</v>
      </c>
      <c r="AQ223" s="25">
        <v>0</v>
      </c>
      <c r="AR223" s="9">
        <f t="shared" si="92"/>
        <v>0</v>
      </c>
      <c r="AS223" s="25">
        <v>0</v>
      </c>
      <c r="AT223" s="9">
        <f t="shared" si="93"/>
        <v>0</v>
      </c>
      <c r="AU223" s="9">
        <v>0</v>
      </c>
      <c r="AV223" s="25">
        <v>0</v>
      </c>
      <c r="AW223" s="9">
        <f t="shared" si="94"/>
        <v>0</v>
      </c>
      <c r="AX223" s="25">
        <v>0</v>
      </c>
      <c r="AY223" s="9">
        <f t="shared" si="95"/>
        <v>0</v>
      </c>
      <c r="AZ223" s="9">
        <v>0</v>
      </c>
      <c r="BA223" s="25">
        <v>0</v>
      </c>
      <c r="BB223" s="9">
        <f t="shared" si="96"/>
        <v>0</v>
      </c>
      <c r="BC223" s="25">
        <v>0</v>
      </c>
      <c r="BD223" s="9">
        <f t="shared" si="97"/>
        <v>0</v>
      </c>
      <c r="BE223" s="9">
        <v>0</v>
      </c>
      <c r="BF223" s="9">
        <v>0</v>
      </c>
      <c r="BG223" s="9">
        <f t="shared" si="98"/>
        <v>0</v>
      </c>
      <c r="BH223" s="9">
        <v>0</v>
      </c>
      <c r="BI223" s="9">
        <f t="shared" si="99"/>
        <v>0</v>
      </c>
      <c r="BJ223" s="9">
        <v>0</v>
      </c>
      <c r="BK223" s="9">
        <v>0</v>
      </c>
      <c r="BL223" s="9">
        <f t="shared" si="100"/>
        <v>0</v>
      </c>
      <c r="BM223" s="9">
        <v>0</v>
      </c>
      <c r="BN223" s="9">
        <f t="shared" si="101"/>
        <v>0</v>
      </c>
      <c r="BO223" s="9">
        <v>0</v>
      </c>
      <c r="BP223" s="9">
        <v>0</v>
      </c>
      <c r="BQ223" s="9">
        <f t="shared" si="102"/>
        <v>0</v>
      </c>
      <c r="BR223" s="9">
        <v>0</v>
      </c>
      <c r="BS223" s="9">
        <f t="shared" si="103"/>
        <v>0</v>
      </c>
      <c r="BT223" s="9">
        <f t="shared" si="104"/>
        <v>0</v>
      </c>
      <c r="BU223" s="9">
        <f t="shared" si="105"/>
        <v>0</v>
      </c>
      <c r="BV223" s="9">
        <f t="shared" si="106"/>
        <v>167.120135</v>
      </c>
      <c r="BW223">
        <f t="shared" si="107"/>
        <v>167.120135</v>
      </c>
      <c r="BX223">
        <v>0</v>
      </c>
      <c r="BY223">
        <f t="shared" si="108"/>
        <v>842.61407096999994</v>
      </c>
      <c r="BZ223">
        <v>381.90017880000005</v>
      </c>
      <c r="CA223">
        <f t="shared" si="109"/>
        <v>1654.7616862</v>
      </c>
      <c r="CB223">
        <f t="shared" si="110"/>
        <v>3046.39607097</v>
      </c>
      <c r="CC223">
        <v>0</v>
      </c>
      <c r="CD223">
        <v>0</v>
      </c>
      <c r="CE223">
        <f t="shared" si="111"/>
        <v>0</v>
      </c>
      <c r="CF223">
        <f t="shared" si="112"/>
        <v>2203.7820000000002</v>
      </c>
      <c r="CG223">
        <f t="shared" si="113"/>
        <v>1654.7616862</v>
      </c>
      <c r="CH223">
        <f t="shared" si="114"/>
        <v>0</v>
      </c>
      <c r="CJ223" t="s">
        <v>278</v>
      </c>
      <c r="CL223" t="str">
        <f t="shared" si="115"/>
        <v/>
      </c>
    </row>
    <row r="224" spans="1:90" x14ac:dyDescent="0.25">
      <c r="A224" t="s">
        <v>124</v>
      </c>
      <c r="B224" t="s">
        <v>186</v>
      </c>
      <c r="C224" s="1">
        <v>46296</v>
      </c>
      <c r="D224" t="s">
        <v>174</v>
      </c>
      <c r="E224" t="s">
        <v>175</v>
      </c>
      <c r="F224" s="4">
        <v>1</v>
      </c>
      <c r="G224" s="4">
        <v>0.4</v>
      </c>
      <c r="H224" s="9">
        <v>2203.7820000000002</v>
      </c>
      <c r="I224" s="9">
        <v>367.29700000000003</v>
      </c>
      <c r="J224" s="9">
        <f t="shared" si="87"/>
        <v>2571.0790000000002</v>
      </c>
      <c r="K224" s="9">
        <v>0</v>
      </c>
      <c r="L224" s="9">
        <f t="shared" si="88"/>
        <v>0</v>
      </c>
      <c r="M224">
        <v>0</v>
      </c>
      <c r="N224" s="4">
        <f t="shared" si="89"/>
        <v>0</v>
      </c>
      <c r="O224" s="9">
        <v>1574.13</v>
      </c>
      <c r="P224" s="9">
        <v>629.65200000000004</v>
      </c>
      <c r="Q224" s="9">
        <v>0</v>
      </c>
      <c r="R224" s="9">
        <v>0</v>
      </c>
      <c r="S224" s="9">
        <v>0</v>
      </c>
      <c r="T224" s="9">
        <v>0</v>
      </c>
      <c r="U224" s="9">
        <v>0</v>
      </c>
      <c r="V224" s="9">
        <v>0</v>
      </c>
      <c r="W224" s="9">
        <f t="shared" si="90"/>
        <v>2203.7820000000002</v>
      </c>
      <c r="X224" s="9">
        <v>367.29700000000003</v>
      </c>
      <c r="Y224" s="9">
        <v>0</v>
      </c>
      <c r="Z224" s="9">
        <v>2571.0790000000002</v>
      </c>
      <c r="AA224" s="9">
        <v>0</v>
      </c>
      <c r="AB224" s="9">
        <f t="shared" si="91"/>
        <v>2571.0790000000002</v>
      </c>
      <c r="AC224" s="9">
        <v>2571.0790000000002</v>
      </c>
      <c r="AD224" s="9">
        <v>0</v>
      </c>
      <c r="AE224" s="9">
        <v>2203.7820000000002</v>
      </c>
      <c r="AF224" s="9">
        <v>120.84071300000001</v>
      </c>
      <c r="AG224" s="9">
        <v>618.52852487999996</v>
      </c>
      <c r="AH224" s="9">
        <v>39.851724500000003</v>
      </c>
      <c r="AI224" s="9">
        <v>144.1485969</v>
      </c>
      <c r="AJ224" s="9">
        <v>5.2417671600000002</v>
      </c>
      <c r="AK224" s="9">
        <v>2.5710790000000001</v>
      </c>
      <c r="AL224" s="9">
        <v>15.725301480000001</v>
      </c>
      <c r="AM224" s="9">
        <v>3.8566185000000002</v>
      </c>
      <c r="AN224" s="9">
        <v>19.656626850000002</v>
      </c>
      <c r="AO224" s="9">
        <v>39.313253700000004</v>
      </c>
      <c r="AP224" s="9">
        <v>0</v>
      </c>
      <c r="AQ224" s="25">
        <v>0</v>
      </c>
      <c r="AR224" s="9">
        <f t="shared" si="92"/>
        <v>0</v>
      </c>
      <c r="AS224" s="25">
        <v>0</v>
      </c>
      <c r="AT224" s="9">
        <f t="shared" si="93"/>
        <v>0</v>
      </c>
      <c r="AU224" s="9">
        <v>0</v>
      </c>
      <c r="AV224" s="25">
        <v>0</v>
      </c>
      <c r="AW224" s="9">
        <f t="shared" si="94"/>
        <v>0</v>
      </c>
      <c r="AX224" s="25">
        <v>0</v>
      </c>
      <c r="AY224" s="9">
        <f t="shared" si="95"/>
        <v>0</v>
      </c>
      <c r="AZ224" s="9">
        <v>0</v>
      </c>
      <c r="BA224" s="25">
        <v>0</v>
      </c>
      <c r="BB224" s="9">
        <f t="shared" si="96"/>
        <v>0</v>
      </c>
      <c r="BC224" s="25">
        <v>0</v>
      </c>
      <c r="BD224" s="9">
        <f t="shared" si="97"/>
        <v>0</v>
      </c>
      <c r="BE224" s="9">
        <v>0</v>
      </c>
      <c r="BF224" s="9">
        <v>0</v>
      </c>
      <c r="BG224" s="9">
        <f t="shared" si="98"/>
        <v>0</v>
      </c>
      <c r="BH224" s="9">
        <v>0</v>
      </c>
      <c r="BI224" s="9">
        <f t="shared" si="99"/>
        <v>0</v>
      </c>
      <c r="BJ224" s="9">
        <v>0</v>
      </c>
      <c r="BK224" s="9">
        <v>0</v>
      </c>
      <c r="BL224" s="9">
        <f t="shared" si="100"/>
        <v>0</v>
      </c>
      <c r="BM224" s="9">
        <v>0</v>
      </c>
      <c r="BN224" s="9">
        <f t="shared" si="101"/>
        <v>0</v>
      </c>
      <c r="BO224" s="9">
        <v>0</v>
      </c>
      <c r="BP224" s="9">
        <v>0</v>
      </c>
      <c r="BQ224" s="9">
        <f t="shared" si="102"/>
        <v>0</v>
      </c>
      <c r="BR224" s="9">
        <v>0</v>
      </c>
      <c r="BS224" s="9">
        <f t="shared" si="103"/>
        <v>0</v>
      </c>
      <c r="BT224" s="9">
        <f t="shared" si="104"/>
        <v>0</v>
      </c>
      <c r="BU224" s="9">
        <f t="shared" si="105"/>
        <v>0</v>
      </c>
      <c r="BV224" s="9">
        <f t="shared" si="106"/>
        <v>167.120135</v>
      </c>
      <c r="BW224">
        <f t="shared" si="107"/>
        <v>167.120135</v>
      </c>
      <c r="BX224">
        <v>0</v>
      </c>
      <c r="BY224">
        <f t="shared" si="108"/>
        <v>842.61407096999994</v>
      </c>
      <c r="BZ224">
        <v>381.90017880000005</v>
      </c>
      <c r="CA224">
        <f t="shared" si="109"/>
        <v>1654.7616862</v>
      </c>
      <c r="CB224">
        <f t="shared" si="110"/>
        <v>3046.39607097</v>
      </c>
      <c r="CC224">
        <v>0</v>
      </c>
      <c r="CD224">
        <v>0</v>
      </c>
      <c r="CE224">
        <f t="shared" si="111"/>
        <v>0</v>
      </c>
      <c r="CF224">
        <f t="shared" si="112"/>
        <v>2203.7820000000002</v>
      </c>
      <c r="CG224">
        <f t="shared" si="113"/>
        <v>1654.7616862</v>
      </c>
      <c r="CH224">
        <f t="shared" si="114"/>
        <v>0</v>
      </c>
      <c r="CJ224" t="s">
        <v>278</v>
      </c>
      <c r="CL224" t="str">
        <f t="shared" si="115"/>
        <v/>
      </c>
    </row>
    <row r="225" spans="1:90" x14ac:dyDescent="0.25">
      <c r="A225" t="s">
        <v>124</v>
      </c>
      <c r="B225" t="s">
        <v>187</v>
      </c>
      <c r="C225" s="1">
        <v>46327</v>
      </c>
      <c r="D225" t="s">
        <v>174</v>
      </c>
      <c r="E225" t="s">
        <v>175</v>
      </c>
      <c r="F225" s="4">
        <v>1</v>
      </c>
      <c r="G225" s="4">
        <v>0.4</v>
      </c>
      <c r="H225" s="9">
        <v>2203.7820000000002</v>
      </c>
      <c r="I225" s="9">
        <v>367.29700000000003</v>
      </c>
      <c r="J225" s="9">
        <f t="shared" si="87"/>
        <v>2571.0790000000002</v>
      </c>
      <c r="K225" s="9">
        <v>0</v>
      </c>
      <c r="L225" s="9">
        <f t="shared" si="88"/>
        <v>0</v>
      </c>
      <c r="M225">
        <v>0</v>
      </c>
      <c r="N225" s="4">
        <f t="shared" si="89"/>
        <v>0</v>
      </c>
      <c r="O225" s="9">
        <v>1574.13</v>
      </c>
      <c r="P225" s="9">
        <v>629.65200000000004</v>
      </c>
      <c r="Q225" s="9">
        <v>0</v>
      </c>
      <c r="R225" s="9">
        <v>0</v>
      </c>
      <c r="S225" s="9">
        <v>0</v>
      </c>
      <c r="T225" s="9">
        <v>0</v>
      </c>
      <c r="U225" s="9">
        <v>0</v>
      </c>
      <c r="V225" s="9">
        <v>0</v>
      </c>
      <c r="W225" s="9">
        <f t="shared" si="90"/>
        <v>2203.7820000000002</v>
      </c>
      <c r="X225" s="9">
        <v>367.29700000000003</v>
      </c>
      <c r="Y225" s="9">
        <v>0</v>
      </c>
      <c r="Z225" s="9">
        <v>2571.0790000000002</v>
      </c>
      <c r="AA225" s="9">
        <v>0</v>
      </c>
      <c r="AB225" s="9">
        <f t="shared" si="91"/>
        <v>2571.0790000000002</v>
      </c>
      <c r="AC225" s="9">
        <v>2571.0790000000002</v>
      </c>
      <c r="AD225" s="9">
        <v>0</v>
      </c>
      <c r="AE225" s="9">
        <v>2203.7820000000002</v>
      </c>
      <c r="AF225" s="9">
        <v>120.84071300000001</v>
      </c>
      <c r="AG225" s="9">
        <v>618.52852487999996</v>
      </c>
      <c r="AH225" s="9">
        <v>39.851724500000003</v>
      </c>
      <c r="AI225" s="9">
        <v>144.1485969</v>
      </c>
      <c r="AJ225" s="9">
        <v>5.2417671600000002</v>
      </c>
      <c r="AK225" s="9">
        <v>2.5710790000000001</v>
      </c>
      <c r="AL225" s="9">
        <v>15.725301480000001</v>
      </c>
      <c r="AM225" s="9">
        <v>3.8566185000000002</v>
      </c>
      <c r="AN225" s="9">
        <v>19.656626850000002</v>
      </c>
      <c r="AO225" s="9">
        <v>39.313253700000004</v>
      </c>
      <c r="AP225" s="9">
        <v>0</v>
      </c>
      <c r="AQ225" s="25">
        <v>0</v>
      </c>
      <c r="AR225" s="9">
        <f t="shared" si="92"/>
        <v>0</v>
      </c>
      <c r="AS225" s="25">
        <v>0</v>
      </c>
      <c r="AT225" s="9">
        <f t="shared" si="93"/>
        <v>0</v>
      </c>
      <c r="AU225" s="9">
        <v>0</v>
      </c>
      <c r="AV225" s="25">
        <v>0</v>
      </c>
      <c r="AW225" s="9">
        <f t="shared" si="94"/>
        <v>0</v>
      </c>
      <c r="AX225" s="25">
        <v>0</v>
      </c>
      <c r="AY225" s="9">
        <f t="shared" si="95"/>
        <v>0</v>
      </c>
      <c r="AZ225" s="9">
        <v>0</v>
      </c>
      <c r="BA225" s="25">
        <v>0</v>
      </c>
      <c r="BB225" s="9">
        <f t="shared" si="96"/>
        <v>0</v>
      </c>
      <c r="BC225" s="25">
        <v>0</v>
      </c>
      <c r="BD225" s="9">
        <f t="shared" si="97"/>
        <v>0</v>
      </c>
      <c r="BE225" s="9">
        <v>0</v>
      </c>
      <c r="BF225" s="9">
        <v>0</v>
      </c>
      <c r="BG225" s="9">
        <f t="shared" si="98"/>
        <v>0</v>
      </c>
      <c r="BH225" s="9">
        <v>0</v>
      </c>
      <c r="BI225" s="9">
        <f t="shared" si="99"/>
        <v>0</v>
      </c>
      <c r="BJ225" s="9">
        <v>0</v>
      </c>
      <c r="BK225" s="9">
        <v>0</v>
      </c>
      <c r="BL225" s="9">
        <f t="shared" si="100"/>
        <v>0</v>
      </c>
      <c r="BM225" s="9">
        <v>0</v>
      </c>
      <c r="BN225" s="9">
        <f t="shared" si="101"/>
        <v>0</v>
      </c>
      <c r="BO225" s="9">
        <v>0</v>
      </c>
      <c r="BP225" s="9">
        <v>0</v>
      </c>
      <c r="BQ225" s="9">
        <f t="shared" si="102"/>
        <v>0</v>
      </c>
      <c r="BR225" s="9">
        <v>0</v>
      </c>
      <c r="BS225" s="9">
        <f t="shared" si="103"/>
        <v>0</v>
      </c>
      <c r="BT225" s="9">
        <f t="shared" si="104"/>
        <v>0</v>
      </c>
      <c r="BU225" s="9">
        <f t="shared" si="105"/>
        <v>0</v>
      </c>
      <c r="BV225" s="9">
        <f t="shared" si="106"/>
        <v>167.120135</v>
      </c>
      <c r="BW225">
        <f t="shared" si="107"/>
        <v>167.120135</v>
      </c>
      <c r="BX225">
        <v>0</v>
      </c>
      <c r="BY225">
        <f t="shared" si="108"/>
        <v>842.61407096999994</v>
      </c>
      <c r="BZ225">
        <v>381.90017880000005</v>
      </c>
      <c r="CA225">
        <f t="shared" si="109"/>
        <v>1654.7616862</v>
      </c>
      <c r="CB225">
        <f t="shared" si="110"/>
        <v>3046.39607097</v>
      </c>
      <c r="CC225">
        <v>0</v>
      </c>
      <c r="CD225">
        <v>0</v>
      </c>
      <c r="CE225">
        <f t="shared" si="111"/>
        <v>0</v>
      </c>
      <c r="CF225">
        <f t="shared" si="112"/>
        <v>2203.7820000000002</v>
      </c>
      <c r="CG225">
        <f t="shared" si="113"/>
        <v>1654.7616862</v>
      </c>
      <c r="CH225">
        <f t="shared" si="114"/>
        <v>0</v>
      </c>
      <c r="CJ225" t="s">
        <v>278</v>
      </c>
      <c r="CL225" t="str">
        <f t="shared" si="115"/>
        <v/>
      </c>
    </row>
    <row r="226" spans="1:90" x14ac:dyDescent="0.25">
      <c r="A226" t="s">
        <v>124</v>
      </c>
      <c r="B226" t="s">
        <v>188</v>
      </c>
      <c r="C226" s="1">
        <v>46357</v>
      </c>
      <c r="D226" t="s">
        <v>182</v>
      </c>
      <c r="E226" t="s">
        <v>175</v>
      </c>
      <c r="F226" s="4">
        <v>1</v>
      </c>
      <c r="G226" s="4">
        <v>0.4</v>
      </c>
      <c r="H226" s="9">
        <v>2203.7820000000002</v>
      </c>
      <c r="I226" s="9">
        <v>367.29700000000003</v>
      </c>
      <c r="J226" s="9">
        <f t="shared" si="87"/>
        <v>2571.0790000000002</v>
      </c>
      <c r="K226" s="9">
        <v>0</v>
      </c>
      <c r="L226" s="9">
        <f t="shared" si="88"/>
        <v>0</v>
      </c>
      <c r="M226">
        <v>0</v>
      </c>
      <c r="N226" s="4">
        <f t="shared" si="89"/>
        <v>0</v>
      </c>
      <c r="O226" s="9">
        <v>1574.13</v>
      </c>
      <c r="P226" s="9">
        <v>629.65200000000004</v>
      </c>
      <c r="Q226" s="9">
        <v>0</v>
      </c>
      <c r="R226" s="9">
        <v>0</v>
      </c>
      <c r="S226" s="9">
        <v>0</v>
      </c>
      <c r="T226" s="9">
        <v>0</v>
      </c>
      <c r="U226" s="9">
        <v>0</v>
      </c>
      <c r="V226" s="9">
        <v>0</v>
      </c>
      <c r="W226" s="9">
        <f t="shared" si="90"/>
        <v>2203.7820000000002</v>
      </c>
      <c r="X226" s="9">
        <v>0</v>
      </c>
      <c r="Y226" s="9">
        <v>0</v>
      </c>
      <c r="Z226" s="9">
        <v>0</v>
      </c>
      <c r="AA226" s="9">
        <v>0</v>
      </c>
      <c r="AB226" s="9">
        <f t="shared" si="91"/>
        <v>0</v>
      </c>
      <c r="AC226" s="9">
        <v>0</v>
      </c>
      <c r="AD226" s="9">
        <v>0</v>
      </c>
      <c r="AE226" s="9">
        <v>2203.7820000000002</v>
      </c>
      <c r="AF226" s="9">
        <v>0</v>
      </c>
      <c r="AG226" s="9">
        <v>0</v>
      </c>
      <c r="AH226" s="9">
        <v>0</v>
      </c>
      <c r="AI226" s="9">
        <v>0</v>
      </c>
      <c r="AJ226" s="9">
        <v>0</v>
      </c>
      <c r="AK226" s="9">
        <v>0</v>
      </c>
      <c r="AL226" s="9">
        <v>0</v>
      </c>
      <c r="AM226" s="9">
        <v>0</v>
      </c>
      <c r="AN226" s="9">
        <v>0</v>
      </c>
      <c r="AO226" s="9">
        <v>0</v>
      </c>
      <c r="AP226" s="9">
        <v>0</v>
      </c>
      <c r="AQ226" s="25">
        <v>0</v>
      </c>
      <c r="AR226" s="9">
        <f t="shared" si="92"/>
        <v>0</v>
      </c>
      <c r="AS226" s="25">
        <v>0</v>
      </c>
      <c r="AT226" s="9">
        <f t="shared" si="93"/>
        <v>0</v>
      </c>
      <c r="AU226" s="9">
        <v>0</v>
      </c>
      <c r="AV226" s="25">
        <v>0</v>
      </c>
      <c r="AW226" s="9">
        <f t="shared" si="94"/>
        <v>0</v>
      </c>
      <c r="AX226" s="25">
        <v>0</v>
      </c>
      <c r="AY226" s="9">
        <f t="shared" si="95"/>
        <v>0</v>
      </c>
      <c r="AZ226" s="9">
        <v>0</v>
      </c>
      <c r="BA226" s="25">
        <v>0</v>
      </c>
      <c r="BB226" s="9">
        <f t="shared" si="96"/>
        <v>0</v>
      </c>
      <c r="BC226" s="25">
        <v>0</v>
      </c>
      <c r="BD226" s="9">
        <f t="shared" si="97"/>
        <v>0</v>
      </c>
      <c r="BE226" s="9">
        <v>0</v>
      </c>
      <c r="BF226" s="9">
        <v>0</v>
      </c>
      <c r="BG226" s="9">
        <f t="shared" si="98"/>
        <v>0</v>
      </c>
      <c r="BH226" s="9">
        <v>0</v>
      </c>
      <c r="BI226" s="9">
        <f t="shared" si="99"/>
        <v>0</v>
      </c>
      <c r="BJ226" s="9">
        <v>0</v>
      </c>
      <c r="BK226" s="9">
        <v>0</v>
      </c>
      <c r="BL226" s="9">
        <f t="shared" si="100"/>
        <v>0</v>
      </c>
      <c r="BM226" s="9">
        <v>0</v>
      </c>
      <c r="BN226" s="9">
        <f t="shared" si="101"/>
        <v>0</v>
      </c>
      <c r="BO226" s="9">
        <v>0</v>
      </c>
      <c r="BP226" s="9">
        <v>0</v>
      </c>
      <c r="BQ226" s="9">
        <f t="shared" si="102"/>
        <v>0</v>
      </c>
      <c r="BR226" s="9">
        <v>0</v>
      </c>
      <c r="BS226" s="9">
        <f t="shared" si="103"/>
        <v>0</v>
      </c>
      <c r="BT226" s="9">
        <f t="shared" si="104"/>
        <v>0</v>
      </c>
      <c r="BU226" s="9">
        <f t="shared" si="105"/>
        <v>0</v>
      </c>
      <c r="BV226" s="9">
        <f t="shared" si="106"/>
        <v>0</v>
      </c>
      <c r="BW226">
        <f t="shared" si="107"/>
        <v>0</v>
      </c>
      <c r="BX226">
        <v>0</v>
      </c>
      <c r="BY226">
        <f t="shared" si="108"/>
        <v>0</v>
      </c>
      <c r="BZ226">
        <v>381.90017880000005</v>
      </c>
      <c r="CA226">
        <f t="shared" si="109"/>
        <v>1821.8818212000001</v>
      </c>
      <c r="CB226">
        <f t="shared" si="110"/>
        <v>2203.7820000000002</v>
      </c>
      <c r="CC226">
        <v>0</v>
      </c>
      <c r="CD226">
        <v>0</v>
      </c>
      <c r="CE226">
        <f t="shared" si="111"/>
        <v>0</v>
      </c>
      <c r="CF226">
        <f t="shared" si="112"/>
        <v>2203.7820000000002</v>
      </c>
      <c r="CG226">
        <f t="shared" si="113"/>
        <v>1821.8818212000001</v>
      </c>
      <c r="CH226">
        <f t="shared" si="114"/>
        <v>0</v>
      </c>
      <c r="CJ226" t="s">
        <v>278</v>
      </c>
      <c r="CL226" t="str">
        <f t="shared" si="115"/>
        <v/>
      </c>
    </row>
    <row r="227" spans="1:90" x14ac:dyDescent="0.25">
      <c r="A227" t="s">
        <v>124</v>
      </c>
      <c r="B227" t="s">
        <v>189</v>
      </c>
      <c r="C227" s="1">
        <v>46357</v>
      </c>
      <c r="D227" t="s">
        <v>174</v>
      </c>
      <c r="E227" t="s">
        <v>175</v>
      </c>
      <c r="F227" s="4">
        <v>1</v>
      </c>
      <c r="G227" s="4">
        <v>0.4</v>
      </c>
      <c r="H227" s="9">
        <v>2203.7820000000002</v>
      </c>
      <c r="I227" s="9">
        <v>367.29700000000003</v>
      </c>
      <c r="J227" s="9">
        <f t="shared" si="87"/>
        <v>2571.0790000000002</v>
      </c>
      <c r="K227" s="9">
        <v>0</v>
      </c>
      <c r="L227" s="9">
        <f t="shared" si="88"/>
        <v>0</v>
      </c>
      <c r="M227">
        <v>0</v>
      </c>
      <c r="N227" s="4">
        <f t="shared" si="89"/>
        <v>0</v>
      </c>
      <c r="O227" s="9">
        <v>1574.13</v>
      </c>
      <c r="P227" s="9">
        <v>629.65200000000004</v>
      </c>
      <c r="Q227" s="9">
        <v>0</v>
      </c>
      <c r="R227" s="9">
        <v>0</v>
      </c>
      <c r="S227" s="9">
        <v>0</v>
      </c>
      <c r="T227" s="9">
        <v>0</v>
      </c>
      <c r="U227" s="9">
        <v>0</v>
      </c>
      <c r="V227" s="9">
        <v>0</v>
      </c>
      <c r="W227" s="9">
        <f t="shared" si="90"/>
        <v>2203.7820000000002</v>
      </c>
      <c r="X227" s="9">
        <v>367.29700000000003</v>
      </c>
      <c r="Y227" s="9">
        <v>0</v>
      </c>
      <c r="Z227" s="9">
        <v>2571.0790000000002</v>
      </c>
      <c r="AA227" s="9">
        <v>0</v>
      </c>
      <c r="AB227" s="9">
        <f t="shared" si="91"/>
        <v>2571.0790000000002</v>
      </c>
      <c r="AC227" s="9">
        <v>2571.0790000000002</v>
      </c>
      <c r="AD227" s="9">
        <v>0</v>
      </c>
      <c r="AE227" s="9">
        <v>2203.7820000000002</v>
      </c>
      <c r="AF227" s="9">
        <v>120.84071300000001</v>
      </c>
      <c r="AG227" s="9">
        <v>618.52852487999996</v>
      </c>
      <c r="AH227" s="9">
        <v>39.851724500000003</v>
      </c>
      <c r="AI227" s="9">
        <v>144.1485969</v>
      </c>
      <c r="AJ227" s="9">
        <v>5.2417671600000002</v>
      </c>
      <c r="AK227" s="9">
        <v>2.5710790000000001</v>
      </c>
      <c r="AL227" s="9">
        <v>15.725301480000001</v>
      </c>
      <c r="AM227" s="9">
        <v>3.8566185000000002</v>
      </c>
      <c r="AN227" s="9">
        <v>19.656626850000002</v>
      </c>
      <c r="AO227" s="9">
        <v>39.313253700000004</v>
      </c>
      <c r="AP227" s="9">
        <v>0</v>
      </c>
      <c r="AQ227" s="25">
        <v>0</v>
      </c>
      <c r="AR227" s="9">
        <f t="shared" si="92"/>
        <v>0</v>
      </c>
      <c r="AS227" s="25">
        <v>0</v>
      </c>
      <c r="AT227" s="9">
        <f t="shared" si="93"/>
        <v>0</v>
      </c>
      <c r="AU227" s="9">
        <v>0</v>
      </c>
      <c r="AV227" s="25">
        <v>0</v>
      </c>
      <c r="AW227" s="9">
        <f t="shared" si="94"/>
        <v>0</v>
      </c>
      <c r="AX227" s="25">
        <v>0</v>
      </c>
      <c r="AY227" s="9">
        <f t="shared" si="95"/>
        <v>0</v>
      </c>
      <c r="AZ227" s="9">
        <v>0</v>
      </c>
      <c r="BA227" s="25">
        <v>0</v>
      </c>
      <c r="BB227" s="9">
        <f t="shared" si="96"/>
        <v>0</v>
      </c>
      <c r="BC227" s="25">
        <v>0</v>
      </c>
      <c r="BD227" s="9">
        <f t="shared" si="97"/>
        <v>0</v>
      </c>
      <c r="BE227" s="9">
        <v>0</v>
      </c>
      <c r="BF227" s="9">
        <v>0</v>
      </c>
      <c r="BG227" s="9">
        <f t="shared" si="98"/>
        <v>0</v>
      </c>
      <c r="BH227" s="9">
        <v>0</v>
      </c>
      <c r="BI227" s="9">
        <f t="shared" si="99"/>
        <v>0</v>
      </c>
      <c r="BJ227" s="9">
        <v>0</v>
      </c>
      <c r="BK227" s="9">
        <v>0</v>
      </c>
      <c r="BL227" s="9">
        <f t="shared" si="100"/>
        <v>0</v>
      </c>
      <c r="BM227" s="9">
        <v>0</v>
      </c>
      <c r="BN227" s="9">
        <f t="shared" si="101"/>
        <v>0</v>
      </c>
      <c r="BO227" s="9">
        <v>0</v>
      </c>
      <c r="BP227" s="9">
        <v>0</v>
      </c>
      <c r="BQ227" s="9">
        <f t="shared" si="102"/>
        <v>0</v>
      </c>
      <c r="BR227" s="9">
        <v>0</v>
      </c>
      <c r="BS227" s="9">
        <f t="shared" si="103"/>
        <v>0</v>
      </c>
      <c r="BT227" s="9">
        <f t="shared" si="104"/>
        <v>0</v>
      </c>
      <c r="BU227" s="9">
        <f t="shared" si="105"/>
        <v>0</v>
      </c>
      <c r="BV227" s="9">
        <f t="shared" si="106"/>
        <v>167.120135</v>
      </c>
      <c r="BW227">
        <f t="shared" si="107"/>
        <v>167.120135</v>
      </c>
      <c r="BX227">
        <v>0</v>
      </c>
      <c r="BY227">
        <f t="shared" si="108"/>
        <v>842.61407096999994</v>
      </c>
      <c r="BZ227">
        <v>381.90017880000005</v>
      </c>
      <c r="CA227">
        <f t="shared" si="109"/>
        <v>1654.7616862</v>
      </c>
      <c r="CB227">
        <f t="shared" si="110"/>
        <v>3046.39607097</v>
      </c>
      <c r="CC227">
        <v>0</v>
      </c>
      <c r="CD227">
        <v>0</v>
      </c>
      <c r="CE227">
        <f t="shared" si="111"/>
        <v>0</v>
      </c>
      <c r="CF227">
        <f t="shared" si="112"/>
        <v>2203.7820000000002</v>
      </c>
      <c r="CG227">
        <f t="shared" si="113"/>
        <v>1654.7616862</v>
      </c>
      <c r="CH227">
        <f t="shared" si="114"/>
        <v>0</v>
      </c>
      <c r="CJ227" t="s">
        <v>278</v>
      </c>
      <c r="CL227" t="str">
        <f t="shared" si="115"/>
        <v/>
      </c>
    </row>
    <row r="228" spans="1:90" x14ac:dyDescent="0.25">
      <c r="A228" t="s">
        <v>126</v>
      </c>
      <c r="B228" t="s">
        <v>173</v>
      </c>
      <c r="C228" s="1">
        <v>46023</v>
      </c>
      <c r="D228" t="s">
        <v>174</v>
      </c>
      <c r="E228" t="s">
        <v>175</v>
      </c>
      <c r="F228" s="4">
        <v>1</v>
      </c>
      <c r="G228" s="4">
        <v>0.15000000000000002</v>
      </c>
      <c r="H228" s="9">
        <v>3898.7759999999994</v>
      </c>
      <c r="I228" s="9">
        <v>649.79599999999982</v>
      </c>
      <c r="J228" s="9">
        <f t="shared" si="87"/>
        <v>4548.5719999999992</v>
      </c>
      <c r="K228" s="9">
        <v>0</v>
      </c>
      <c r="L228" s="9">
        <f t="shared" si="88"/>
        <v>0</v>
      </c>
      <c r="M228">
        <v>0</v>
      </c>
      <c r="N228" s="4">
        <f t="shared" si="89"/>
        <v>0</v>
      </c>
      <c r="O228" s="9">
        <v>3390.24</v>
      </c>
      <c r="P228" s="9">
        <v>508.53600000000006</v>
      </c>
      <c r="Q228" s="9">
        <v>0</v>
      </c>
      <c r="R228" s="9">
        <v>0</v>
      </c>
      <c r="S228" s="9">
        <v>0</v>
      </c>
      <c r="T228" s="9">
        <v>0</v>
      </c>
      <c r="U228" s="9">
        <v>0</v>
      </c>
      <c r="V228" s="9">
        <v>0</v>
      </c>
      <c r="W228" s="9">
        <f t="shared" si="90"/>
        <v>3898.7759999999998</v>
      </c>
      <c r="X228" s="9">
        <v>649.79599999999982</v>
      </c>
      <c r="Y228" s="9">
        <v>0</v>
      </c>
      <c r="Z228" s="9">
        <v>4548.5720000000001</v>
      </c>
      <c r="AA228" s="9">
        <v>0</v>
      </c>
      <c r="AB228" s="9">
        <f t="shared" si="91"/>
        <v>4548.5720000000001</v>
      </c>
      <c r="AC228" s="9">
        <v>4548.5720000000001</v>
      </c>
      <c r="AD228" s="9">
        <v>0</v>
      </c>
      <c r="AE228" s="9">
        <v>3898.7759999999998</v>
      </c>
      <c r="AF228" s="9">
        <v>213.782884</v>
      </c>
      <c r="AG228" s="9">
        <v>1091.7489139199999</v>
      </c>
      <c r="AH228" s="9">
        <v>70.502865999999997</v>
      </c>
      <c r="AI228" s="9">
        <v>254.43300960000002</v>
      </c>
      <c r="AJ228" s="9">
        <v>9.2521094399999999</v>
      </c>
      <c r="AK228" s="9">
        <v>4.5485720000000001</v>
      </c>
      <c r="AL228" s="9">
        <v>27.756328320000001</v>
      </c>
      <c r="AM228" s="9">
        <v>6.8228580000000001</v>
      </c>
      <c r="AN228" s="9">
        <v>34.6954104</v>
      </c>
      <c r="AO228" s="9">
        <v>69.3908208</v>
      </c>
      <c r="AP228" s="9">
        <v>0</v>
      </c>
      <c r="AQ228" s="25">
        <v>0</v>
      </c>
      <c r="AR228" s="9">
        <f t="shared" si="92"/>
        <v>0</v>
      </c>
      <c r="AS228" s="25">
        <v>0</v>
      </c>
      <c r="AT228" s="9">
        <f t="shared" si="93"/>
        <v>0</v>
      </c>
      <c r="AU228" s="9">
        <v>0</v>
      </c>
      <c r="AV228" s="25">
        <v>0</v>
      </c>
      <c r="AW228" s="9">
        <f t="shared" si="94"/>
        <v>0</v>
      </c>
      <c r="AX228" s="25">
        <v>0</v>
      </c>
      <c r="AY228" s="9">
        <f t="shared" si="95"/>
        <v>0</v>
      </c>
      <c r="AZ228" s="9">
        <v>0</v>
      </c>
      <c r="BA228" s="25">
        <v>0</v>
      </c>
      <c r="BB228" s="9">
        <f t="shared" si="96"/>
        <v>0</v>
      </c>
      <c r="BC228" s="25">
        <v>0</v>
      </c>
      <c r="BD228" s="9">
        <f t="shared" si="97"/>
        <v>0</v>
      </c>
      <c r="BE228" s="9">
        <v>0</v>
      </c>
      <c r="BF228" s="9">
        <v>0</v>
      </c>
      <c r="BG228" s="9">
        <f t="shared" si="98"/>
        <v>0</v>
      </c>
      <c r="BH228" s="9">
        <v>0</v>
      </c>
      <c r="BI228" s="9">
        <f t="shared" si="99"/>
        <v>0</v>
      </c>
      <c r="BJ228" s="9">
        <v>0</v>
      </c>
      <c r="BK228" s="9">
        <v>0</v>
      </c>
      <c r="BL228" s="9">
        <f t="shared" si="100"/>
        <v>0</v>
      </c>
      <c r="BM228" s="9">
        <v>0</v>
      </c>
      <c r="BN228" s="9">
        <f t="shared" si="101"/>
        <v>0</v>
      </c>
      <c r="BO228" s="9">
        <v>0</v>
      </c>
      <c r="BP228" s="9">
        <v>0</v>
      </c>
      <c r="BQ228" s="9">
        <f t="shared" si="102"/>
        <v>0</v>
      </c>
      <c r="BR228" s="9">
        <v>0</v>
      </c>
      <c r="BS228" s="9">
        <f t="shared" si="103"/>
        <v>0</v>
      </c>
      <c r="BT228" s="9">
        <f t="shared" si="104"/>
        <v>0</v>
      </c>
      <c r="BU228" s="9">
        <f t="shared" si="105"/>
        <v>0</v>
      </c>
      <c r="BV228" s="9">
        <f t="shared" si="106"/>
        <v>295.65717999999998</v>
      </c>
      <c r="BW228">
        <f t="shared" si="107"/>
        <v>295.65717999999998</v>
      </c>
      <c r="BX228">
        <v>0</v>
      </c>
      <c r="BY228">
        <f t="shared" si="108"/>
        <v>1487.2765924799999</v>
      </c>
      <c r="BZ228">
        <v>936.18130233599993</v>
      </c>
      <c r="CA228">
        <f t="shared" si="109"/>
        <v>2666.9375176639996</v>
      </c>
      <c r="CB228">
        <f t="shared" si="110"/>
        <v>5386.0525924799995</v>
      </c>
      <c r="CC228">
        <v>0</v>
      </c>
      <c r="CD228">
        <v>0</v>
      </c>
      <c r="CE228">
        <f t="shared" si="111"/>
        <v>0</v>
      </c>
      <c r="CF228">
        <f t="shared" si="112"/>
        <v>3898.7759999999998</v>
      </c>
      <c r="CG228">
        <f t="shared" si="113"/>
        <v>2666.9375176639996</v>
      </c>
      <c r="CH228">
        <f t="shared" si="114"/>
        <v>0</v>
      </c>
      <c r="CJ228" t="s">
        <v>278</v>
      </c>
      <c r="CL228" t="str">
        <f t="shared" si="115"/>
        <v/>
      </c>
    </row>
    <row r="229" spans="1:90" x14ac:dyDescent="0.25">
      <c r="A229" t="s">
        <v>126</v>
      </c>
      <c r="B229" t="s">
        <v>176</v>
      </c>
      <c r="C229" s="1">
        <v>46054</v>
      </c>
      <c r="D229" t="s">
        <v>174</v>
      </c>
      <c r="E229" t="s">
        <v>175</v>
      </c>
      <c r="F229" s="4">
        <v>1</v>
      </c>
      <c r="G229" s="4">
        <v>0.2</v>
      </c>
      <c r="H229" s="9">
        <v>4068.2879999999996</v>
      </c>
      <c r="I229" s="9">
        <v>678.04799999999989</v>
      </c>
      <c r="J229" s="9">
        <f t="shared" si="87"/>
        <v>4746.3359999999993</v>
      </c>
      <c r="K229" s="9">
        <v>0</v>
      </c>
      <c r="L229" s="9">
        <f t="shared" si="88"/>
        <v>0</v>
      </c>
      <c r="M229">
        <v>0</v>
      </c>
      <c r="N229" s="4">
        <f t="shared" si="89"/>
        <v>0</v>
      </c>
      <c r="O229" s="9">
        <v>3390.24</v>
      </c>
      <c r="P229" s="9">
        <v>678.048</v>
      </c>
      <c r="Q229" s="9">
        <v>0</v>
      </c>
      <c r="R229" s="9">
        <v>0</v>
      </c>
      <c r="S229" s="9">
        <v>0</v>
      </c>
      <c r="T229" s="9">
        <v>0</v>
      </c>
      <c r="U229" s="9">
        <v>0</v>
      </c>
      <c r="V229" s="9">
        <v>0</v>
      </c>
      <c r="W229" s="9">
        <f t="shared" si="90"/>
        <v>4068.2879999999996</v>
      </c>
      <c r="X229" s="9">
        <v>678.04799999999989</v>
      </c>
      <c r="Y229" s="9">
        <v>0</v>
      </c>
      <c r="Z229" s="9">
        <v>4746.3359999999993</v>
      </c>
      <c r="AA229" s="9">
        <v>0</v>
      </c>
      <c r="AB229" s="9">
        <f t="shared" si="91"/>
        <v>4746.3359999999993</v>
      </c>
      <c r="AC229" s="9">
        <v>4746.3359999999993</v>
      </c>
      <c r="AD229" s="9">
        <v>0</v>
      </c>
      <c r="AE229" s="9">
        <v>4068.2879999999996</v>
      </c>
      <c r="AF229" s="9">
        <v>223.07779199999996</v>
      </c>
      <c r="AG229" s="9">
        <v>1091.7489139199999</v>
      </c>
      <c r="AH229" s="9">
        <v>73.568207999999984</v>
      </c>
      <c r="AI229" s="9">
        <v>254.43300960000002</v>
      </c>
      <c r="AJ229" s="9">
        <v>9.2521094399999999</v>
      </c>
      <c r="AK229" s="9">
        <v>4.7463359999999994</v>
      </c>
      <c r="AL229" s="9">
        <v>27.756328320000001</v>
      </c>
      <c r="AM229" s="9">
        <v>7.1195039999999992</v>
      </c>
      <c r="AN229" s="9">
        <v>34.6954104</v>
      </c>
      <c r="AO229" s="9">
        <v>69.3908208</v>
      </c>
      <c r="AP229" s="9">
        <v>0</v>
      </c>
      <c r="AQ229" s="25">
        <v>0</v>
      </c>
      <c r="AR229" s="9">
        <f t="shared" si="92"/>
        <v>0</v>
      </c>
      <c r="AS229" s="25">
        <v>0</v>
      </c>
      <c r="AT229" s="9">
        <f t="shared" si="93"/>
        <v>0</v>
      </c>
      <c r="AU229" s="9">
        <v>0</v>
      </c>
      <c r="AV229" s="25">
        <v>0</v>
      </c>
      <c r="AW229" s="9">
        <f t="shared" si="94"/>
        <v>0</v>
      </c>
      <c r="AX229" s="25">
        <v>0</v>
      </c>
      <c r="AY229" s="9">
        <f t="shared" si="95"/>
        <v>0</v>
      </c>
      <c r="AZ229" s="9">
        <v>0</v>
      </c>
      <c r="BA229" s="25">
        <v>0</v>
      </c>
      <c r="BB229" s="9">
        <f t="shared" si="96"/>
        <v>0</v>
      </c>
      <c r="BC229" s="25">
        <v>0</v>
      </c>
      <c r="BD229" s="9">
        <f t="shared" si="97"/>
        <v>0</v>
      </c>
      <c r="BE229" s="9">
        <v>0</v>
      </c>
      <c r="BF229" s="9">
        <v>0</v>
      </c>
      <c r="BG229" s="9">
        <f t="shared" si="98"/>
        <v>0</v>
      </c>
      <c r="BH229" s="9">
        <v>0</v>
      </c>
      <c r="BI229" s="9">
        <f t="shared" si="99"/>
        <v>0</v>
      </c>
      <c r="BJ229" s="9">
        <v>0</v>
      </c>
      <c r="BK229" s="9">
        <v>0</v>
      </c>
      <c r="BL229" s="9">
        <f t="shared" si="100"/>
        <v>0</v>
      </c>
      <c r="BM229" s="9">
        <v>0</v>
      </c>
      <c r="BN229" s="9">
        <f t="shared" si="101"/>
        <v>0</v>
      </c>
      <c r="BO229" s="9">
        <v>0</v>
      </c>
      <c r="BP229" s="9">
        <v>0</v>
      </c>
      <c r="BQ229" s="9">
        <f t="shared" si="102"/>
        <v>0</v>
      </c>
      <c r="BR229" s="9">
        <v>0</v>
      </c>
      <c r="BS229" s="9">
        <f t="shared" si="103"/>
        <v>0</v>
      </c>
      <c r="BT229" s="9">
        <f t="shared" si="104"/>
        <v>0</v>
      </c>
      <c r="BU229" s="9">
        <f t="shared" si="105"/>
        <v>0</v>
      </c>
      <c r="BV229" s="9">
        <f t="shared" si="106"/>
        <v>308.51183999999995</v>
      </c>
      <c r="BW229">
        <f t="shared" si="107"/>
        <v>308.51183999999995</v>
      </c>
      <c r="BX229">
        <v>0</v>
      </c>
      <c r="BY229">
        <f t="shared" si="108"/>
        <v>1487.2765924799999</v>
      </c>
      <c r="BZ229">
        <v>936.18130233599993</v>
      </c>
      <c r="CA229">
        <f t="shared" si="109"/>
        <v>2823.5948576639994</v>
      </c>
      <c r="CB229">
        <f t="shared" si="110"/>
        <v>5555.5645924799992</v>
      </c>
      <c r="CC229">
        <v>0</v>
      </c>
      <c r="CD229">
        <v>0</v>
      </c>
      <c r="CE229">
        <f t="shared" si="111"/>
        <v>0</v>
      </c>
      <c r="CF229">
        <f t="shared" si="112"/>
        <v>4068.2879999999996</v>
      </c>
      <c r="CG229">
        <f t="shared" si="113"/>
        <v>2823.5948576639994</v>
      </c>
      <c r="CH229">
        <f t="shared" si="114"/>
        <v>0</v>
      </c>
      <c r="CJ229" t="s">
        <v>278</v>
      </c>
      <c r="CL229" t="str">
        <f t="shared" si="115"/>
        <v/>
      </c>
    </row>
    <row r="230" spans="1:90" x14ac:dyDescent="0.25">
      <c r="A230" t="s">
        <v>126</v>
      </c>
      <c r="B230" t="s">
        <v>177</v>
      </c>
      <c r="C230" s="1">
        <v>46082</v>
      </c>
      <c r="D230" t="s">
        <v>174</v>
      </c>
      <c r="E230" t="s">
        <v>175</v>
      </c>
      <c r="F230" s="4">
        <v>1</v>
      </c>
      <c r="G230" s="4">
        <v>0.2</v>
      </c>
      <c r="H230" s="9">
        <v>4068.2879999999996</v>
      </c>
      <c r="I230" s="9">
        <v>678.04799999999989</v>
      </c>
      <c r="J230" s="9">
        <f t="shared" si="87"/>
        <v>4746.3359999999993</v>
      </c>
      <c r="K230" s="9">
        <v>0</v>
      </c>
      <c r="L230" s="9">
        <f t="shared" si="88"/>
        <v>0</v>
      </c>
      <c r="M230">
        <v>0</v>
      </c>
      <c r="N230" s="4">
        <f t="shared" si="89"/>
        <v>0</v>
      </c>
      <c r="O230" s="9">
        <v>3390.24</v>
      </c>
      <c r="P230" s="9">
        <v>678.048</v>
      </c>
      <c r="Q230" s="9">
        <v>0</v>
      </c>
      <c r="R230" s="9">
        <v>0</v>
      </c>
      <c r="S230" s="9">
        <v>0</v>
      </c>
      <c r="T230" s="9">
        <v>0</v>
      </c>
      <c r="U230" s="9">
        <v>0</v>
      </c>
      <c r="V230" s="9">
        <v>0</v>
      </c>
      <c r="W230" s="9">
        <f t="shared" si="90"/>
        <v>4068.2879999999996</v>
      </c>
      <c r="X230" s="9">
        <v>678.04799999999989</v>
      </c>
      <c r="Y230" s="9">
        <v>0</v>
      </c>
      <c r="Z230" s="9">
        <v>4746.3359999999993</v>
      </c>
      <c r="AA230" s="9">
        <v>0</v>
      </c>
      <c r="AB230" s="9">
        <f t="shared" si="91"/>
        <v>4746.3359999999993</v>
      </c>
      <c r="AC230" s="9">
        <v>4746.3359999999993</v>
      </c>
      <c r="AD230" s="9">
        <v>0</v>
      </c>
      <c r="AE230" s="9">
        <v>4068.2879999999996</v>
      </c>
      <c r="AF230" s="9">
        <v>223.07779199999996</v>
      </c>
      <c r="AG230" s="9">
        <v>1091.7489139199999</v>
      </c>
      <c r="AH230" s="9">
        <v>73.568207999999984</v>
      </c>
      <c r="AI230" s="9">
        <v>254.43300960000002</v>
      </c>
      <c r="AJ230" s="9">
        <v>9.2521094399999999</v>
      </c>
      <c r="AK230" s="9">
        <v>4.7463359999999994</v>
      </c>
      <c r="AL230" s="9">
        <v>27.756328320000001</v>
      </c>
      <c r="AM230" s="9">
        <v>7.1195039999999992</v>
      </c>
      <c r="AN230" s="9">
        <v>34.6954104</v>
      </c>
      <c r="AO230" s="9">
        <v>69.3908208</v>
      </c>
      <c r="AP230" s="9">
        <v>0</v>
      </c>
      <c r="AQ230" s="25">
        <v>0</v>
      </c>
      <c r="AR230" s="9">
        <f t="shared" si="92"/>
        <v>0</v>
      </c>
      <c r="AS230" s="25">
        <v>0</v>
      </c>
      <c r="AT230" s="9">
        <f t="shared" si="93"/>
        <v>0</v>
      </c>
      <c r="AU230" s="9">
        <v>0</v>
      </c>
      <c r="AV230" s="25">
        <v>0</v>
      </c>
      <c r="AW230" s="9">
        <f t="shared" si="94"/>
        <v>0</v>
      </c>
      <c r="AX230" s="25">
        <v>0</v>
      </c>
      <c r="AY230" s="9">
        <f t="shared" si="95"/>
        <v>0</v>
      </c>
      <c r="AZ230" s="9">
        <v>0</v>
      </c>
      <c r="BA230" s="25">
        <v>0</v>
      </c>
      <c r="BB230" s="9">
        <f t="shared" si="96"/>
        <v>0</v>
      </c>
      <c r="BC230" s="25">
        <v>0</v>
      </c>
      <c r="BD230" s="9">
        <f t="shared" si="97"/>
        <v>0</v>
      </c>
      <c r="BE230" s="9">
        <v>0</v>
      </c>
      <c r="BF230" s="9">
        <v>0</v>
      </c>
      <c r="BG230" s="9">
        <f t="shared" si="98"/>
        <v>0</v>
      </c>
      <c r="BH230" s="9">
        <v>0</v>
      </c>
      <c r="BI230" s="9">
        <f t="shared" si="99"/>
        <v>0</v>
      </c>
      <c r="BJ230" s="9">
        <v>0</v>
      </c>
      <c r="BK230" s="9">
        <v>0</v>
      </c>
      <c r="BL230" s="9">
        <f t="shared" si="100"/>
        <v>0</v>
      </c>
      <c r="BM230" s="9">
        <v>0</v>
      </c>
      <c r="BN230" s="9">
        <f t="shared" si="101"/>
        <v>0</v>
      </c>
      <c r="BO230" s="9">
        <v>0</v>
      </c>
      <c r="BP230" s="9">
        <v>0</v>
      </c>
      <c r="BQ230" s="9">
        <f t="shared" si="102"/>
        <v>0</v>
      </c>
      <c r="BR230" s="9">
        <v>0</v>
      </c>
      <c r="BS230" s="9">
        <f t="shared" si="103"/>
        <v>0</v>
      </c>
      <c r="BT230" s="9">
        <f t="shared" si="104"/>
        <v>0</v>
      </c>
      <c r="BU230" s="9">
        <f t="shared" si="105"/>
        <v>0</v>
      </c>
      <c r="BV230" s="9">
        <f t="shared" si="106"/>
        <v>308.51183999999995</v>
      </c>
      <c r="BW230">
        <f t="shared" si="107"/>
        <v>308.51183999999995</v>
      </c>
      <c r="BX230">
        <v>0</v>
      </c>
      <c r="BY230">
        <f t="shared" si="108"/>
        <v>1487.2765924799999</v>
      </c>
      <c r="BZ230">
        <v>936.18130233599993</v>
      </c>
      <c r="CA230">
        <f t="shared" si="109"/>
        <v>2823.5948576639994</v>
      </c>
      <c r="CB230">
        <f t="shared" si="110"/>
        <v>5555.5645924799992</v>
      </c>
      <c r="CC230">
        <v>0</v>
      </c>
      <c r="CD230">
        <v>0</v>
      </c>
      <c r="CE230">
        <f t="shared" si="111"/>
        <v>0</v>
      </c>
      <c r="CF230">
        <f t="shared" si="112"/>
        <v>4068.2879999999996</v>
      </c>
      <c r="CG230">
        <f t="shared" si="113"/>
        <v>2823.5948576639994</v>
      </c>
      <c r="CH230">
        <f t="shared" si="114"/>
        <v>0</v>
      </c>
      <c r="CJ230" t="s">
        <v>278</v>
      </c>
      <c r="CL230" t="str">
        <f t="shared" si="115"/>
        <v/>
      </c>
    </row>
    <row r="231" spans="1:90" x14ac:dyDescent="0.25">
      <c r="A231" t="s">
        <v>126</v>
      </c>
      <c r="B231" t="s">
        <v>178</v>
      </c>
      <c r="C231" s="1">
        <v>46113</v>
      </c>
      <c r="D231" t="s">
        <v>174</v>
      </c>
      <c r="E231" t="s">
        <v>175</v>
      </c>
      <c r="F231" s="4">
        <v>1</v>
      </c>
      <c r="G231" s="4">
        <v>0.2</v>
      </c>
      <c r="H231" s="9">
        <v>4068.2879999999996</v>
      </c>
      <c r="I231" s="9">
        <v>678.04799999999989</v>
      </c>
      <c r="J231" s="9">
        <f t="shared" si="87"/>
        <v>4746.3359999999993</v>
      </c>
      <c r="K231" s="9">
        <v>0</v>
      </c>
      <c r="L231" s="9">
        <f t="shared" si="88"/>
        <v>0</v>
      </c>
      <c r="M231">
        <v>0</v>
      </c>
      <c r="N231" s="4">
        <f t="shared" si="89"/>
        <v>0</v>
      </c>
      <c r="O231" s="9">
        <v>3390.24</v>
      </c>
      <c r="P231" s="9">
        <v>678.048</v>
      </c>
      <c r="Q231" s="9">
        <v>0</v>
      </c>
      <c r="R231" s="9">
        <v>0</v>
      </c>
      <c r="S231" s="9">
        <v>0</v>
      </c>
      <c r="T231" s="9">
        <v>0</v>
      </c>
      <c r="U231" s="9">
        <v>0</v>
      </c>
      <c r="V231" s="9">
        <v>0</v>
      </c>
      <c r="W231" s="9">
        <f t="shared" si="90"/>
        <v>4068.2879999999996</v>
      </c>
      <c r="X231" s="9">
        <v>678.04799999999989</v>
      </c>
      <c r="Y231" s="9">
        <v>0</v>
      </c>
      <c r="Z231" s="9">
        <v>4746.3359999999993</v>
      </c>
      <c r="AA231" s="9">
        <v>0</v>
      </c>
      <c r="AB231" s="9">
        <f t="shared" si="91"/>
        <v>4746.3359999999993</v>
      </c>
      <c r="AC231" s="9">
        <v>4746.3359999999993</v>
      </c>
      <c r="AD231" s="9">
        <v>0</v>
      </c>
      <c r="AE231" s="9">
        <v>4068.2879999999996</v>
      </c>
      <c r="AF231" s="9">
        <v>223.07779199999996</v>
      </c>
      <c r="AG231" s="9">
        <v>1091.7489139199999</v>
      </c>
      <c r="AH231" s="9">
        <v>73.568207999999984</v>
      </c>
      <c r="AI231" s="9">
        <v>254.43300960000002</v>
      </c>
      <c r="AJ231" s="9">
        <v>9.2521094399999999</v>
      </c>
      <c r="AK231" s="9">
        <v>4.7463359999999994</v>
      </c>
      <c r="AL231" s="9">
        <v>27.756328320000001</v>
      </c>
      <c r="AM231" s="9">
        <v>7.1195039999999992</v>
      </c>
      <c r="AN231" s="9">
        <v>34.6954104</v>
      </c>
      <c r="AO231" s="9">
        <v>69.3908208</v>
      </c>
      <c r="AP231" s="9">
        <v>0</v>
      </c>
      <c r="AQ231" s="25">
        <v>0</v>
      </c>
      <c r="AR231" s="9">
        <f t="shared" si="92"/>
        <v>0</v>
      </c>
      <c r="AS231" s="25">
        <v>0</v>
      </c>
      <c r="AT231" s="9">
        <f t="shared" si="93"/>
        <v>0</v>
      </c>
      <c r="AU231" s="9">
        <v>0</v>
      </c>
      <c r="AV231" s="25">
        <v>0</v>
      </c>
      <c r="AW231" s="9">
        <f t="shared" si="94"/>
        <v>0</v>
      </c>
      <c r="AX231" s="25">
        <v>0</v>
      </c>
      <c r="AY231" s="9">
        <f t="shared" si="95"/>
        <v>0</v>
      </c>
      <c r="AZ231" s="9">
        <v>0</v>
      </c>
      <c r="BA231" s="25">
        <v>0</v>
      </c>
      <c r="BB231" s="9">
        <f t="shared" si="96"/>
        <v>0</v>
      </c>
      <c r="BC231" s="25">
        <v>0</v>
      </c>
      <c r="BD231" s="9">
        <f t="shared" si="97"/>
        <v>0</v>
      </c>
      <c r="BE231" s="9">
        <v>0</v>
      </c>
      <c r="BF231" s="9">
        <v>0</v>
      </c>
      <c r="BG231" s="9">
        <f t="shared" si="98"/>
        <v>0</v>
      </c>
      <c r="BH231" s="9">
        <v>0</v>
      </c>
      <c r="BI231" s="9">
        <f t="shared" si="99"/>
        <v>0</v>
      </c>
      <c r="BJ231" s="9">
        <v>0</v>
      </c>
      <c r="BK231" s="9">
        <v>0</v>
      </c>
      <c r="BL231" s="9">
        <f t="shared" si="100"/>
        <v>0</v>
      </c>
      <c r="BM231" s="9">
        <v>0</v>
      </c>
      <c r="BN231" s="9">
        <f t="shared" si="101"/>
        <v>0</v>
      </c>
      <c r="BO231" s="9">
        <v>0</v>
      </c>
      <c r="BP231" s="9">
        <v>0</v>
      </c>
      <c r="BQ231" s="9">
        <f t="shared" si="102"/>
        <v>0</v>
      </c>
      <c r="BR231" s="9">
        <v>0</v>
      </c>
      <c r="BS231" s="9">
        <f t="shared" si="103"/>
        <v>0</v>
      </c>
      <c r="BT231" s="9">
        <f t="shared" si="104"/>
        <v>0</v>
      </c>
      <c r="BU231" s="9">
        <f t="shared" si="105"/>
        <v>0</v>
      </c>
      <c r="BV231" s="9">
        <f t="shared" si="106"/>
        <v>308.51183999999995</v>
      </c>
      <c r="BW231">
        <f t="shared" si="107"/>
        <v>308.51183999999995</v>
      </c>
      <c r="BX231">
        <v>0</v>
      </c>
      <c r="BY231">
        <f t="shared" si="108"/>
        <v>1487.2765924799999</v>
      </c>
      <c r="BZ231">
        <v>936.18130233599993</v>
      </c>
      <c r="CA231">
        <f t="shared" si="109"/>
        <v>2823.5948576639994</v>
      </c>
      <c r="CB231">
        <f t="shared" si="110"/>
        <v>5555.5645924799992</v>
      </c>
      <c r="CC231">
        <v>0</v>
      </c>
      <c r="CD231">
        <v>0</v>
      </c>
      <c r="CE231">
        <f t="shared" si="111"/>
        <v>0</v>
      </c>
      <c r="CF231">
        <f t="shared" si="112"/>
        <v>4068.2879999999996</v>
      </c>
      <c r="CG231">
        <f t="shared" si="113"/>
        <v>2823.5948576639994</v>
      </c>
      <c r="CH231">
        <f t="shared" si="114"/>
        <v>0</v>
      </c>
      <c r="CJ231" t="s">
        <v>278</v>
      </c>
      <c r="CL231" t="str">
        <f t="shared" si="115"/>
        <v/>
      </c>
    </row>
    <row r="232" spans="1:90" x14ac:dyDescent="0.25">
      <c r="A232" t="s">
        <v>126</v>
      </c>
      <c r="B232" t="s">
        <v>179</v>
      </c>
      <c r="C232" s="1">
        <v>46143</v>
      </c>
      <c r="D232" t="s">
        <v>174</v>
      </c>
      <c r="E232" t="s">
        <v>175</v>
      </c>
      <c r="F232" s="4">
        <v>1</v>
      </c>
      <c r="G232" s="4">
        <v>0.2</v>
      </c>
      <c r="H232" s="9">
        <v>4068.2879999999996</v>
      </c>
      <c r="I232" s="9">
        <v>678.04799999999989</v>
      </c>
      <c r="J232" s="9">
        <f t="shared" si="87"/>
        <v>4746.3359999999993</v>
      </c>
      <c r="K232" s="9">
        <v>0</v>
      </c>
      <c r="L232" s="9">
        <f t="shared" si="88"/>
        <v>0</v>
      </c>
      <c r="M232">
        <v>0</v>
      </c>
      <c r="N232" s="4">
        <f t="shared" si="89"/>
        <v>0</v>
      </c>
      <c r="O232" s="9">
        <v>3390.24</v>
      </c>
      <c r="P232" s="9">
        <v>678.048</v>
      </c>
      <c r="Q232" s="9">
        <v>0</v>
      </c>
      <c r="R232" s="9">
        <v>0</v>
      </c>
      <c r="S232" s="9">
        <v>0</v>
      </c>
      <c r="T232" s="9">
        <v>0</v>
      </c>
      <c r="U232" s="9">
        <v>0</v>
      </c>
      <c r="V232" s="9">
        <v>0</v>
      </c>
      <c r="W232" s="9">
        <f t="shared" si="90"/>
        <v>4068.2879999999996</v>
      </c>
      <c r="X232" s="9">
        <v>678.04799999999989</v>
      </c>
      <c r="Y232" s="9">
        <v>0</v>
      </c>
      <c r="Z232" s="9">
        <v>4746.3359999999993</v>
      </c>
      <c r="AA232" s="9">
        <v>0</v>
      </c>
      <c r="AB232" s="9">
        <f t="shared" si="91"/>
        <v>4746.3359999999993</v>
      </c>
      <c r="AC232" s="9">
        <v>4746.3359999999993</v>
      </c>
      <c r="AD232" s="9">
        <v>0</v>
      </c>
      <c r="AE232" s="9">
        <v>4068.2879999999996</v>
      </c>
      <c r="AF232" s="9">
        <v>223.07779199999996</v>
      </c>
      <c r="AG232" s="9">
        <v>1091.7489139199999</v>
      </c>
      <c r="AH232" s="9">
        <v>73.568207999999984</v>
      </c>
      <c r="AI232" s="9">
        <v>254.43300960000002</v>
      </c>
      <c r="AJ232" s="9">
        <v>9.2521094399999999</v>
      </c>
      <c r="AK232" s="9">
        <v>4.7463359999999994</v>
      </c>
      <c r="AL232" s="9">
        <v>27.756328320000001</v>
      </c>
      <c r="AM232" s="9">
        <v>7.1195039999999992</v>
      </c>
      <c r="AN232" s="9">
        <v>34.6954104</v>
      </c>
      <c r="AO232" s="9">
        <v>69.3908208</v>
      </c>
      <c r="AP232" s="9">
        <v>0</v>
      </c>
      <c r="AQ232" s="25">
        <v>0</v>
      </c>
      <c r="AR232" s="9">
        <f t="shared" si="92"/>
        <v>0</v>
      </c>
      <c r="AS232" s="25">
        <v>0</v>
      </c>
      <c r="AT232" s="9">
        <f t="shared" si="93"/>
        <v>0</v>
      </c>
      <c r="AU232" s="9">
        <v>0</v>
      </c>
      <c r="AV232" s="25">
        <v>0</v>
      </c>
      <c r="AW232" s="9">
        <f t="shared" si="94"/>
        <v>0</v>
      </c>
      <c r="AX232" s="25">
        <v>0</v>
      </c>
      <c r="AY232" s="9">
        <f t="shared" si="95"/>
        <v>0</v>
      </c>
      <c r="AZ232" s="9">
        <v>0</v>
      </c>
      <c r="BA232" s="25">
        <v>0</v>
      </c>
      <c r="BB232" s="9">
        <f t="shared" si="96"/>
        <v>0</v>
      </c>
      <c r="BC232" s="25">
        <v>0</v>
      </c>
      <c r="BD232" s="9">
        <f t="shared" si="97"/>
        <v>0</v>
      </c>
      <c r="BE232" s="9">
        <v>0</v>
      </c>
      <c r="BF232" s="9">
        <v>0</v>
      </c>
      <c r="BG232" s="9">
        <f t="shared" si="98"/>
        <v>0</v>
      </c>
      <c r="BH232" s="9">
        <v>0</v>
      </c>
      <c r="BI232" s="9">
        <f t="shared" si="99"/>
        <v>0</v>
      </c>
      <c r="BJ232" s="9">
        <v>0</v>
      </c>
      <c r="BK232" s="9">
        <v>0</v>
      </c>
      <c r="BL232" s="9">
        <f t="shared" si="100"/>
        <v>0</v>
      </c>
      <c r="BM232" s="9">
        <v>0</v>
      </c>
      <c r="BN232" s="9">
        <f t="shared" si="101"/>
        <v>0</v>
      </c>
      <c r="BO232" s="9">
        <v>0</v>
      </c>
      <c r="BP232" s="9">
        <v>0</v>
      </c>
      <c r="BQ232" s="9">
        <f t="shared" si="102"/>
        <v>0</v>
      </c>
      <c r="BR232" s="9">
        <v>0</v>
      </c>
      <c r="BS232" s="9">
        <f t="shared" si="103"/>
        <v>0</v>
      </c>
      <c r="BT232" s="9">
        <f t="shared" si="104"/>
        <v>0</v>
      </c>
      <c r="BU232" s="9">
        <f t="shared" si="105"/>
        <v>0</v>
      </c>
      <c r="BV232" s="9">
        <f t="shared" si="106"/>
        <v>308.51183999999995</v>
      </c>
      <c r="BW232">
        <f t="shared" si="107"/>
        <v>308.51183999999995</v>
      </c>
      <c r="BX232">
        <v>0</v>
      </c>
      <c r="BY232">
        <f t="shared" si="108"/>
        <v>1487.2765924799999</v>
      </c>
      <c r="BZ232">
        <v>936.18130233599993</v>
      </c>
      <c r="CA232">
        <f t="shared" si="109"/>
        <v>2823.5948576639994</v>
      </c>
      <c r="CB232">
        <f t="shared" si="110"/>
        <v>5555.5645924799992</v>
      </c>
      <c r="CC232">
        <v>0</v>
      </c>
      <c r="CD232">
        <v>0</v>
      </c>
      <c r="CE232">
        <f t="shared" si="111"/>
        <v>0</v>
      </c>
      <c r="CF232">
        <f t="shared" si="112"/>
        <v>4068.2879999999996</v>
      </c>
      <c r="CG232">
        <f t="shared" si="113"/>
        <v>2823.5948576639994</v>
      </c>
      <c r="CH232">
        <f t="shared" si="114"/>
        <v>0</v>
      </c>
      <c r="CJ232" t="s">
        <v>278</v>
      </c>
      <c r="CL232" t="str">
        <f t="shared" si="115"/>
        <v/>
      </c>
    </row>
    <row r="233" spans="1:90" x14ac:dyDescent="0.25">
      <c r="A233" t="s">
        <v>126</v>
      </c>
      <c r="B233" t="s">
        <v>180</v>
      </c>
      <c r="C233" s="1">
        <v>46174</v>
      </c>
      <c r="D233" t="s">
        <v>174</v>
      </c>
      <c r="E233" t="s">
        <v>175</v>
      </c>
      <c r="F233" s="4">
        <v>1</v>
      </c>
      <c r="G233" s="4">
        <v>0.2</v>
      </c>
      <c r="H233" s="9">
        <v>4068.2879999999996</v>
      </c>
      <c r="I233" s="9">
        <v>678.04799999999989</v>
      </c>
      <c r="J233" s="9">
        <f t="shared" si="87"/>
        <v>4746.3359999999993</v>
      </c>
      <c r="K233" s="9">
        <v>0</v>
      </c>
      <c r="L233" s="9">
        <f t="shared" si="88"/>
        <v>0</v>
      </c>
      <c r="M233">
        <v>0</v>
      </c>
      <c r="N233" s="4">
        <f t="shared" si="89"/>
        <v>0</v>
      </c>
      <c r="O233" s="9">
        <v>3390.24</v>
      </c>
      <c r="P233" s="9">
        <v>678.048</v>
      </c>
      <c r="Q233" s="9">
        <v>0</v>
      </c>
      <c r="R233" s="9">
        <v>0</v>
      </c>
      <c r="S233" s="9">
        <v>0</v>
      </c>
      <c r="T233" s="9">
        <v>0</v>
      </c>
      <c r="U233" s="9">
        <v>0</v>
      </c>
      <c r="V233" s="9">
        <v>0</v>
      </c>
      <c r="W233" s="9">
        <f t="shared" si="90"/>
        <v>4068.2879999999996</v>
      </c>
      <c r="X233" s="9">
        <v>678.04799999999989</v>
      </c>
      <c r="Y233" s="9">
        <v>0</v>
      </c>
      <c r="Z233" s="9">
        <v>4746.3359999999993</v>
      </c>
      <c r="AA233" s="9">
        <v>0</v>
      </c>
      <c r="AB233" s="9">
        <f t="shared" si="91"/>
        <v>4746.3359999999993</v>
      </c>
      <c r="AC233" s="9">
        <v>4746.3359999999993</v>
      </c>
      <c r="AD233" s="9">
        <v>0</v>
      </c>
      <c r="AE233" s="9">
        <v>4068.2879999999996</v>
      </c>
      <c r="AF233" s="9">
        <v>223.07779199999996</v>
      </c>
      <c r="AG233" s="9">
        <v>1091.7489139199999</v>
      </c>
      <c r="AH233" s="9">
        <v>73.568207999999984</v>
      </c>
      <c r="AI233" s="9">
        <v>254.43300960000002</v>
      </c>
      <c r="AJ233" s="9">
        <v>9.2521094399999999</v>
      </c>
      <c r="AK233" s="9">
        <v>4.7463359999999994</v>
      </c>
      <c r="AL233" s="9">
        <v>27.756328320000001</v>
      </c>
      <c r="AM233" s="9">
        <v>7.1195039999999992</v>
      </c>
      <c r="AN233" s="9">
        <v>34.6954104</v>
      </c>
      <c r="AO233" s="9">
        <v>69.3908208</v>
      </c>
      <c r="AP233" s="9">
        <v>0</v>
      </c>
      <c r="AQ233" s="25">
        <v>0</v>
      </c>
      <c r="AR233" s="9">
        <f t="shared" si="92"/>
        <v>0</v>
      </c>
      <c r="AS233" s="25">
        <v>0</v>
      </c>
      <c r="AT233" s="9">
        <f t="shared" si="93"/>
        <v>0</v>
      </c>
      <c r="AU233" s="9">
        <v>0</v>
      </c>
      <c r="AV233" s="25">
        <v>0</v>
      </c>
      <c r="AW233" s="9">
        <f t="shared" si="94"/>
        <v>0</v>
      </c>
      <c r="AX233" s="25">
        <v>0</v>
      </c>
      <c r="AY233" s="9">
        <f t="shared" si="95"/>
        <v>0</v>
      </c>
      <c r="AZ233" s="9">
        <v>0</v>
      </c>
      <c r="BA233" s="25">
        <v>0</v>
      </c>
      <c r="BB233" s="9">
        <f t="shared" si="96"/>
        <v>0</v>
      </c>
      <c r="BC233" s="25">
        <v>0</v>
      </c>
      <c r="BD233" s="9">
        <f t="shared" si="97"/>
        <v>0</v>
      </c>
      <c r="BE233" s="9">
        <v>0</v>
      </c>
      <c r="BF233" s="9">
        <v>0</v>
      </c>
      <c r="BG233" s="9">
        <f t="shared" si="98"/>
        <v>0</v>
      </c>
      <c r="BH233" s="9">
        <v>0</v>
      </c>
      <c r="BI233" s="9">
        <f t="shared" si="99"/>
        <v>0</v>
      </c>
      <c r="BJ233" s="9">
        <v>0</v>
      </c>
      <c r="BK233" s="9">
        <v>0</v>
      </c>
      <c r="BL233" s="9">
        <f t="shared" si="100"/>
        <v>0</v>
      </c>
      <c r="BM233" s="9">
        <v>0</v>
      </c>
      <c r="BN233" s="9">
        <f t="shared" si="101"/>
        <v>0</v>
      </c>
      <c r="BO233" s="9">
        <v>0</v>
      </c>
      <c r="BP233" s="9">
        <v>0</v>
      </c>
      <c r="BQ233" s="9">
        <f t="shared" si="102"/>
        <v>0</v>
      </c>
      <c r="BR233" s="9">
        <v>0</v>
      </c>
      <c r="BS233" s="9">
        <f t="shared" si="103"/>
        <v>0</v>
      </c>
      <c r="BT233" s="9">
        <f t="shared" si="104"/>
        <v>0</v>
      </c>
      <c r="BU233" s="9">
        <f t="shared" si="105"/>
        <v>0</v>
      </c>
      <c r="BV233" s="9">
        <f t="shared" si="106"/>
        <v>308.51183999999995</v>
      </c>
      <c r="BW233">
        <f t="shared" si="107"/>
        <v>308.51183999999995</v>
      </c>
      <c r="BX233">
        <v>0</v>
      </c>
      <c r="BY233">
        <f t="shared" si="108"/>
        <v>1487.2765924799999</v>
      </c>
      <c r="BZ233">
        <v>936.18130233599993</v>
      </c>
      <c r="CA233">
        <f t="shared" si="109"/>
        <v>2823.5948576639994</v>
      </c>
      <c r="CB233">
        <f t="shared" si="110"/>
        <v>5555.5645924799992</v>
      </c>
      <c r="CC233">
        <v>0</v>
      </c>
      <c r="CD233">
        <v>0</v>
      </c>
      <c r="CE233">
        <f t="shared" si="111"/>
        <v>0</v>
      </c>
      <c r="CF233">
        <f t="shared" si="112"/>
        <v>4068.2879999999996</v>
      </c>
      <c r="CG233">
        <f t="shared" si="113"/>
        <v>2823.5948576639994</v>
      </c>
      <c r="CH233">
        <f t="shared" si="114"/>
        <v>0</v>
      </c>
      <c r="CJ233" t="s">
        <v>278</v>
      </c>
      <c r="CL233" t="str">
        <f t="shared" si="115"/>
        <v/>
      </c>
    </row>
    <row r="234" spans="1:90" x14ac:dyDescent="0.25">
      <c r="A234" t="s">
        <v>126</v>
      </c>
      <c r="B234" t="s">
        <v>181</v>
      </c>
      <c r="C234" s="1">
        <v>46204</v>
      </c>
      <c r="D234" t="s">
        <v>182</v>
      </c>
      <c r="E234" t="s">
        <v>175</v>
      </c>
      <c r="F234" s="4">
        <v>1</v>
      </c>
      <c r="G234" s="4">
        <v>0.2</v>
      </c>
      <c r="H234" s="9">
        <v>4068.2879999999996</v>
      </c>
      <c r="I234" s="9">
        <v>678.04799999999989</v>
      </c>
      <c r="J234" s="9">
        <f t="shared" si="87"/>
        <v>4746.3359999999993</v>
      </c>
      <c r="K234" s="9">
        <v>0</v>
      </c>
      <c r="L234" s="9">
        <f t="shared" si="88"/>
        <v>0</v>
      </c>
      <c r="M234">
        <v>0</v>
      </c>
      <c r="N234" s="4">
        <f t="shared" si="89"/>
        <v>0</v>
      </c>
      <c r="O234" s="9">
        <v>3390.24</v>
      </c>
      <c r="P234" s="9">
        <v>678.048</v>
      </c>
      <c r="Q234" s="9">
        <v>0</v>
      </c>
      <c r="R234" s="9">
        <v>0</v>
      </c>
      <c r="S234" s="9">
        <v>0</v>
      </c>
      <c r="T234" s="9">
        <v>0</v>
      </c>
      <c r="U234" s="9">
        <v>0</v>
      </c>
      <c r="V234" s="9">
        <v>0</v>
      </c>
      <c r="W234" s="9">
        <f t="shared" si="90"/>
        <v>4068.2879999999996</v>
      </c>
      <c r="X234" s="9">
        <v>0</v>
      </c>
      <c r="Y234" s="9">
        <v>0</v>
      </c>
      <c r="Z234" s="9">
        <v>0</v>
      </c>
      <c r="AA234" s="9">
        <v>0</v>
      </c>
      <c r="AB234" s="9">
        <f t="shared" si="91"/>
        <v>0</v>
      </c>
      <c r="AC234" s="9">
        <v>0</v>
      </c>
      <c r="AD234" s="9">
        <v>0</v>
      </c>
      <c r="AE234" s="9">
        <v>4068.2879999999996</v>
      </c>
      <c r="AF234" s="9">
        <v>0</v>
      </c>
      <c r="AG234" s="9">
        <v>0</v>
      </c>
      <c r="AH234" s="9">
        <v>0</v>
      </c>
      <c r="AI234" s="9">
        <v>0</v>
      </c>
      <c r="AJ234" s="9">
        <v>0</v>
      </c>
      <c r="AK234" s="9">
        <v>0</v>
      </c>
      <c r="AL234" s="9">
        <v>0</v>
      </c>
      <c r="AM234" s="9">
        <v>0</v>
      </c>
      <c r="AN234" s="9">
        <v>0</v>
      </c>
      <c r="AO234" s="9">
        <v>0</v>
      </c>
      <c r="AP234" s="9">
        <v>0</v>
      </c>
      <c r="AQ234" s="25">
        <v>0</v>
      </c>
      <c r="AR234" s="9">
        <f t="shared" si="92"/>
        <v>0</v>
      </c>
      <c r="AS234" s="25">
        <v>0</v>
      </c>
      <c r="AT234" s="9">
        <f t="shared" si="93"/>
        <v>0</v>
      </c>
      <c r="AU234" s="9">
        <v>0</v>
      </c>
      <c r="AV234" s="25">
        <v>0</v>
      </c>
      <c r="AW234" s="9">
        <f t="shared" si="94"/>
        <v>0</v>
      </c>
      <c r="AX234" s="25">
        <v>0</v>
      </c>
      <c r="AY234" s="9">
        <f t="shared" si="95"/>
        <v>0</v>
      </c>
      <c r="AZ234" s="9">
        <v>0</v>
      </c>
      <c r="BA234" s="25">
        <v>0</v>
      </c>
      <c r="BB234" s="9">
        <f t="shared" si="96"/>
        <v>0</v>
      </c>
      <c r="BC234" s="25">
        <v>0</v>
      </c>
      <c r="BD234" s="9">
        <f t="shared" si="97"/>
        <v>0</v>
      </c>
      <c r="BE234" s="9">
        <v>0</v>
      </c>
      <c r="BF234" s="9">
        <v>0</v>
      </c>
      <c r="BG234" s="9">
        <f t="shared" si="98"/>
        <v>0</v>
      </c>
      <c r="BH234" s="9">
        <v>0</v>
      </c>
      <c r="BI234" s="9">
        <f t="shared" si="99"/>
        <v>0</v>
      </c>
      <c r="BJ234" s="9">
        <v>0</v>
      </c>
      <c r="BK234" s="9">
        <v>0</v>
      </c>
      <c r="BL234" s="9">
        <f t="shared" si="100"/>
        <v>0</v>
      </c>
      <c r="BM234" s="9">
        <v>0</v>
      </c>
      <c r="BN234" s="9">
        <f t="shared" si="101"/>
        <v>0</v>
      </c>
      <c r="BO234" s="9">
        <v>0</v>
      </c>
      <c r="BP234" s="9">
        <v>0</v>
      </c>
      <c r="BQ234" s="9">
        <f t="shared" si="102"/>
        <v>0</v>
      </c>
      <c r="BR234" s="9">
        <v>0</v>
      </c>
      <c r="BS234" s="9">
        <f t="shared" si="103"/>
        <v>0</v>
      </c>
      <c r="BT234" s="9">
        <f t="shared" si="104"/>
        <v>0</v>
      </c>
      <c r="BU234" s="9">
        <f t="shared" si="105"/>
        <v>0</v>
      </c>
      <c r="BV234" s="9">
        <f t="shared" si="106"/>
        <v>0</v>
      </c>
      <c r="BW234">
        <f t="shared" si="107"/>
        <v>0</v>
      </c>
      <c r="BX234">
        <v>0</v>
      </c>
      <c r="BY234">
        <f t="shared" si="108"/>
        <v>0</v>
      </c>
      <c r="BZ234">
        <v>936.18130233599993</v>
      </c>
      <c r="CA234">
        <f t="shared" si="109"/>
        <v>3132.1066976639995</v>
      </c>
      <c r="CB234">
        <f t="shared" si="110"/>
        <v>4068.2879999999996</v>
      </c>
      <c r="CC234">
        <v>0</v>
      </c>
      <c r="CD234">
        <v>0</v>
      </c>
      <c r="CE234">
        <f t="shared" si="111"/>
        <v>0</v>
      </c>
      <c r="CF234">
        <f t="shared" si="112"/>
        <v>4068.2879999999996</v>
      </c>
      <c r="CG234">
        <f t="shared" si="113"/>
        <v>3132.1066976639995</v>
      </c>
      <c r="CH234">
        <f t="shared" si="114"/>
        <v>0</v>
      </c>
      <c r="CJ234" t="s">
        <v>278</v>
      </c>
      <c r="CL234" t="str">
        <f t="shared" si="115"/>
        <v/>
      </c>
    </row>
    <row r="235" spans="1:90" x14ac:dyDescent="0.25">
      <c r="A235" t="s">
        <v>126</v>
      </c>
      <c r="B235" t="s">
        <v>183</v>
      </c>
      <c r="C235" s="1">
        <v>46204</v>
      </c>
      <c r="D235" t="s">
        <v>174</v>
      </c>
      <c r="E235" t="s">
        <v>175</v>
      </c>
      <c r="F235" s="4">
        <v>1</v>
      </c>
      <c r="G235" s="4">
        <v>0.2</v>
      </c>
      <c r="H235" s="9">
        <v>4068.2879999999996</v>
      </c>
      <c r="I235" s="9">
        <v>678.04799999999989</v>
      </c>
      <c r="J235" s="9">
        <f t="shared" si="87"/>
        <v>4746.3359999999993</v>
      </c>
      <c r="K235" s="9">
        <v>0</v>
      </c>
      <c r="L235" s="9">
        <f t="shared" si="88"/>
        <v>0</v>
      </c>
      <c r="M235">
        <v>0</v>
      </c>
      <c r="N235" s="4">
        <f t="shared" si="89"/>
        <v>0</v>
      </c>
      <c r="O235" s="9">
        <v>3390.24</v>
      </c>
      <c r="P235" s="9">
        <v>678.048</v>
      </c>
      <c r="Q235" s="9">
        <v>0</v>
      </c>
      <c r="R235" s="9">
        <v>0</v>
      </c>
      <c r="S235" s="9">
        <v>0</v>
      </c>
      <c r="T235" s="9">
        <v>0</v>
      </c>
      <c r="U235" s="9">
        <v>0</v>
      </c>
      <c r="V235" s="9">
        <v>0</v>
      </c>
      <c r="W235" s="9">
        <f t="shared" si="90"/>
        <v>4068.2879999999996</v>
      </c>
      <c r="X235" s="9">
        <v>678.04799999999989</v>
      </c>
      <c r="Y235" s="9">
        <v>0</v>
      </c>
      <c r="Z235" s="9">
        <v>4746.3359999999993</v>
      </c>
      <c r="AA235" s="9">
        <v>0</v>
      </c>
      <c r="AB235" s="9">
        <f t="shared" si="91"/>
        <v>4746.3359999999993</v>
      </c>
      <c r="AC235" s="9">
        <v>4746.3359999999993</v>
      </c>
      <c r="AD235" s="9">
        <v>0</v>
      </c>
      <c r="AE235" s="9">
        <v>4068.2879999999996</v>
      </c>
      <c r="AF235" s="9">
        <v>223.07779199999996</v>
      </c>
      <c r="AG235" s="9">
        <v>1091.7489139199999</v>
      </c>
      <c r="AH235" s="9">
        <v>73.568207999999984</v>
      </c>
      <c r="AI235" s="9">
        <v>254.43300960000002</v>
      </c>
      <c r="AJ235" s="9">
        <v>9.2521094399999999</v>
      </c>
      <c r="AK235" s="9">
        <v>4.7463359999999994</v>
      </c>
      <c r="AL235" s="9">
        <v>27.756328320000001</v>
      </c>
      <c r="AM235" s="9">
        <v>7.1195039999999992</v>
      </c>
      <c r="AN235" s="9">
        <v>34.6954104</v>
      </c>
      <c r="AO235" s="9">
        <v>69.3908208</v>
      </c>
      <c r="AP235" s="9">
        <v>0</v>
      </c>
      <c r="AQ235" s="25">
        <v>0</v>
      </c>
      <c r="AR235" s="9">
        <f t="shared" si="92"/>
        <v>0</v>
      </c>
      <c r="AS235" s="25">
        <v>0</v>
      </c>
      <c r="AT235" s="9">
        <f t="shared" si="93"/>
        <v>0</v>
      </c>
      <c r="AU235" s="9">
        <v>0</v>
      </c>
      <c r="AV235" s="25">
        <v>0</v>
      </c>
      <c r="AW235" s="9">
        <f t="shared" si="94"/>
        <v>0</v>
      </c>
      <c r="AX235" s="25">
        <v>0</v>
      </c>
      <c r="AY235" s="9">
        <f t="shared" si="95"/>
        <v>0</v>
      </c>
      <c r="AZ235" s="9">
        <v>0</v>
      </c>
      <c r="BA235" s="25">
        <v>0</v>
      </c>
      <c r="BB235" s="9">
        <f t="shared" si="96"/>
        <v>0</v>
      </c>
      <c r="BC235" s="25">
        <v>0</v>
      </c>
      <c r="BD235" s="9">
        <f t="shared" si="97"/>
        <v>0</v>
      </c>
      <c r="BE235" s="9">
        <v>0</v>
      </c>
      <c r="BF235" s="9">
        <v>0</v>
      </c>
      <c r="BG235" s="9">
        <f t="shared" si="98"/>
        <v>0</v>
      </c>
      <c r="BH235" s="9">
        <v>0</v>
      </c>
      <c r="BI235" s="9">
        <f t="shared" si="99"/>
        <v>0</v>
      </c>
      <c r="BJ235" s="9">
        <v>0</v>
      </c>
      <c r="BK235" s="9">
        <v>0</v>
      </c>
      <c r="BL235" s="9">
        <f t="shared" si="100"/>
        <v>0</v>
      </c>
      <c r="BM235" s="9">
        <v>0</v>
      </c>
      <c r="BN235" s="9">
        <f t="shared" si="101"/>
        <v>0</v>
      </c>
      <c r="BO235" s="9">
        <v>0</v>
      </c>
      <c r="BP235" s="9">
        <v>0</v>
      </c>
      <c r="BQ235" s="9">
        <f t="shared" si="102"/>
        <v>0</v>
      </c>
      <c r="BR235" s="9">
        <v>0</v>
      </c>
      <c r="BS235" s="9">
        <f t="shared" si="103"/>
        <v>0</v>
      </c>
      <c r="BT235" s="9">
        <f t="shared" si="104"/>
        <v>0</v>
      </c>
      <c r="BU235" s="9">
        <f t="shared" si="105"/>
        <v>0</v>
      </c>
      <c r="BV235" s="9">
        <f t="shared" si="106"/>
        <v>308.51183999999995</v>
      </c>
      <c r="BW235">
        <f t="shared" si="107"/>
        <v>308.51183999999995</v>
      </c>
      <c r="BX235">
        <v>0</v>
      </c>
      <c r="BY235">
        <f t="shared" si="108"/>
        <v>1487.2765924799999</v>
      </c>
      <c r="BZ235">
        <v>936.18130233599993</v>
      </c>
      <c r="CA235">
        <f t="shared" si="109"/>
        <v>2823.5948576639994</v>
      </c>
      <c r="CB235">
        <f t="shared" si="110"/>
        <v>5555.5645924799992</v>
      </c>
      <c r="CC235">
        <v>0</v>
      </c>
      <c r="CD235">
        <v>0</v>
      </c>
      <c r="CE235">
        <f t="shared" si="111"/>
        <v>0</v>
      </c>
      <c r="CF235">
        <f t="shared" si="112"/>
        <v>4068.2879999999996</v>
      </c>
      <c r="CG235">
        <f t="shared" si="113"/>
        <v>2823.5948576639994</v>
      </c>
      <c r="CH235">
        <f t="shared" si="114"/>
        <v>0</v>
      </c>
      <c r="CJ235" t="s">
        <v>278</v>
      </c>
      <c r="CL235" t="str">
        <f t="shared" si="115"/>
        <v/>
      </c>
    </row>
    <row r="236" spans="1:90" x14ac:dyDescent="0.25">
      <c r="A236" t="s">
        <v>126</v>
      </c>
      <c r="B236" t="s">
        <v>184</v>
      </c>
      <c r="C236" s="1">
        <v>46235</v>
      </c>
      <c r="D236" t="s">
        <v>174</v>
      </c>
      <c r="E236" t="s">
        <v>175</v>
      </c>
      <c r="F236" s="4">
        <v>1</v>
      </c>
      <c r="G236" s="4">
        <v>0.2</v>
      </c>
      <c r="H236" s="9">
        <v>4068.2879999999996</v>
      </c>
      <c r="I236" s="9">
        <v>678.04799999999989</v>
      </c>
      <c r="J236" s="9">
        <f t="shared" si="87"/>
        <v>4746.3359999999993</v>
      </c>
      <c r="K236" s="9">
        <v>0</v>
      </c>
      <c r="L236" s="9">
        <f t="shared" si="88"/>
        <v>0</v>
      </c>
      <c r="M236">
        <v>0</v>
      </c>
      <c r="N236" s="4">
        <f t="shared" si="89"/>
        <v>0</v>
      </c>
      <c r="O236" s="9">
        <v>3390.24</v>
      </c>
      <c r="P236" s="9">
        <v>678.048</v>
      </c>
      <c r="Q236" s="9">
        <v>0</v>
      </c>
      <c r="R236" s="9">
        <v>0</v>
      </c>
      <c r="S236" s="9">
        <v>0</v>
      </c>
      <c r="T236" s="9">
        <v>0</v>
      </c>
      <c r="U236" s="9">
        <v>0</v>
      </c>
      <c r="V236" s="9">
        <v>0</v>
      </c>
      <c r="W236" s="9">
        <f t="shared" si="90"/>
        <v>4068.2879999999996</v>
      </c>
      <c r="X236" s="9">
        <v>678.04799999999989</v>
      </c>
      <c r="Y236" s="9">
        <v>0</v>
      </c>
      <c r="Z236" s="9">
        <v>4746.3359999999993</v>
      </c>
      <c r="AA236" s="9">
        <v>0</v>
      </c>
      <c r="AB236" s="9">
        <f t="shared" si="91"/>
        <v>4746.3359999999993</v>
      </c>
      <c r="AC236" s="9">
        <v>4746.3359999999993</v>
      </c>
      <c r="AD236" s="9">
        <v>0</v>
      </c>
      <c r="AE236" s="9">
        <v>4068.2879999999996</v>
      </c>
      <c r="AF236" s="9">
        <v>223.07779199999996</v>
      </c>
      <c r="AG236" s="9">
        <v>1091.7489139199999</v>
      </c>
      <c r="AH236" s="9">
        <v>73.568207999999984</v>
      </c>
      <c r="AI236" s="9">
        <v>254.43300960000002</v>
      </c>
      <c r="AJ236" s="9">
        <v>9.2521094399999999</v>
      </c>
      <c r="AK236" s="9">
        <v>4.7463359999999994</v>
      </c>
      <c r="AL236" s="9">
        <v>27.756328320000001</v>
      </c>
      <c r="AM236" s="9">
        <v>7.1195039999999992</v>
      </c>
      <c r="AN236" s="9">
        <v>34.6954104</v>
      </c>
      <c r="AO236" s="9">
        <v>69.3908208</v>
      </c>
      <c r="AP236" s="9">
        <v>0</v>
      </c>
      <c r="AQ236" s="25">
        <v>0</v>
      </c>
      <c r="AR236" s="9">
        <f t="shared" si="92"/>
        <v>0</v>
      </c>
      <c r="AS236" s="25">
        <v>0</v>
      </c>
      <c r="AT236" s="9">
        <f t="shared" si="93"/>
        <v>0</v>
      </c>
      <c r="AU236" s="9">
        <v>0</v>
      </c>
      <c r="AV236" s="25">
        <v>0</v>
      </c>
      <c r="AW236" s="9">
        <f t="shared" si="94"/>
        <v>0</v>
      </c>
      <c r="AX236" s="25">
        <v>0</v>
      </c>
      <c r="AY236" s="9">
        <f t="shared" si="95"/>
        <v>0</v>
      </c>
      <c r="AZ236" s="9">
        <v>0</v>
      </c>
      <c r="BA236" s="25">
        <v>0</v>
      </c>
      <c r="BB236" s="9">
        <f t="shared" si="96"/>
        <v>0</v>
      </c>
      <c r="BC236" s="25">
        <v>0</v>
      </c>
      <c r="BD236" s="9">
        <f t="shared" si="97"/>
        <v>0</v>
      </c>
      <c r="BE236" s="9">
        <v>0</v>
      </c>
      <c r="BF236" s="9">
        <v>0</v>
      </c>
      <c r="BG236" s="9">
        <f t="shared" si="98"/>
        <v>0</v>
      </c>
      <c r="BH236" s="9">
        <v>0</v>
      </c>
      <c r="BI236" s="9">
        <f t="shared" si="99"/>
        <v>0</v>
      </c>
      <c r="BJ236" s="9">
        <v>0</v>
      </c>
      <c r="BK236" s="9">
        <v>0</v>
      </c>
      <c r="BL236" s="9">
        <f t="shared" si="100"/>
        <v>0</v>
      </c>
      <c r="BM236" s="9">
        <v>0</v>
      </c>
      <c r="BN236" s="9">
        <f t="shared" si="101"/>
        <v>0</v>
      </c>
      <c r="BO236" s="9">
        <v>0</v>
      </c>
      <c r="BP236" s="9">
        <v>0</v>
      </c>
      <c r="BQ236" s="9">
        <f t="shared" si="102"/>
        <v>0</v>
      </c>
      <c r="BR236" s="9">
        <v>0</v>
      </c>
      <c r="BS236" s="9">
        <f t="shared" si="103"/>
        <v>0</v>
      </c>
      <c r="BT236" s="9">
        <f t="shared" si="104"/>
        <v>0</v>
      </c>
      <c r="BU236" s="9">
        <f t="shared" si="105"/>
        <v>0</v>
      </c>
      <c r="BV236" s="9">
        <f t="shared" si="106"/>
        <v>308.51183999999995</v>
      </c>
      <c r="BW236">
        <f t="shared" si="107"/>
        <v>308.51183999999995</v>
      </c>
      <c r="BX236">
        <v>0</v>
      </c>
      <c r="BY236">
        <f t="shared" si="108"/>
        <v>1487.2765924799999</v>
      </c>
      <c r="BZ236">
        <v>936.18130233599993</v>
      </c>
      <c r="CA236">
        <f t="shared" si="109"/>
        <v>2823.5948576639994</v>
      </c>
      <c r="CB236">
        <f t="shared" si="110"/>
        <v>5555.5645924799992</v>
      </c>
      <c r="CC236">
        <v>0</v>
      </c>
      <c r="CD236">
        <v>0</v>
      </c>
      <c r="CE236">
        <f t="shared" si="111"/>
        <v>0</v>
      </c>
      <c r="CF236">
        <f t="shared" si="112"/>
        <v>4068.2879999999996</v>
      </c>
      <c r="CG236">
        <f t="shared" si="113"/>
        <v>2823.5948576639994</v>
      </c>
      <c r="CH236">
        <f t="shared" si="114"/>
        <v>0</v>
      </c>
      <c r="CJ236" t="s">
        <v>278</v>
      </c>
      <c r="CL236" t="str">
        <f t="shared" si="115"/>
        <v/>
      </c>
    </row>
    <row r="237" spans="1:90" x14ac:dyDescent="0.25">
      <c r="A237" t="s">
        <v>126</v>
      </c>
      <c r="B237" t="s">
        <v>185</v>
      </c>
      <c r="C237" s="1">
        <v>46266</v>
      </c>
      <c r="D237" t="s">
        <v>174</v>
      </c>
      <c r="E237" t="s">
        <v>175</v>
      </c>
      <c r="F237" s="4">
        <v>1</v>
      </c>
      <c r="G237" s="4">
        <v>0.2</v>
      </c>
      <c r="H237" s="9">
        <v>4068.2879999999996</v>
      </c>
      <c r="I237" s="9">
        <v>678.04799999999989</v>
      </c>
      <c r="J237" s="9">
        <f t="shared" si="87"/>
        <v>4746.3359999999993</v>
      </c>
      <c r="K237" s="9">
        <v>0</v>
      </c>
      <c r="L237" s="9">
        <f t="shared" si="88"/>
        <v>0</v>
      </c>
      <c r="M237">
        <v>0</v>
      </c>
      <c r="N237" s="4">
        <f t="shared" si="89"/>
        <v>0</v>
      </c>
      <c r="O237" s="9">
        <v>3390.24</v>
      </c>
      <c r="P237" s="9">
        <v>678.048</v>
      </c>
      <c r="Q237" s="9">
        <v>0</v>
      </c>
      <c r="R237" s="9">
        <v>0</v>
      </c>
      <c r="S237" s="9">
        <v>0</v>
      </c>
      <c r="T237" s="9">
        <v>0</v>
      </c>
      <c r="U237" s="9">
        <v>0</v>
      </c>
      <c r="V237" s="9">
        <v>0</v>
      </c>
      <c r="W237" s="9">
        <f t="shared" si="90"/>
        <v>4068.2879999999996</v>
      </c>
      <c r="X237" s="9">
        <v>678.04799999999989</v>
      </c>
      <c r="Y237" s="9">
        <v>0</v>
      </c>
      <c r="Z237" s="9">
        <v>4746.3359999999993</v>
      </c>
      <c r="AA237" s="9">
        <v>0</v>
      </c>
      <c r="AB237" s="9">
        <f t="shared" si="91"/>
        <v>4746.3359999999993</v>
      </c>
      <c r="AC237" s="9">
        <v>4746.3359999999993</v>
      </c>
      <c r="AD237" s="9">
        <v>0</v>
      </c>
      <c r="AE237" s="9">
        <v>4068.2879999999996</v>
      </c>
      <c r="AF237" s="9">
        <v>223.07779199999996</v>
      </c>
      <c r="AG237" s="9">
        <v>1091.7489139199999</v>
      </c>
      <c r="AH237" s="9">
        <v>73.568207999999984</v>
      </c>
      <c r="AI237" s="9">
        <v>254.43300960000002</v>
      </c>
      <c r="AJ237" s="9">
        <v>9.2521094399999999</v>
      </c>
      <c r="AK237" s="9">
        <v>4.7463359999999994</v>
      </c>
      <c r="AL237" s="9">
        <v>27.756328320000001</v>
      </c>
      <c r="AM237" s="9">
        <v>7.1195039999999992</v>
      </c>
      <c r="AN237" s="9">
        <v>34.6954104</v>
      </c>
      <c r="AO237" s="9">
        <v>69.3908208</v>
      </c>
      <c r="AP237" s="9">
        <v>0</v>
      </c>
      <c r="AQ237" s="25">
        <v>0</v>
      </c>
      <c r="AR237" s="9">
        <f t="shared" si="92"/>
        <v>0</v>
      </c>
      <c r="AS237" s="25">
        <v>0</v>
      </c>
      <c r="AT237" s="9">
        <f t="shared" si="93"/>
        <v>0</v>
      </c>
      <c r="AU237" s="9">
        <v>0</v>
      </c>
      <c r="AV237" s="25">
        <v>0</v>
      </c>
      <c r="AW237" s="9">
        <f t="shared" si="94"/>
        <v>0</v>
      </c>
      <c r="AX237" s="25">
        <v>0</v>
      </c>
      <c r="AY237" s="9">
        <f t="shared" si="95"/>
        <v>0</v>
      </c>
      <c r="AZ237" s="9">
        <v>0</v>
      </c>
      <c r="BA237" s="25">
        <v>0</v>
      </c>
      <c r="BB237" s="9">
        <f t="shared" si="96"/>
        <v>0</v>
      </c>
      <c r="BC237" s="25">
        <v>0</v>
      </c>
      <c r="BD237" s="9">
        <f t="shared" si="97"/>
        <v>0</v>
      </c>
      <c r="BE237" s="9">
        <v>0</v>
      </c>
      <c r="BF237" s="9">
        <v>0</v>
      </c>
      <c r="BG237" s="9">
        <f t="shared" si="98"/>
        <v>0</v>
      </c>
      <c r="BH237" s="9">
        <v>0</v>
      </c>
      <c r="BI237" s="9">
        <f t="shared" si="99"/>
        <v>0</v>
      </c>
      <c r="BJ237" s="9">
        <v>0</v>
      </c>
      <c r="BK237" s="9">
        <v>0</v>
      </c>
      <c r="BL237" s="9">
        <f t="shared" si="100"/>
        <v>0</v>
      </c>
      <c r="BM237" s="9">
        <v>0</v>
      </c>
      <c r="BN237" s="9">
        <f t="shared" si="101"/>
        <v>0</v>
      </c>
      <c r="BO237" s="9">
        <v>0</v>
      </c>
      <c r="BP237" s="9">
        <v>0</v>
      </c>
      <c r="BQ237" s="9">
        <f t="shared" si="102"/>
        <v>0</v>
      </c>
      <c r="BR237" s="9">
        <v>0</v>
      </c>
      <c r="BS237" s="9">
        <f t="shared" si="103"/>
        <v>0</v>
      </c>
      <c r="BT237" s="9">
        <f t="shared" si="104"/>
        <v>0</v>
      </c>
      <c r="BU237" s="9">
        <f t="shared" si="105"/>
        <v>0</v>
      </c>
      <c r="BV237" s="9">
        <f t="shared" si="106"/>
        <v>308.51183999999995</v>
      </c>
      <c r="BW237">
        <f t="shared" si="107"/>
        <v>308.51183999999995</v>
      </c>
      <c r="BX237">
        <v>0</v>
      </c>
      <c r="BY237">
        <f t="shared" si="108"/>
        <v>1487.2765924799999</v>
      </c>
      <c r="BZ237">
        <v>936.18130233599993</v>
      </c>
      <c r="CA237">
        <f t="shared" si="109"/>
        <v>2823.5948576639994</v>
      </c>
      <c r="CB237">
        <f t="shared" si="110"/>
        <v>5555.5645924799992</v>
      </c>
      <c r="CC237">
        <v>0</v>
      </c>
      <c r="CD237">
        <v>0</v>
      </c>
      <c r="CE237">
        <f t="shared" si="111"/>
        <v>0</v>
      </c>
      <c r="CF237">
        <f t="shared" si="112"/>
        <v>4068.2879999999996</v>
      </c>
      <c r="CG237">
        <f t="shared" si="113"/>
        <v>2823.5948576639994</v>
      </c>
      <c r="CH237">
        <f t="shared" si="114"/>
        <v>0</v>
      </c>
      <c r="CJ237" t="s">
        <v>278</v>
      </c>
      <c r="CL237" t="str">
        <f t="shared" si="115"/>
        <v/>
      </c>
    </row>
    <row r="238" spans="1:90" x14ac:dyDescent="0.25">
      <c r="A238" t="s">
        <v>126</v>
      </c>
      <c r="B238" t="s">
        <v>186</v>
      </c>
      <c r="C238" s="1">
        <v>46296</v>
      </c>
      <c r="D238" t="s">
        <v>174</v>
      </c>
      <c r="E238" t="s">
        <v>175</v>
      </c>
      <c r="F238" s="4">
        <v>1</v>
      </c>
      <c r="G238" s="4">
        <v>0.2</v>
      </c>
      <c r="H238" s="9">
        <v>4068.2879999999996</v>
      </c>
      <c r="I238" s="9">
        <v>678.04799999999989</v>
      </c>
      <c r="J238" s="9">
        <f t="shared" si="87"/>
        <v>4746.3359999999993</v>
      </c>
      <c r="K238" s="9">
        <v>0</v>
      </c>
      <c r="L238" s="9">
        <f t="shared" si="88"/>
        <v>0</v>
      </c>
      <c r="M238">
        <v>0</v>
      </c>
      <c r="N238" s="4">
        <f t="shared" si="89"/>
        <v>0</v>
      </c>
      <c r="O238" s="9">
        <v>3390.24</v>
      </c>
      <c r="P238" s="9">
        <v>678.048</v>
      </c>
      <c r="Q238" s="9">
        <v>0</v>
      </c>
      <c r="R238" s="9">
        <v>0</v>
      </c>
      <c r="S238" s="9">
        <v>0</v>
      </c>
      <c r="T238" s="9">
        <v>0</v>
      </c>
      <c r="U238" s="9">
        <v>0</v>
      </c>
      <c r="V238" s="9">
        <v>0</v>
      </c>
      <c r="W238" s="9">
        <f t="shared" si="90"/>
        <v>4068.2879999999996</v>
      </c>
      <c r="X238" s="9">
        <v>678.04799999999989</v>
      </c>
      <c r="Y238" s="9">
        <v>0</v>
      </c>
      <c r="Z238" s="9">
        <v>4746.3359999999993</v>
      </c>
      <c r="AA238" s="9">
        <v>0</v>
      </c>
      <c r="AB238" s="9">
        <f t="shared" si="91"/>
        <v>4746.3359999999993</v>
      </c>
      <c r="AC238" s="9">
        <v>4746.3359999999993</v>
      </c>
      <c r="AD238" s="9">
        <v>0</v>
      </c>
      <c r="AE238" s="9">
        <v>4068.2879999999996</v>
      </c>
      <c r="AF238" s="9">
        <v>223.07779199999996</v>
      </c>
      <c r="AG238" s="9">
        <v>1091.7489139199999</v>
      </c>
      <c r="AH238" s="9">
        <v>73.568207999999984</v>
      </c>
      <c r="AI238" s="9">
        <v>254.43300960000002</v>
      </c>
      <c r="AJ238" s="9">
        <v>9.2521094399999999</v>
      </c>
      <c r="AK238" s="9">
        <v>4.7463359999999994</v>
      </c>
      <c r="AL238" s="9">
        <v>27.756328320000001</v>
      </c>
      <c r="AM238" s="9">
        <v>7.1195039999999992</v>
      </c>
      <c r="AN238" s="9">
        <v>34.6954104</v>
      </c>
      <c r="AO238" s="9">
        <v>69.3908208</v>
      </c>
      <c r="AP238" s="9">
        <v>0</v>
      </c>
      <c r="AQ238" s="25">
        <v>0</v>
      </c>
      <c r="AR238" s="9">
        <f t="shared" si="92"/>
        <v>0</v>
      </c>
      <c r="AS238" s="25">
        <v>0</v>
      </c>
      <c r="AT238" s="9">
        <f t="shared" si="93"/>
        <v>0</v>
      </c>
      <c r="AU238" s="9">
        <v>0</v>
      </c>
      <c r="AV238" s="25">
        <v>0</v>
      </c>
      <c r="AW238" s="9">
        <f t="shared" si="94"/>
        <v>0</v>
      </c>
      <c r="AX238" s="25">
        <v>0</v>
      </c>
      <c r="AY238" s="9">
        <f t="shared" si="95"/>
        <v>0</v>
      </c>
      <c r="AZ238" s="9">
        <v>0</v>
      </c>
      <c r="BA238" s="25">
        <v>0</v>
      </c>
      <c r="BB238" s="9">
        <f t="shared" si="96"/>
        <v>0</v>
      </c>
      <c r="BC238" s="25">
        <v>0</v>
      </c>
      <c r="BD238" s="9">
        <f t="shared" si="97"/>
        <v>0</v>
      </c>
      <c r="BE238" s="9">
        <v>0</v>
      </c>
      <c r="BF238" s="9">
        <v>0</v>
      </c>
      <c r="BG238" s="9">
        <f t="shared" si="98"/>
        <v>0</v>
      </c>
      <c r="BH238" s="9">
        <v>0</v>
      </c>
      <c r="BI238" s="9">
        <f t="shared" si="99"/>
        <v>0</v>
      </c>
      <c r="BJ238" s="9">
        <v>0</v>
      </c>
      <c r="BK238" s="9">
        <v>0</v>
      </c>
      <c r="BL238" s="9">
        <f t="shared" si="100"/>
        <v>0</v>
      </c>
      <c r="BM238" s="9">
        <v>0</v>
      </c>
      <c r="BN238" s="9">
        <f t="shared" si="101"/>
        <v>0</v>
      </c>
      <c r="BO238" s="9">
        <v>0</v>
      </c>
      <c r="BP238" s="9">
        <v>0</v>
      </c>
      <c r="BQ238" s="9">
        <f t="shared" si="102"/>
        <v>0</v>
      </c>
      <c r="BR238" s="9">
        <v>0</v>
      </c>
      <c r="BS238" s="9">
        <f t="shared" si="103"/>
        <v>0</v>
      </c>
      <c r="BT238" s="9">
        <f t="shared" si="104"/>
        <v>0</v>
      </c>
      <c r="BU238" s="9">
        <f t="shared" si="105"/>
        <v>0</v>
      </c>
      <c r="BV238" s="9">
        <f t="shared" si="106"/>
        <v>308.51183999999995</v>
      </c>
      <c r="BW238">
        <f t="shared" si="107"/>
        <v>308.51183999999995</v>
      </c>
      <c r="BX238">
        <v>0</v>
      </c>
      <c r="BY238">
        <f t="shared" si="108"/>
        <v>1487.2765924799999</v>
      </c>
      <c r="BZ238">
        <v>936.18130233599993</v>
      </c>
      <c r="CA238">
        <f t="shared" si="109"/>
        <v>2823.5948576639994</v>
      </c>
      <c r="CB238">
        <f t="shared" si="110"/>
        <v>5555.5645924799992</v>
      </c>
      <c r="CC238">
        <v>0</v>
      </c>
      <c r="CD238">
        <v>0</v>
      </c>
      <c r="CE238">
        <f t="shared" si="111"/>
        <v>0</v>
      </c>
      <c r="CF238">
        <f t="shared" si="112"/>
        <v>4068.2879999999996</v>
      </c>
      <c r="CG238">
        <f t="shared" si="113"/>
        <v>2823.5948576639994</v>
      </c>
      <c r="CH238">
        <f t="shared" si="114"/>
        <v>0</v>
      </c>
      <c r="CJ238" t="s">
        <v>278</v>
      </c>
      <c r="CL238" t="str">
        <f t="shared" si="115"/>
        <v/>
      </c>
    </row>
    <row r="239" spans="1:90" x14ac:dyDescent="0.25">
      <c r="A239" t="s">
        <v>126</v>
      </c>
      <c r="B239" t="s">
        <v>187</v>
      </c>
      <c r="C239" s="1">
        <v>46327</v>
      </c>
      <c r="D239" t="s">
        <v>174</v>
      </c>
      <c r="E239" t="s">
        <v>175</v>
      </c>
      <c r="F239" s="4">
        <v>1</v>
      </c>
      <c r="G239" s="4">
        <v>0.2</v>
      </c>
      <c r="H239" s="9">
        <v>4068.2879999999996</v>
      </c>
      <c r="I239" s="9">
        <v>678.04799999999989</v>
      </c>
      <c r="J239" s="9">
        <f t="shared" si="87"/>
        <v>4746.3359999999993</v>
      </c>
      <c r="K239" s="9">
        <v>0</v>
      </c>
      <c r="L239" s="9">
        <f t="shared" si="88"/>
        <v>0</v>
      </c>
      <c r="M239">
        <v>0</v>
      </c>
      <c r="N239" s="4">
        <f t="shared" si="89"/>
        <v>0</v>
      </c>
      <c r="O239" s="9">
        <v>3390.24</v>
      </c>
      <c r="P239" s="9">
        <v>678.048</v>
      </c>
      <c r="Q239" s="9">
        <v>0</v>
      </c>
      <c r="R239" s="9">
        <v>0</v>
      </c>
      <c r="S239" s="9">
        <v>0</v>
      </c>
      <c r="T239" s="9">
        <v>0</v>
      </c>
      <c r="U239" s="9">
        <v>0</v>
      </c>
      <c r="V239" s="9">
        <v>0</v>
      </c>
      <c r="W239" s="9">
        <f t="shared" si="90"/>
        <v>4068.2879999999996</v>
      </c>
      <c r="X239" s="9">
        <v>678.04799999999989</v>
      </c>
      <c r="Y239" s="9">
        <v>0</v>
      </c>
      <c r="Z239" s="9">
        <v>4746.3359999999993</v>
      </c>
      <c r="AA239" s="9">
        <v>0</v>
      </c>
      <c r="AB239" s="9">
        <f t="shared" si="91"/>
        <v>4746.3359999999993</v>
      </c>
      <c r="AC239" s="9">
        <v>4746.3359999999993</v>
      </c>
      <c r="AD239" s="9">
        <v>0</v>
      </c>
      <c r="AE239" s="9">
        <v>4068.2879999999996</v>
      </c>
      <c r="AF239" s="9">
        <v>223.07779199999996</v>
      </c>
      <c r="AG239" s="9">
        <v>1091.7489139199999</v>
      </c>
      <c r="AH239" s="9">
        <v>73.568207999999984</v>
      </c>
      <c r="AI239" s="9">
        <v>254.43300960000002</v>
      </c>
      <c r="AJ239" s="9">
        <v>9.2521094399999999</v>
      </c>
      <c r="AK239" s="9">
        <v>4.7463359999999994</v>
      </c>
      <c r="AL239" s="9">
        <v>27.756328320000001</v>
      </c>
      <c r="AM239" s="9">
        <v>7.1195039999999992</v>
      </c>
      <c r="AN239" s="9">
        <v>34.6954104</v>
      </c>
      <c r="AO239" s="9">
        <v>69.3908208</v>
      </c>
      <c r="AP239" s="9">
        <v>0</v>
      </c>
      <c r="AQ239" s="25">
        <v>0</v>
      </c>
      <c r="AR239" s="9">
        <f t="shared" si="92"/>
        <v>0</v>
      </c>
      <c r="AS239" s="25">
        <v>0</v>
      </c>
      <c r="AT239" s="9">
        <f t="shared" si="93"/>
        <v>0</v>
      </c>
      <c r="AU239" s="9">
        <v>0</v>
      </c>
      <c r="AV239" s="25">
        <v>0</v>
      </c>
      <c r="AW239" s="9">
        <f t="shared" si="94"/>
        <v>0</v>
      </c>
      <c r="AX239" s="25">
        <v>0</v>
      </c>
      <c r="AY239" s="9">
        <f t="shared" si="95"/>
        <v>0</v>
      </c>
      <c r="AZ239" s="9">
        <v>0</v>
      </c>
      <c r="BA239" s="25">
        <v>0</v>
      </c>
      <c r="BB239" s="9">
        <f t="shared" si="96"/>
        <v>0</v>
      </c>
      <c r="BC239" s="25">
        <v>0</v>
      </c>
      <c r="BD239" s="9">
        <f t="shared" si="97"/>
        <v>0</v>
      </c>
      <c r="BE239" s="9">
        <v>0</v>
      </c>
      <c r="BF239" s="9">
        <v>0</v>
      </c>
      <c r="BG239" s="9">
        <f t="shared" si="98"/>
        <v>0</v>
      </c>
      <c r="BH239" s="9">
        <v>0</v>
      </c>
      <c r="BI239" s="9">
        <f t="shared" si="99"/>
        <v>0</v>
      </c>
      <c r="BJ239" s="9">
        <v>0</v>
      </c>
      <c r="BK239" s="9">
        <v>0</v>
      </c>
      <c r="BL239" s="9">
        <f t="shared" si="100"/>
        <v>0</v>
      </c>
      <c r="BM239" s="9">
        <v>0</v>
      </c>
      <c r="BN239" s="9">
        <f t="shared" si="101"/>
        <v>0</v>
      </c>
      <c r="BO239" s="9">
        <v>0</v>
      </c>
      <c r="BP239" s="9">
        <v>0</v>
      </c>
      <c r="BQ239" s="9">
        <f t="shared" si="102"/>
        <v>0</v>
      </c>
      <c r="BR239" s="9">
        <v>0</v>
      </c>
      <c r="BS239" s="9">
        <f t="shared" si="103"/>
        <v>0</v>
      </c>
      <c r="BT239" s="9">
        <f t="shared" si="104"/>
        <v>0</v>
      </c>
      <c r="BU239" s="9">
        <f t="shared" si="105"/>
        <v>0</v>
      </c>
      <c r="BV239" s="9">
        <f t="shared" si="106"/>
        <v>308.51183999999995</v>
      </c>
      <c r="BW239">
        <f t="shared" si="107"/>
        <v>308.51183999999995</v>
      </c>
      <c r="BX239">
        <v>0</v>
      </c>
      <c r="BY239">
        <f t="shared" si="108"/>
        <v>1487.2765924799999</v>
      </c>
      <c r="BZ239">
        <v>936.18130233599993</v>
      </c>
      <c r="CA239">
        <f t="shared" si="109"/>
        <v>2823.5948576639994</v>
      </c>
      <c r="CB239">
        <f t="shared" si="110"/>
        <v>5555.5645924799992</v>
      </c>
      <c r="CC239">
        <v>0</v>
      </c>
      <c r="CD239">
        <v>0</v>
      </c>
      <c r="CE239">
        <f t="shared" si="111"/>
        <v>0</v>
      </c>
      <c r="CF239">
        <f t="shared" si="112"/>
        <v>4068.2879999999996</v>
      </c>
      <c r="CG239">
        <f t="shared" si="113"/>
        <v>2823.5948576639994</v>
      </c>
      <c r="CH239">
        <f t="shared" si="114"/>
        <v>0</v>
      </c>
      <c r="CJ239" t="s">
        <v>278</v>
      </c>
      <c r="CL239" t="str">
        <f t="shared" si="115"/>
        <v/>
      </c>
    </row>
    <row r="240" spans="1:90" x14ac:dyDescent="0.25">
      <c r="A240" t="s">
        <v>126</v>
      </c>
      <c r="B240" t="s">
        <v>188</v>
      </c>
      <c r="C240" s="1">
        <v>46357</v>
      </c>
      <c r="D240" t="s">
        <v>182</v>
      </c>
      <c r="E240" t="s">
        <v>175</v>
      </c>
      <c r="F240" s="4">
        <v>1</v>
      </c>
      <c r="G240" s="4">
        <v>0.2</v>
      </c>
      <c r="H240" s="9">
        <v>4068.2879999999996</v>
      </c>
      <c r="I240" s="9">
        <v>678.04799999999989</v>
      </c>
      <c r="J240" s="9">
        <f t="shared" si="87"/>
        <v>4746.3359999999993</v>
      </c>
      <c r="K240" s="9">
        <v>0</v>
      </c>
      <c r="L240" s="9">
        <f t="shared" si="88"/>
        <v>0</v>
      </c>
      <c r="M240">
        <v>0</v>
      </c>
      <c r="N240" s="4">
        <f t="shared" si="89"/>
        <v>0</v>
      </c>
      <c r="O240" s="9">
        <v>3390.24</v>
      </c>
      <c r="P240" s="9">
        <v>678.048</v>
      </c>
      <c r="Q240" s="9">
        <v>0</v>
      </c>
      <c r="R240" s="9">
        <v>0</v>
      </c>
      <c r="S240" s="9">
        <v>0</v>
      </c>
      <c r="T240" s="9">
        <v>0</v>
      </c>
      <c r="U240" s="9">
        <v>0</v>
      </c>
      <c r="V240" s="9">
        <v>0</v>
      </c>
      <c r="W240" s="9">
        <f t="shared" si="90"/>
        <v>4068.2879999999996</v>
      </c>
      <c r="X240" s="9">
        <v>0</v>
      </c>
      <c r="Y240" s="9">
        <v>0</v>
      </c>
      <c r="Z240" s="9">
        <v>0</v>
      </c>
      <c r="AA240" s="9">
        <v>0</v>
      </c>
      <c r="AB240" s="9">
        <f t="shared" si="91"/>
        <v>0</v>
      </c>
      <c r="AC240" s="9">
        <v>0</v>
      </c>
      <c r="AD240" s="9">
        <v>0</v>
      </c>
      <c r="AE240" s="9">
        <v>4068.2879999999996</v>
      </c>
      <c r="AF240" s="9">
        <v>0</v>
      </c>
      <c r="AG240" s="9">
        <v>0</v>
      </c>
      <c r="AH240" s="9">
        <v>0</v>
      </c>
      <c r="AI240" s="9">
        <v>0</v>
      </c>
      <c r="AJ240" s="9">
        <v>0</v>
      </c>
      <c r="AK240" s="9">
        <v>0</v>
      </c>
      <c r="AL240" s="9">
        <v>0</v>
      </c>
      <c r="AM240" s="9">
        <v>0</v>
      </c>
      <c r="AN240" s="9">
        <v>0</v>
      </c>
      <c r="AO240" s="9">
        <v>0</v>
      </c>
      <c r="AP240" s="9">
        <v>0</v>
      </c>
      <c r="AQ240" s="25">
        <v>0</v>
      </c>
      <c r="AR240" s="9">
        <f t="shared" si="92"/>
        <v>0</v>
      </c>
      <c r="AS240" s="25">
        <v>0</v>
      </c>
      <c r="AT240" s="9">
        <f t="shared" si="93"/>
        <v>0</v>
      </c>
      <c r="AU240" s="9">
        <v>0</v>
      </c>
      <c r="AV240" s="25">
        <v>0</v>
      </c>
      <c r="AW240" s="9">
        <f t="shared" si="94"/>
        <v>0</v>
      </c>
      <c r="AX240" s="25">
        <v>0</v>
      </c>
      <c r="AY240" s="9">
        <f t="shared" si="95"/>
        <v>0</v>
      </c>
      <c r="AZ240" s="9">
        <v>0</v>
      </c>
      <c r="BA240" s="25">
        <v>0</v>
      </c>
      <c r="BB240" s="9">
        <f t="shared" si="96"/>
        <v>0</v>
      </c>
      <c r="BC240" s="25">
        <v>0</v>
      </c>
      <c r="BD240" s="9">
        <f t="shared" si="97"/>
        <v>0</v>
      </c>
      <c r="BE240" s="9">
        <v>0</v>
      </c>
      <c r="BF240" s="9">
        <v>0</v>
      </c>
      <c r="BG240" s="9">
        <f t="shared" si="98"/>
        <v>0</v>
      </c>
      <c r="BH240" s="9">
        <v>0</v>
      </c>
      <c r="BI240" s="9">
        <f t="shared" si="99"/>
        <v>0</v>
      </c>
      <c r="BJ240" s="9">
        <v>0</v>
      </c>
      <c r="BK240" s="9">
        <v>0</v>
      </c>
      <c r="BL240" s="9">
        <f t="shared" si="100"/>
        <v>0</v>
      </c>
      <c r="BM240" s="9">
        <v>0</v>
      </c>
      <c r="BN240" s="9">
        <f t="shared" si="101"/>
        <v>0</v>
      </c>
      <c r="BO240" s="9">
        <v>0</v>
      </c>
      <c r="BP240" s="9">
        <v>0</v>
      </c>
      <c r="BQ240" s="9">
        <f t="shared" si="102"/>
        <v>0</v>
      </c>
      <c r="BR240" s="9">
        <v>0</v>
      </c>
      <c r="BS240" s="9">
        <f t="shared" si="103"/>
        <v>0</v>
      </c>
      <c r="BT240" s="9">
        <f t="shared" si="104"/>
        <v>0</v>
      </c>
      <c r="BU240" s="9">
        <f t="shared" si="105"/>
        <v>0</v>
      </c>
      <c r="BV240" s="9">
        <f t="shared" si="106"/>
        <v>0</v>
      </c>
      <c r="BW240">
        <f t="shared" si="107"/>
        <v>0</v>
      </c>
      <c r="BX240">
        <v>0</v>
      </c>
      <c r="BY240">
        <f t="shared" si="108"/>
        <v>0</v>
      </c>
      <c r="BZ240">
        <v>936.18130233599993</v>
      </c>
      <c r="CA240">
        <f t="shared" si="109"/>
        <v>3132.1066976639995</v>
      </c>
      <c r="CB240">
        <f t="shared" si="110"/>
        <v>4068.2879999999996</v>
      </c>
      <c r="CC240">
        <v>0</v>
      </c>
      <c r="CD240">
        <v>0</v>
      </c>
      <c r="CE240">
        <f t="shared" si="111"/>
        <v>0</v>
      </c>
      <c r="CF240">
        <f t="shared" si="112"/>
        <v>4068.2879999999996</v>
      </c>
      <c r="CG240">
        <f t="shared" si="113"/>
        <v>3132.1066976639995</v>
      </c>
      <c r="CH240">
        <f t="shared" si="114"/>
        <v>0</v>
      </c>
      <c r="CJ240" t="s">
        <v>278</v>
      </c>
      <c r="CL240" t="str">
        <f t="shared" si="115"/>
        <v/>
      </c>
    </row>
    <row r="241" spans="1:90" x14ac:dyDescent="0.25">
      <c r="A241" t="s">
        <v>126</v>
      </c>
      <c r="B241" t="s">
        <v>189</v>
      </c>
      <c r="C241" s="1">
        <v>46357</v>
      </c>
      <c r="D241" t="s">
        <v>174</v>
      </c>
      <c r="E241" t="s">
        <v>175</v>
      </c>
      <c r="F241" s="4">
        <v>1</v>
      </c>
      <c r="G241" s="4">
        <v>0.2</v>
      </c>
      <c r="H241" s="9">
        <v>4068.2879999999996</v>
      </c>
      <c r="I241" s="9">
        <v>678.04799999999989</v>
      </c>
      <c r="J241" s="9">
        <f t="shared" si="87"/>
        <v>4746.3359999999993</v>
      </c>
      <c r="K241" s="9">
        <v>0</v>
      </c>
      <c r="L241" s="9">
        <f t="shared" si="88"/>
        <v>0</v>
      </c>
      <c r="M241">
        <v>0</v>
      </c>
      <c r="N241" s="4">
        <f t="shared" si="89"/>
        <v>0</v>
      </c>
      <c r="O241" s="9">
        <v>3390.24</v>
      </c>
      <c r="P241" s="9">
        <v>678.048</v>
      </c>
      <c r="Q241" s="9">
        <v>0</v>
      </c>
      <c r="R241" s="9">
        <v>0</v>
      </c>
      <c r="S241" s="9">
        <v>0</v>
      </c>
      <c r="T241" s="9">
        <v>0</v>
      </c>
      <c r="U241" s="9">
        <v>0</v>
      </c>
      <c r="V241" s="9">
        <v>0</v>
      </c>
      <c r="W241" s="9">
        <f t="shared" si="90"/>
        <v>4068.2879999999996</v>
      </c>
      <c r="X241" s="9">
        <v>678.04799999999989</v>
      </c>
      <c r="Y241" s="9">
        <v>0</v>
      </c>
      <c r="Z241" s="9">
        <v>4746.3359999999993</v>
      </c>
      <c r="AA241" s="9">
        <v>0</v>
      </c>
      <c r="AB241" s="9">
        <f t="shared" si="91"/>
        <v>4746.3359999999993</v>
      </c>
      <c r="AC241" s="9">
        <v>4746.3359999999993</v>
      </c>
      <c r="AD241" s="9">
        <v>0</v>
      </c>
      <c r="AE241" s="9">
        <v>4068.2879999999996</v>
      </c>
      <c r="AF241" s="9">
        <v>223.07779199999996</v>
      </c>
      <c r="AG241" s="9">
        <v>1091.7489139199999</v>
      </c>
      <c r="AH241" s="9">
        <v>73.568207999999984</v>
      </c>
      <c r="AI241" s="9">
        <v>254.43300960000002</v>
      </c>
      <c r="AJ241" s="9">
        <v>9.2521094399999999</v>
      </c>
      <c r="AK241" s="9">
        <v>4.7463359999999994</v>
      </c>
      <c r="AL241" s="9">
        <v>27.756328320000001</v>
      </c>
      <c r="AM241" s="9">
        <v>7.1195039999999992</v>
      </c>
      <c r="AN241" s="9">
        <v>34.6954104</v>
      </c>
      <c r="AO241" s="9">
        <v>69.3908208</v>
      </c>
      <c r="AP241" s="9">
        <v>0</v>
      </c>
      <c r="AQ241" s="25">
        <v>0</v>
      </c>
      <c r="AR241" s="9">
        <f t="shared" si="92"/>
        <v>0</v>
      </c>
      <c r="AS241" s="25">
        <v>0</v>
      </c>
      <c r="AT241" s="9">
        <f t="shared" si="93"/>
        <v>0</v>
      </c>
      <c r="AU241" s="9">
        <v>0</v>
      </c>
      <c r="AV241" s="25">
        <v>0</v>
      </c>
      <c r="AW241" s="9">
        <f t="shared" si="94"/>
        <v>0</v>
      </c>
      <c r="AX241" s="25">
        <v>0</v>
      </c>
      <c r="AY241" s="9">
        <f t="shared" si="95"/>
        <v>0</v>
      </c>
      <c r="AZ241" s="9">
        <v>0</v>
      </c>
      <c r="BA241" s="25">
        <v>0</v>
      </c>
      <c r="BB241" s="9">
        <f t="shared" si="96"/>
        <v>0</v>
      </c>
      <c r="BC241" s="25">
        <v>0</v>
      </c>
      <c r="BD241" s="9">
        <f t="shared" si="97"/>
        <v>0</v>
      </c>
      <c r="BE241" s="9">
        <v>0</v>
      </c>
      <c r="BF241" s="9">
        <v>0</v>
      </c>
      <c r="BG241" s="9">
        <f t="shared" si="98"/>
        <v>0</v>
      </c>
      <c r="BH241" s="9">
        <v>0</v>
      </c>
      <c r="BI241" s="9">
        <f t="shared" si="99"/>
        <v>0</v>
      </c>
      <c r="BJ241" s="9">
        <v>0</v>
      </c>
      <c r="BK241" s="9">
        <v>0</v>
      </c>
      <c r="BL241" s="9">
        <f t="shared" si="100"/>
        <v>0</v>
      </c>
      <c r="BM241" s="9">
        <v>0</v>
      </c>
      <c r="BN241" s="9">
        <f t="shared" si="101"/>
        <v>0</v>
      </c>
      <c r="BO241" s="9">
        <v>0</v>
      </c>
      <c r="BP241" s="9">
        <v>0</v>
      </c>
      <c r="BQ241" s="9">
        <f t="shared" si="102"/>
        <v>0</v>
      </c>
      <c r="BR241" s="9">
        <v>0</v>
      </c>
      <c r="BS241" s="9">
        <f t="shared" si="103"/>
        <v>0</v>
      </c>
      <c r="BT241" s="9">
        <f t="shared" si="104"/>
        <v>0</v>
      </c>
      <c r="BU241" s="9">
        <f t="shared" si="105"/>
        <v>0</v>
      </c>
      <c r="BV241" s="9">
        <f t="shared" si="106"/>
        <v>308.51183999999995</v>
      </c>
      <c r="BW241">
        <f t="shared" si="107"/>
        <v>308.51183999999995</v>
      </c>
      <c r="BX241">
        <v>0</v>
      </c>
      <c r="BY241">
        <f t="shared" si="108"/>
        <v>1487.2765924799999</v>
      </c>
      <c r="BZ241">
        <v>936.18130233599993</v>
      </c>
      <c r="CA241">
        <f t="shared" si="109"/>
        <v>2823.5948576639994</v>
      </c>
      <c r="CB241">
        <f t="shared" si="110"/>
        <v>5555.5645924799992</v>
      </c>
      <c r="CC241">
        <v>0</v>
      </c>
      <c r="CD241">
        <v>0</v>
      </c>
      <c r="CE241">
        <f t="shared" si="111"/>
        <v>0</v>
      </c>
      <c r="CF241">
        <f t="shared" si="112"/>
        <v>4068.2879999999996</v>
      </c>
      <c r="CG241">
        <f t="shared" si="113"/>
        <v>2823.5948576639994</v>
      </c>
      <c r="CH241">
        <f t="shared" si="114"/>
        <v>0</v>
      </c>
      <c r="CJ241" t="s">
        <v>278</v>
      </c>
      <c r="CL241" t="str">
        <f t="shared" si="115"/>
        <v/>
      </c>
    </row>
    <row r="242" spans="1:90" x14ac:dyDescent="0.25">
      <c r="A242" t="s">
        <v>128</v>
      </c>
      <c r="B242" t="s">
        <v>173</v>
      </c>
      <c r="C242" s="1">
        <v>46023</v>
      </c>
      <c r="D242" t="s">
        <v>174</v>
      </c>
      <c r="E242" t="s">
        <v>175</v>
      </c>
      <c r="F242" s="4">
        <v>1</v>
      </c>
      <c r="G242" s="4">
        <v>0</v>
      </c>
      <c r="H242" s="9">
        <v>2176.38</v>
      </c>
      <c r="I242" s="9">
        <v>362.73</v>
      </c>
      <c r="J242" s="9">
        <f t="shared" si="87"/>
        <v>2539.11</v>
      </c>
      <c r="K242" s="9">
        <v>0</v>
      </c>
      <c r="L242" s="9">
        <f t="shared" si="88"/>
        <v>0</v>
      </c>
      <c r="M242">
        <v>0</v>
      </c>
      <c r="N242" s="4">
        <f t="shared" si="89"/>
        <v>0</v>
      </c>
      <c r="O242" s="9">
        <v>2176.38</v>
      </c>
      <c r="P242" s="9">
        <v>0</v>
      </c>
      <c r="Q242" s="9">
        <v>0</v>
      </c>
      <c r="R242" s="9">
        <v>0</v>
      </c>
      <c r="S242" s="9">
        <v>0</v>
      </c>
      <c r="T242" s="9">
        <v>0</v>
      </c>
      <c r="U242" s="9">
        <v>0</v>
      </c>
      <c r="V242" s="9">
        <v>0</v>
      </c>
      <c r="W242" s="9">
        <f t="shared" si="90"/>
        <v>2176.38</v>
      </c>
      <c r="X242" s="9">
        <v>362.73</v>
      </c>
      <c r="Y242" s="9">
        <v>0</v>
      </c>
      <c r="Z242" s="9">
        <v>2539.11</v>
      </c>
      <c r="AA242" s="9">
        <v>0</v>
      </c>
      <c r="AB242" s="9">
        <f t="shared" si="91"/>
        <v>2539.11</v>
      </c>
      <c r="AC242" s="9">
        <v>2539.11</v>
      </c>
      <c r="AD242" s="9">
        <v>0</v>
      </c>
      <c r="AE242" s="9">
        <v>2176.38</v>
      </c>
      <c r="AF242" s="9">
        <v>119.33817000000001</v>
      </c>
      <c r="AG242" s="9">
        <v>607.12214219999998</v>
      </c>
      <c r="AH242" s="9">
        <v>39.356205000000003</v>
      </c>
      <c r="AI242" s="9">
        <v>141.49032975</v>
      </c>
      <c r="AJ242" s="9">
        <v>5.1451029000000004</v>
      </c>
      <c r="AK242" s="9">
        <v>2.53911</v>
      </c>
      <c r="AL242" s="9">
        <v>15.4353087</v>
      </c>
      <c r="AM242" s="9">
        <v>3.8086650000000004</v>
      </c>
      <c r="AN242" s="9">
        <v>19.294135874999998</v>
      </c>
      <c r="AO242" s="9">
        <v>38.588271749999997</v>
      </c>
      <c r="AP242" s="9">
        <v>0</v>
      </c>
      <c r="AQ242" s="25">
        <v>0</v>
      </c>
      <c r="AR242" s="9">
        <f t="shared" si="92"/>
        <v>0</v>
      </c>
      <c r="AS242" s="25">
        <v>0</v>
      </c>
      <c r="AT242" s="9">
        <f t="shared" si="93"/>
        <v>0</v>
      </c>
      <c r="AU242" s="9">
        <v>0</v>
      </c>
      <c r="AV242" s="25">
        <v>0</v>
      </c>
      <c r="AW242" s="9">
        <f t="shared" si="94"/>
        <v>0</v>
      </c>
      <c r="AX242" s="25">
        <v>0</v>
      </c>
      <c r="AY242" s="9">
        <f t="shared" si="95"/>
        <v>0</v>
      </c>
      <c r="AZ242" s="9">
        <v>0</v>
      </c>
      <c r="BA242" s="25">
        <v>0</v>
      </c>
      <c r="BB242" s="9">
        <f t="shared" si="96"/>
        <v>0</v>
      </c>
      <c r="BC242" s="25">
        <v>0</v>
      </c>
      <c r="BD242" s="9">
        <f t="shared" si="97"/>
        <v>0</v>
      </c>
      <c r="BE242" s="9">
        <v>0</v>
      </c>
      <c r="BF242" s="9">
        <v>0</v>
      </c>
      <c r="BG242" s="9">
        <f t="shared" si="98"/>
        <v>0</v>
      </c>
      <c r="BH242" s="9">
        <v>0</v>
      </c>
      <c r="BI242" s="9">
        <f t="shared" si="99"/>
        <v>0</v>
      </c>
      <c r="BJ242" s="9">
        <v>0</v>
      </c>
      <c r="BK242" s="9">
        <v>0</v>
      </c>
      <c r="BL242" s="9">
        <f t="shared" si="100"/>
        <v>0</v>
      </c>
      <c r="BM242" s="9">
        <v>0</v>
      </c>
      <c r="BN242" s="9">
        <f t="shared" si="101"/>
        <v>0</v>
      </c>
      <c r="BO242" s="9">
        <v>0</v>
      </c>
      <c r="BP242" s="9">
        <v>0</v>
      </c>
      <c r="BQ242" s="9">
        <f t="shared" si="102"/>
        <v>0</v>
      </c>
      <c r="BR242" s="9">
        <v>0</v>
      </c>
      <c r="BS242" s="9">
        <f t="shared" si="103"/>
        <v>0</v>
      </c>
      <c r="BT242" s="9">
        <f t="shared" si="104"/>
        <v>0</v>
      </c>
      <c r="BU242" s="9">
        <f t="shared" si="105"/>
        <v>0</v>
      </c>
      <c r="BV242" s="9">
        <f t="shared" si="106"/>
        <v>165.04214999999999</v>
      </c>
      <c r="BW242">
        <f t="shared" si="107"/>
        <v>165.04214999999999</v>
      </c>
      <c r="BX242">
        <v>0</v>
      </c>
      <c r="BY242">
        <f t="shared" si="108"/>
        <v>827.07529117499996</v>
      </c>
      <c r="BZ242">
        <v>373.53447054000003</v>
      </c>
      <c r="CA242">
        <f t="shared" si="109"/>
        <v>1637.8033794600001</v>
      </c>
      <c r="CB242">
        <f t="shared" si="110"/>
        <v>3003.4552911750002</v>
      </c>
      <c r="CC242">
        <v>0</v>
      </c>
      <c r="CD242">
        <v>0</v>
      </c>
      <c r="CE242">
        <f t="shared" si="111"/>
        <v>0</v>
      </c>
      <c r="CF242">
        <f t="shared" si="112"/>
        <v>2176.38</v>
      </c>
      <c r="CG242">
        <f t="shared" si="113"/>
        <v>1637.8033794600001</v>
      </c>
      <c r="CH242">
        <f t="shared" si="114"/>
        <v>0</v>
      </c>
      <c r="CJ242" t="s">
        <v>278</v>
      </c>
      <c r="CL242" t="str">
        <f t="shared" si="115"/>
        <v/>
      </c>
    </row>
    <row r="243" spans="1:90" x14ac:dyDescent="0.25">
      <c r="A243" t="s">
        <v>128</v>
      </c>
      <c r="B243" t="s">
        <v>176</v>
      </c>
      <c r="C243" s="1">
        <v>46054</v>
      </c>
      <c r="D243" t="s">
        <v>174</v>
      </c>
      <c r="E243" t="s">
        <v>175</v>
      </c>
      <c r="F243" s="4">
        <v>1</v>
      </c>
      <c r="G243" s="4">
        <v>0</v>
      </c>
      <c r="H243" s="9">
        <v>2176.38</v>
      </c>
      <c r="I243" s="9">
        <v>362.73</v>
      </c>
      <c r="J243" s="9">
        <f t="shared" si="87"/>
        <v>2539.11</v>
      </c>
      <c r="K243" s="9">
        <v>0</v>
      </c>
      <c r="L243" s="9">
        <f t="shared" si="88"/>
        <v>0</v>
      </c>
      <c r="M243">
        <v>0</v>
      </c>
      <c r="N243" s="4">
        <f t="shared" si="89"/>
        <v>0</v>
      </c>
      <c r="O243" s="9">
        <v>2176.38</v>
      </c>
      <c r="P243" s="9">
        <v>0</v>
      </c>
      <c r="Q243" s="9">
        <v>0</v>
      </c>
      <c r="R243" s="9">
        <v>0</v>
      </c>
      <c r="S243" s="9">
        <v>0</v>
      </c>
      <c r="T243" s="9">
        <v>0</v>
      </c>
      <c r="U243" s="9">
        <v>0</v>
      </c>
      <c r="V243" s="9">
        <v>0</v>
      </c>
      <c r="W243" s="9">
        <f t="shared" si="90"/>
        <v>2176.38</v>
      </c>
      <c r="X243" s="9">
        <v>362.73</v>
      </c>
      <c r="Y243" s="9">
        <v>0</v>
      </c>
      <c r="Z243" s="9">
        <v>2539.11</v>
      </c>
      <c r="AA243" s="9">
        <v>0</v>
      </c>
      <c r="AB243" s="9">
        <f t="shared" si="91"/>
        <v>2539.11</v>
      </c>
      <c r="AC243" s="9">
        <v>2539.11</v>
      </c>
      <c r="AD243" s="9">
        <v>0</v>
      </c>
      <c r="AE243" s="9">
        <v>2176.38</v>
      </c>
      <c r="AF243" s="9">
        <v>119.33817000000001</v>
      </c>
      <c r="AG243" s="9">
        <v>607.12214219999998</v>
      </c>
      <c r="AH243" s="9">
        <v>39.356205000000003</v>
      </c>
      <c r="AI243" s="9">
        <v>141.49032975</v>
      </c>
      <c r="AJ243" s="9">
        <v>5.1451029000000004</v>
      </c>
      <c r="AK243" s="9">
        <v>2.53911</v>
      </c>
      <c r="AL243" s="9">
        <v>15.4353087</v>
      </c>
      <c r="AM243" s="9">
        <v>3.8086650000000004</v>
      </c>
      <c r="AN243" s="9">
        <v>19.294135874999998</v>
      </c>
      <c r="AO243" s="9">
        <v>38.588271749999997</v>
      </c>
      <c r="AP243" s="9">
        <v>0</v>
      </c>
      <c r="AQ243" s="25">
        <v>0</v>
      </c>
      <c r="AR243" s="9">
        <f t="shared" si="92"/>
        <v>0</v>
      </c>
      <c r="AS243" s="25">
        <v>0</v>
      </c>
      <c r="AT243" s="9">
        <f t="shared" si="93"/>
        <v>0</v>
      </c>
      <c r="AU243" s="9">
        <v>0</v>
      </c>
      <c r="AV243" s="25">
        <v>0</v>
      </c>
      <c r="AW243" s="9">
        <f t="shared" si="94"/>
        <v>0</v>
      </c>
      <c r="AX243" s="25">
        <v>0</v>
      </c>
      <c r="AY243" s="9">
        <f t="shared" si="95"/>
        <v>0</v>
      </c>
      <c r="AZ243" s="9">
        <v>0</v>
      </c>
      <c r="BA243" s="25">
        <v>0</v>
      </c>
      <c r="BB243" s="9">
        <f t="shared" si="96"/>
        <v>0</v>
      </c>
      <c r="BC243" s="25">
        <v>0</v>
      </c>
      <c r="BD243" s="9">
        <f t="shared" si="97"/>
        <v>0</v>
      </c>
      <c r="BE243" s="9">
        <v>0</v>
      </c>
      <c r="BF243" s="9">
        <v>0</v>
      </c>
      <c r="BG243" s="9">
        <f t="shared" si="98"/>
        <v>0</v>
      </c>
      <c r="BH243" s="9">
        <v>0</v>
      </c>
      <c r="BI243" s="9">
        <f t="shared" si="99"/>
        <v>0</v>
      </c>
      <c r="BJ243" s="9">
        <v>0</v>
      </c>
      <c r="BK243" s="9">
        <v>0</v>
      </c>
      <c r="BL243" s="9">
        <f t="shared" si="100"/>
        <v>0</v>
      </c>
      <c r="BM243" s="9">
        <v>0</v>
      </c>
      <c r="BN243" s="9">
        <f t="shared" si="101"/>
        <v>0</v>
      </c>
      <c r="BO243" s="9">
        <v>0</v>
      </c>
      <c r="BP243" s="9">
        <v>0</v>
      </c>
      <c r="BQ243" s="9">
        <f t="shared" si="102"/>
        <v>0</v>
      </c>
      <c r="BR243" s="9">
        <v>0</v>
      </c>
      <c r="BS243" s="9">
        <f t="shared" si="103"/>
        <v>0</v>
      </c>
      <c r="BT243" s="9">
        <f t="shared" si="104"/>
        <v>0</v>
      </c>
      <c r="BU243" s="9">
        <f t="shared" si="105"/>
        <v>0</v>
      </c>
      <c r="BV243" s="9">
        <f t="shared" si="106"/>
        <v>165.04214999999999</v>
      </c>
      <c r="BW243">
        <f t="shared" si="107"/>
        <v>165.04214999999999</v>
      </c>
      <c r="BX243">
        <v>0</v>
      </c>
      <c r="BY243">
        <f t="shared" si="108"/>
        <v>827.07529117499996</v>
      </c>
      <c r="BZ243">
        <v>373.53447054000003</v>
      </c>
      <c r="CA243">
        <f t="shared" si="109"/>
        <v>1637.8033794600001</v>
      </c>
      <c r="CB243">
        <f t="shared" si="110"/>
        <v>3003.4552911750002</v>
      </c>
      <c r="CC243">
        <v>0</v>
      </c>
      <c r="CD243">
        <v>0</v>
      </c>
      <c r="CE243">
        <f t="shared" si="111"/>
        <v>0</v>
      </c>
      <c r="CF243">
        <f t="shared" si="112"/>
        <v>2176.38</v>
      </c>
      <c r="CG243">
        <f t="shared" si="113"/>
        <v>1637.8033794600001</v>
      </c>
      <c r="CH243">
        <f t="shared" si="114"/>
        <v>0</v>
      </c>
      <c r="CJ243" t="s">
        <v>278</v>
      </c>
      <c r="CL243" t="str">
        <f t="shared" si="115"/>
        <v/>
      </c>
    </row>
    <row r="244" spans="1:90" x14ac:dyDescent="0.25">
      <c r="A244" t="s">
        <v>128</v>
      </c>
      <c r="B244" t="s">
        <v>177</v>
      </c>
      <c r="C244" s="1">
        <v>46082</v>
      </c>
      <c r="D244" t="s">
        <v>174</v>
      </c>
      <c r="E244" t="s">
        <v>175</v>
      </c>
      <c r="F244" s="4">
        <v>1</v>
      </c>
      <c r="G244" s="4">
        <v>0</v>
      </c>
      <c r="H244" s="9">
        <v>2176.38</v>
      </c>
      <c r="I244" s="9">
        <v>362.73</v>
      </c>
      <c r="J244" s="9">
        <f t="shared" si="87"/>
        <v>2539.11</v>
      </c>
      <c r="K244" s="9">
        <v>0</v>
      </c>
      <c r="L244" s="9">
        <f t="shared" si="88"/>
        <v>0</v>
      </c>
      <c r="M244">
        <v>0</v>
      </c>
      <c r="N244" s="4">
        <f t="shared" si="89"/>
        <v>0</v>
      </c>
      <c r="O244" s="9">
        <v>2176.38</v>
      </c>
      <c r="P244" s="9">
        <v>0</v>
      </c>
      <c r="Q244" s="9">
        <v>0</v>
      </c>
      <c r="R244" s="9">
        <v>0</v>
      </c>
      <c r="S244" s="9">
        <v>0</v>
      </c>
      <c r="T244" s="9">
        <v>0</v>
      </c>
      <c r="U244" s="9">
        <v>0</v>
      </c>
      <c r="V244" s="9">
        <v>0</v>
      </c>
      <c r="W244" s="9">
        <f t="shared" si="90"/>
        <v>2176.38</v>
      </c>
      <c r="X244" s="9">
        <v>362.73</v>
      </c>
      <c r="Y244" s="9">
        <v>0</v>
      </c>
      <c r="Z244" s="9">
        <v>2539.11</v>
      </c>
      <c r="AA244" s="9">
        <v>0</v>
      </c>
      <c r="AB244" s="9">
        <f t="shared" si="91"/>
        <v>2539.11</v>
      </c>
      <c r="AC244" s="9">
        <v>2539.11</v>
      </c>
      <c r="AD244" s="9">
        <v>0</v>
      </c>
      <c r="AE244" s="9">
        <v>2176.38</v>
      </c>
      <c r="AF244" s="9">
        <v>119.33817000000001</v>
      </c>
      <c r="AG244" s="9">
        <v>607.12214219999998</v>
      </c>
      <c r="AH244" s="9">
        <v>39.356205000000003</v>
      </c>
      <c r="AI244" s="9">
        <v>141.49032975</v>
      </c>
      <c r="AJ244" s="9">
        <v>5.1451029000000004</v>
      </c>
      <c r="AK244" s="9">
        <v>2.53911</v>
      </c>
      <c r="AL244" s="9">
        <v>15.4353087</v>
      </c>
      <c r="AM244" s="9">
        <v>3.8086650000000004</v>
      </c>
      <c r="AN244" s="9">
        <v>19.294135874999998</v>
      </c>
      <c r="AO244" s="9">
        <v>38.588271749999997</v>
      </c>
      <c r="AP244" s="9">
        <v>0</v>
      </c>
      <c r="AQ244" s="25">
        <v>0</v>
      </c>
      <c r="AR244" s="9">
        <f t="shared" si="92"/>
        <v>0</v>
      </c>
      <c r="AS244" s="25">
        <v>0</v>
      </c>
      <c r="AT244" s="9">
        <f t="shared" si="93"/>
        <v>0</v>
      </c>
      <c r="AU244" s="9">
        <v>0</v>
      </c>
      <c r="AV244" s="25">
        <v>0</v>
      </c>
      <c r="AW244" s="9">
        <f t="shared" si="94"/>
        <v>0</v>
      </c>
      <c r="AX244" s="25">
        <v>0</v>
      </c>
      <c r="AY244" s="9">
        <f t="shared" si="95"/>
        <v>0</v>
      </c>
      <c r="AZ244" s="9">
        <v>0</v>
      </c>
      <c r="BA244" s="25">
        <v>0</v>
      </c>
      <c r="BB244" s="9">
        <f t="shared" si="96"/>
        <v>0</v>
      </c>
      <c r="BC244" s="25">
        <v>0</v>
      </c>
      <c r="BD244" s="9">
        <f t="shared" si="97"/>
        <v>0</v>
      </c>
      <c r="BE244" s="9">
        <v>0</v>
      </c>
      <c r="BF244" s="9">
        <v>0</v>
      </c>
      <c r="BG244" s="9">
        <f t="shared" si="98"/>
        <v>0</v>
      </c>
      <c r="BH244" s="9">
        <v>0</v>
      </c>
      <c r="BI244" s="9">
        <f t="shared" si="99"/>
        <v>0</v>
      </c>
      <c r="BJ244" s="9">
        <v>0</v>
      </c>
      <c r="BK244" s="9">
        <v>0</v>
      </c>
      <c r="BL244" s="9">
        <f t="shared" si="100"/>
        <v>0</v>
      </c>
      <c r="BM244" s="9">
        <v>0</v>
      </c>
      <c r="BN244" s="9">
        <f t="shared" si="101"/>
        <v>0</v>
      </c>
      <c r="BO244" s="9">
        <v>0</v>
      </c>
      <c r="BP244" s="9">
        <v>0</v>
      </c>
      <c r="BQ244" s="9">
        <f t="shared" si="102"/>
        <v>0</v>
      </c>
      <c r="BR244" s="9">
        <v>0</v>
      </c>
      <c r="BS244" s="9">
        <f t="shared" si="103"/>
        <v>0</v>
      </c>
      <c r="BT244" s="9">
        <f t="shared" si="104"/>
        <v>0</v>
      </c>
      <c r="BU244" s="9">
        <f t="shared" si="105"/>
        <v>0</v>
      </c>
      <c r="BV244" s="9">
        <f t="shared" si="106"/>
        <v>165.04214999999999</v>
      </c>
      <c r="BW244">
        <f t="shared" si="107"/>
        <v>165.04214999999999</v>
      </c>
      <c r="BX244">
        <v>0</v>
      </c>
      <c r="BY244">
        <f t="shared" si="108"/>
        <v>827.07529117499996</v>
      </c>
      <c r="BZ244">
        <v>373.53447054000003</v>
      </c>
      <c r="CA244">
        <f t="shared" si="109"/>
        <v>1637.8033794600001</v>
      </c>
      <c r="CB244">
        <f t="shared" si="110"/>
        <v>3003.4552911750002</v>
      </c>
      <c r="CC244">
        <v>0</v>
      </c>
      <c r="CD244">
        <v>0</v>
      </c>
      <c r="CE244">
        <f t="shared" si="111"/>
        <v>0</v>
      </c>
      <c r="CF244">
        <f t="shared" si="112"/>
        <v>2176.38</v>
      </c>
      <c r="CG244">
        <f t="shared" si="113"/>
        <v>1637.8033794600001</v>
      </c>
      <c r="CH244">
        <f t="shared" si="114"/>
        <v>0</v>
      </c>
      <c r="CJ244" t="s">
        <v>278</v>
      </c>
      <c r="CL244" t="str">
        <f t="shared" si="115"/>
        <v/>
      </c>
    </row>
    <row r="245" spans="1:90" x14ac:dyDescent="0.25">
      <c r="A245" t="s">
        <v>128</v>
      </c>
      <c r="B245" t="s">
        <v>178</v>
      </c>
      <c r="C245" s="1">
        <v>46113</v>
      </c>
      <c r="D245" t="s">
        <v>174</v>
      </c>
      <c r="E245" t="s">
        <v>175</v>
      </c>
      <c r="F245" s="4">
        <v>1</v>
      </c>
      <c r="G245" s="4">
        <v>0</v>
      </c>
      <c r="H245" s="9">
        <v>2176.38</v>
      </c>
      <c r="I245" s="9">
        <v>362.73</v>
      </c>
      <c r="J245" s="9">
        <f t="shared" si="87"/>
        <v>2539.11</v>
      </c>
      <c r="K245" s="9">
        <v>0</v>
      </c>
      <c r="L245" s="9">
        <f t="shared" si="88"/>
        <v>0</v>
      </c>
      <c r="M245">
        <v>0</v>
      </c>
      <c r="N245" s="4">
        <f t="shared" si="89"/>
        <v>0</v>
      </c>
      <c r="O245" s="9">
        <v>2176.38</v>
      </c>
      <c r="P245" s="9">
        <v>0</v>
      </c>
      <c r="Q245" s="9">
        <v>0</v>
      </c>
      <c r="R245" s="9">
        <v>0</v>
      </c>
      <c r="S245" s="9">
        <v>0</v>
      </c>
      <c r="T245" s="9">
        <v>0</v>
      </c>
      <c r="U245" s="9">
        <v>0</v>
      </c>
      <c r="V245" s="9">
        <v>0</v>
      </c>
      <c r="W245" s="9">
        <f t="shared" si="90"/>
        <v>2176.38</v>
      </c>
      <c r="X245" s="9">
        <v>362.73</v>
      </c>
      <c r="Y245" s="9">
        <v>0</v>
      </c>
      <c r="Z245" s="9">
        <v>2539.11</v>
      </c>
      <c r="AA245" s="9">
        <v>0</v>
      </c>
      <c r="AB245" s="9">
        <f t="shared" si="91"/>
        <v>2539.11</v>
      </c>
      <c r="AC245" s="9">
        <v>2539.11</v>
      </c>
      <c r="AD245" s="9">
        <v>0</v>
      </c>
      <c r="AE245" s="9">
        <v>2176.38</v>
      </c>
      <c r="AF245" s="9">
        <v>119.33817000000001</v>
      </c>
      <c r="AG245" s="9">
        <v>607.12214219999998</v>
      </c>
      <c r="AH245" s="9">
        <v>39.356205000000003</v>
      </c>
      <c r="AI245" s="9">
        <v>141.49032975</v>
      </c>
      <c r="AJ245" s="9">
        <v>5.1451029000000004</v>
      </c>
      <c r="AK245" s="9">
        <v>2.53911</v>
      </c>
      <c r="AL245" s="9">
        <v>15.4353087</v>
      </c>
      <c r="AM245" s="9">
        <v>3.8086650000000004</v>
      </c>
      <c r="AN245" s="9">
        <v>19.294135874999998</v>
      </c>
      <c r="AO245" s="9">
        <v>38.588271749999997</v>
      </c>
      <c r="AP245" s="9">
        <v>0</v>
      </c>
      <c r="AQ245" s="25">
        <v>0</v>
      </c>
      <c r="AR245" s="9">
        <f t="shared" si="92"/>
        <v>0</v>
      </c>
      <c r="AS245" s="25">
        <v>0</v>
      </c>
      <c r="AT245" s="9">
        <f t="shared" si="93"/>
        <v>0</v>
      </c>
      <c r="AU245" s="9">
        <v>0</v>
      </c>
      <c r="AV245" s="25">
        <v>0</v>
      </c>
      <c r="AW245" s="9">
        <f t="shared" si="94"/>
        <v>0</v>
      </c>
      <c r="AX245" s="25">
        <v>0</v>
      </c>
      <c r="AY245" s="9">
        <f t="shared" si="95"/>
        <v>0</v>
      </c>
      <c r="AZ245" s="9">
        <v>0</v>
      </c>
      <c r="BA245" s="25">
        <v>0</v>
      </c>
      <c r="BB245" s="9">
        <f t="shared" si="96"/>
        <v>0</v>
      </c>
      <c r="BC245" s="25">
        <v>0</v>
      </c>
      <c r="BD245" s="9">
        <f t="shared" si="97"/>
        <v>0</v>
      </c>
      <c r="BE245" s="9">
        <v>0</v>
      </c>
      <c r="BF245" s="9">
        <v>0</v>
      </c>
      <c r="BG245" s="9">
        <f t="shared" si="98"/>
        <v>0</v>
      </c>
      <c r="BH245" s="9">
        <v>0</v>
      </c>
      <c r="BI245" s="9">
        <f t="shared" si="99"/>
        <v>0</v>
      </c>
      <c r="BJ245" s="9">
        <v>0</v>
      </c>
      <c r="BK245" s="9">
        <v>0</v>
      </c>
      <c r="BL245" s="9">
        <f t="shared" si="100"/>
        <v>0</v>
      </c>
      <c r="BM245" s="9">
        <v>0</v>
      </c>
      <c r="BN245" s="9">
        <f t="shared" si="101"/>
        <v>0</v>
      </c>
      <c r="BO245" s="9">
        <v>0</v>
      </c>
      <c r="BP245" s="9">
        <v>0</v>
      </c>
      <c r="BQ245" s="9">
        <f t="shared" si="102"/>
        <v>0</v>
      </c>
      <c r="BR245" s="9">
        <v>0</v>
      </c>
      <c r="BS245" s="9">
        <f t="shared" si="103"/>
        <v>0</v>
      </c>
      <c r="BT245" s="9">
        <f t="shared" si="104"/>
        <v>0</v>
      </c>
      <c r="BU245" s="9">
        <f t="shared" si="105"/>
        <v>0</v>
      </c>
      <c r="BV245" s="9">
        <f t="shared" si="106"/>
        <v>165.04214999999999</v>
      </c>
      <c r="BW245">
        <f t="shared" si="107"/>
        <v>165.04214999999999</v>
      </c>
      <c r="BX245">
        <v>0</v>
      </c>
      <c r="BY245">
        <f t="shared" si="108"/>
        <v>827.07529117499996</v>
      </c>
      <c r="BZ245">
        <v>373.53447054000003</v>
      </c>
      <c r="CA245">
        <f t="shared" si="109"/>
        <v>1637.8033794600001</v>
      </c>
      <c r="CB245">
        <f t="shared" si="110"/>
        <v>3003.4552911750002</v>
      </c>
      <c r="CC245">
        <v>0</v>
      </c>
      <c r="CD245">
        <v>0</v>
      </c>
      <c r="CE245">
        <f t="shared" si="111"/>
        <v>0</v>
      </c>
      <c r="CF245">
        <f t="shared" si="112"/>
        <v>2176.38</v>
      </c>
      <c r="CG245">
        <f t="shared" si="113"/>
        <v>1637.8033794600001</v>
      </c>
      <c r="CH245">
        <f t="shared" si="114"/>
        <v>0</v>
      </c>
      <c r="CJ245" t="s">
        <v>278</v>
      </c>
      <c r="CL245" t="str">
        <f t="shared" si="115"/>
        <v/>
      </c>
    </row>
    <row r="246" spans="1:90" x14ac:dyDescent="0.25">
      <c r="A246" t="s">
        <v>128</v>
      </c>
      <c r="B246" t="s">
        <v>179</v>
      </c>
      <c r="C246" s="1">
        <v>46143</v>
      </c>
      <c r="D246" t="s">
        <v>174</v>
      </c>
      <c r="E246" t="s">
        <v>175</v>
      </c>
      <c r="F246" s="4">
        <v>1</v>
      </c>
      <c r="G246" s="4">
        <v>0</v>
      </c>
      <c r="H246" s="9">
        <v>2176.38</v>
      </c>
      <c r="I246" s="9">
        <v>362.73</v>
      </c>
      <c r="J246" s="9">
        <f t="shared" si="87"/>
        <v>2539.11</v>
      </c>
      <c r="K246" s="9">
        <v>0</v>
      </c>
      <c r="L246" s="9">
        <f t="shared" si="88"/>
        <v>0</v>
      </c>
      <c r="M246">
        <v>0</v>
      </c>
      <c r="N246" s="4">
        <f t="shared" si="89"/>
        <v>0</v>
      </c>
      <c r="O246" s="9">
        <v>2176.38</v>
      </c>
      <c r="P246" s="9">
        <v>0</v>
      </c>
      <c r="Q246" s="9">
        <v>0</v>
      </c>
      <c r="R246" s="9">
        <v>0</v>
      </c>
      <c r="S246" s="9">
        <v>0</v>
      </c>
      <c r="T246" s="9">
        <v>0</v>
      </c>
      <c r="U246" s="9">
        <v>0</v>
      </c>
      <c r="V246" s="9">
        <v>0</v>
      </c>
      <c r="W246" s="9">
        <f t="shared" si="90"/>
        <v>2176.38</v>
      </c>
      <c r="X246" s="9">
        <v>362.73</v>
      </c>
      <c r="Y246" s="9">
        <v>0</v>
      </c>
      <c r="Z246" s="9">
        <v>2539.11</v>
      </c>
      <c r="AA246" s="9">
        <v>0</v>
      </c>
      <c r="AB246" s="9">
        <f t="shared" si="91"/>
        <v>2539.11</v>
      </c>
      <c r="AC246" s="9">
        <v>2539.11</v>
      </c>
      <c r="AD246" s="9">
        <v>0</v>
      </c>
      <c r="AE246" s="9">
        <v>2176.38</v>
      </c>
      <c r="AF246" s="9">
        <v>119.33817000000001</v>
      </c>
      <c r="AG246" s="9">
        <v>607.12214219999998</v>
      </c>
      <c r="AH246" s="9">
        <v>39.356205000000003</v>
      </c>
      <c r="AI246" s="9">
        <v>141.49032975</v>
      </c>
      <c r="AJ246" s="9">
        <v>5.1451029000000004</v>
      </c>
      <c r="AK246" s="9">
        <v>2.53911</v>
      </c>
      <c r="AL246" s="9">
        <v>15.4353087</v>
      </c>
      <c r="AM246" s="9">
        <v>3.8086650000000004</v>
      </c>
      <c r="AN246" s="9">
        <v>19.294135874999998</v>
      </c>
      <c r="AO246" s="9">
        <v>38.588271749999997</v>
      </c>
      <c r="AP246" s="9">
        <v>0</v>
      </c>
      <c r="AQ246" s="25">
        <v>0</v>
      </c>
      <c r="AR246" s="9">
        <f t="shared" si="92"/>
        <v>0</v>
      </c>
      <c r="AS246" s="25">
        <v>0</v>
      </c>
      <c r="AT246" s="9">
        <f t="shared" si="93"/>
        <v>0</v>
      </c>
      <c r="AU246" s="9">
        <v>0</v>
      </c>
      <c r="AV246" s="25">
        <v>0</v>
      </c>
      <c r="AW246" s="9">
        <f t="shared" si="94"/>
        <v>0</v>
      </c>
      <c r="AX246" s="25">
        <v>0</v>
      </c>
      <c r="AY246" s="9">
        <f t="shared" si="95"/>
        <v>0</v>
      </c>
      <c r="AZ246" s="9">
        <v>0</v>
      </c>
      <c r="BA246" s="25">
        <v>0</v>
      </c>
      <c r="BB246" s="9">
        <f t="shared" si="96"/>
        <v>0</v>
      </c>
      <c r="BC246" s="25">
        <v>0</v>
      </c>
      <c r="BD246" s="9">
        <f t="shared" si="97"/>
        <v>0</v>
      </c>
      <c r="BE246" s="9">
        <v>0</v>
      </c>
      <c r="BF246" s="9">
        <v>0</v>
      </c>
      <c r="BG246" s="9">
        <f t="shared" si="98"/>
        <v>0</v>
      </c>
      <c r="BH246" s="9">
        <v>0</v>
      </c>
      <c r="BI246" s="9">
        <f t="shared" si="99"/>
        <v>0</v>
      </c>
      <c r="BJ246" s="9">
        <v>0</v>
      </c>
      <c r="BK246" s="9">
        <v>0</v>
      </c>
      <c r="BL246" s="9">
        <f t="shared" si="100"/>
        <v>0</v>
      </c>
      <c r="BM246" s="9">
        <v>0</v>
      </c>
      <c r="BN246" s="9">
        <f t="shared" si="101"/>
        <v>0</v>
      </c>
      <c r="BO246" s="9">
        <v>0</v>
      </c>
      <c r="BP246" s="9">
        <v>0</v>
      </c>
      <c r="BQ246" s="9">
        <f t="shared" si="102"/>
        <v>0</v>
      </c>
      <c r="BR246" s="9">
        <v>0</v>
      </c>
      <c r="BS246" s="9">
        <f t="shared" si="103"/>
        <v>0</v>
      </c>
      <c r="BT246" s="9">
        <f t="shared" si="104"/>
        <v>0</v>
      </c>
      <c r="BU246" s="9">
        <f t="shared" si="105"/>
        <v>0</v>
      </c>
      <c r="BV246" s="9">
        <f t="shared" si="106"/>
        <v>165.04214999999999</v>
      </c>
      <c r="BW246">
        <f t="shared" si="107"/>
        <v>165.04214999999999</v>
      </c>
      <c r="BX246">
        <v>0</v>
      </c>
      <c r="BY246">
        <f t="shared" si="108"/>
        <v>827.07529117499996</v>
      </c>
      <c r="BZ246">
        <v>373.53447054000003</v>
      </c>
      <c r="CA246">
        <f t="shared" si="109"/>
        <v>1637.8033794600001</v>
      </c>
      <c r="CB246">
        <f t="shared" si="110"/>
        <v>3003.4552911750002</v>
      </c>
      <c r="CC246">
        <v>0</v>
      </c>
      <c r="CD246">
        <v>0</v>
      </c>
      <c r="CE246">
        <f t="shared" si="111"/>
        <v>0</v>
      </c>
      <c r="CF246">
        <f t="shared" si="112"/>
        <v>2176.38</v>
      </c>
      <c r="CG246">
        <f t="shared" si="113"/>
        <v>1637.8033794600001</v>
      </c>
      <c r="CH246">
        <f t="shared" si="114"/>
        <v>0</v>
      </c>
      <c r="CJ246" t="s">
        <v>278</v>
      </c>
      <c r="CL246" t="str">
        <f t="shared" si="115"/>
        <v/>
      </c>
    </row>
    <row r="247" spans="1:90" x14ac:dyDescent="0.25">
      <c r="A247" t="s">
        <v>128</v>
      </c>
      <c r="B247" t="s">
        <v>180</v>
      </c>
      <c r="C247" s="1">
        <v>46174</v>
      </c>
      <c r="D247" t="s">
        <v>174</v>
      </c>
      <c r="E247" t="s">
        <v>175</v>
      </c>
      <c r="F247" s="4">
        <v>1</v>
      </c>
      <c r="G247" s="4">
        <v>0</v>
      </c>
      <c r="H247" s="9">
        <v>2176.38</v>
      </c>
      <c r="I247" s="9">
        <v>362.73</v>
      </c>
      <c r="J247" s="9">
        <f t="shared" si="87"/>
        <v>2539.11</v>
      </c>
      <c r="K247" s="9">
        <v>0</v>
      </c>
      <c r="L247" s="9">
        <f t="shared" si="88"/>
        <v>0</v>
      </c>
      <c r="M247">
        <v>0</v>
      </c>
      <c r="N247" s="4">
        <f t="shared" si="89"/>
        <v>0</v>
      </c>
      <c r="O247" s="9">
        <v>2176.38</v>
      </c>
      <c r="P247" s="9">
        <v>0</v>
      </c>
      <c r="Q247" s="9">
        <v>0</v>
      </c>
      <c r="R247" s="9">
        <v>0</v>
      </c>
      <c r="S247" s="9">
        <v>0</v>
      </c>
      <c r="T247" s="9">
        <v>0</v>
      </c>
      <c r="U247" s="9">
        <v>0</v>
      </c>
      <c r="V247" s="9">
        <v>0</v>
      </c>
      <c r="W247" s="9">
        <f t="shared" si="90"/>
        <v>2176.38</v>
      </c>
      <c r="X247" s="9">
        <v>362.73</v>
      </c>
      <c r="Y247" s="9">
        <v>0</v>
      </c>
      <c r="Z247" s="9">
        <v>2539.11</v>
      </c>
      <c r="AA247" s="9">
        <v>0</v>
      </c>
      <c r="AB247" s="9">
        <f t="shared" si="91"/>
        <v>2539.11</v>
      </c>
      <c r="AC247" s="9">
        <v>2539.11</v>
      </c>
      <c r="AD247" s="9">
        <v>0</v>
      </c>
      <c r="AE247" s="9">
        <v>2176.38</v>
      </c>
      <c r="AF247" s="9">
        <v>119.33817000000001</v>
      </c>
      <c r="AG247" s="9">
        <v>607.12214219999998</v>
      </c>
      <c r="AH247" s="9">
        <v>39.356205000000003</v>
      </c>
      <c r="AI247" s="9">
        <v>141.49032975</v>
      </c>
      <c r="AJ247" s="9">
        <v>5.1451029000000004</v>
      </c>
      <c r="AK247" s="9">
        <v>2.53911</v>
      </c>
      <c r="AL247" s="9">
        <v>15.4353087</v>
      </c>
      <c r="AM247" s="9">
        <v>3.8086650000000004</v>
      </c>
      <c r="AN247" s="9">
        <v>19.294135874999998</v>
      </c>
      <c r="AO247" s="9">
        <v>38.588271749999997</v>
      </c>
      <c r="AP247" s="9">
        <v>0</v>
      </c>
      <c r="AQ247" s="25">
        <v>0</v>
      </c>
      <c r="AR247" s="9">
        <f t="shared" si="92"/>
        <v>0</v>
      </c>
      <c r="AS247" s="25">
        <v>0</v>
      </c>
      <c r="AT247" s="9">
        <f t="shared" si="93"/>
        <v>0</v>
      </c>
      <c r="AU247" s="9">
        <v>0</v>
      </c>
      <c r="AV247" s="25">
        <v>0</v>
      </c>
      <c r="AW247" s="9">
        <f t="shared" si="94"/>
        <v>0</v>
      </c>
      <c r="AX247" s="25">
        <v>0</v>
      </c>
      <c r="AY247" s="9">
        <f t="shared" si="95"/>
        <v>0</v>
      </c>
      <c r="AZ247" s="9">
        <v>0</v>
      </c>
      <c r="BA247" s="25">
        <v>0</v>
      </c>
      <c r="BB247" s="9">
        <f t="shared" si="96"/>
        <v>0</v>
      </c>
      <c r="BC247" s="25">
        <v>0</v>
      </c>
      <c r="BD247" s="9">
        <f t="shared" si="97"/>
        <v>0</v>
      </c>
      <c r="BE247" s="9">
        <v>0</v>
      </c>
      <c r="BF247" s="9">
        <v>0</v>
      </c>
      <c r="BG247" s="9">
        <f t="shared" si="98"/>
        <v>0</v>
      </c>
      <c r="BH247" s="9">
        <v>0</v>
      </c>
      <c r="BI247" s="9">
        <f t="shared" si="99"/>
        <v>0</v>
      </c>
      <c r="BJ247" s="9">
        <v>0</v>
      </c>
      <c r="BK247" s="9">
        <v>0</v>
      </c>
      <c r="BL247" s="9">
        <f t="shared" si="100"/>
        <v>0</v>
      </c>
      <c r="BM247" s="9">
        <v>0</v>
      </c>
      <c r="BN247" s="9">
        <f t="shared" si="101"/>
        <v>0</v>
      </c>
      <c r="BO247" s="9">
        <v>0</v>
      </c>
      <c r="BP247" s="9">
        <v>0</v>
      </c>
      <c r="BQ247" s="9">
        <f t="shared" si="102"/>
        <v>0</v>
      </c>
      <c r="BR247" s="9">
        <v>0</v>
      </c>
      <c r="BS247" s="9">
        <f t="shared" si="103"/>
        <v>0</v>
      </c>
      <c r="BT247" s="9">
        <f t="shared" si="104"/>
        <v>0</v>
      </c>
      <c r="BU247" s="9">
        <f t="shared" si="105"/>
        <v>0</v>
      </c>
      <c r="BV247" s="9">
        <f t="shared" si="106"/>
        <v>165.04214999999999</v>
      </c>
      <c r="BW247">
        <f t="shared" si="107"/>
        <v>165.04214999999999</v>
      </c>
      <c r="BX247">
        <v>0</v>
      </c>
      <c r="BY247">
        <f t="shared" si="108"/>
        <v>827.07529117499996</v>
      </c>
      <c r="BZ247">
        <v>373.53447054000003</v>
      </c>
      <c r="CA247">
        <f t="shared" si="109"/>
        <v>1637.8033794600001</v>
      </c>
      <c r="CB247">
        <f t="shared" si="110"/>
        <v>3003.4552911750002</v>
      </c>
      <c r="CC247">
        <v>0</v>
      </c>
      <c r="CD247">
        <v>0</v>
      </c>
      <c r="CE247">
        <f t="shared" si="111"/>
        <v>0</v>
      </c>
      <c r="CF247">
        <f t="shared" si="112"/>
        <v>2176.38</v>
      </c>
      <c r="CG247">
        <f t="shared" si="113"/>
        <v>1637.8033794600001</v>
      </c>
      <c r="CH247">
        <f t="shared" si="114"/>
        <v>0</v>
      </c>
      <c r="CJ247" t="s">
        <v>278</v>
      </c>
      <c r="CL247" t="str">
        <f t="shared" si="115"/>
        <v/>
      </c>
    </row>
    <row r="248" spans="1:90" x14ac:dyDescent="0.25">
      <c r="A248" t="s">
        <v>128</v>
      </c>
      <c r="B248" t="s">
        <v>181</v>
      </c>
      <c r="C248" s="1">
        <v>46204</v>
      </c>
      <c r="D248" t="s">
        <v>182</v>
      </c>
      <c r="E248" t="s">
        <v>175</v>
      </c>
      <c r="F248" s="4">
        <v>1</v>
      </c>
      <c r="G248" s="4">
        <v>0</v>
      </c>
      <c r="H248" s="9">
        <v>2176.38</v>
      </c>
      <c r="I248" s="9">
        <v>362.73</v>
      </c>
      <c r="J248" s="9">
        <f t="shared" si="87"/>
        <v>2539.11</v>
      </c>
      <c r="K248" s="9">
        <v>0</v>
      </c>
      <c r="L248" s="9">
        <f t="shared" si="88"/>
        <v>0</v>
      </c>
      <c r="M248">
        <v>0</v>
      </c>
      <c r="N248" s="4">
        <f t="shared" si="89"/>
        <v>0</v>
      </c>
      <c r="O248" s="9">
        <v>2176.38</v>
      </c>
      <c r="P248" s="9">
        <v>0</v>
      </c>
      <c r="Q248" s="9">
        <v>0</v>
      </c>
      <c r="R248" s="9">
        <v>0</v>
      </c>
      <c r="S248" s="9">
        <v>0</v>
      </c>
      <c r="T248" s="9">
        <v>0</v>
      </c>
      <c r="U248" s="9">
        <v>0</v>
      </c>
      <c r="V248" s="9">
        <v>0</v>
      </c>
      <c r="W248" s="9">
        <f t="shared" si="90"/>
        <v>2176.38</v>
      </c>
      <c r="X248" s="9">
        <v>0</v>
      </c>
      <c r="Y248" s="9">
        <v>0</v>
      </c>
      <c r="Z248" s="9">
        <v>0</v>
      </c>
      <c r="AA248" s="9">
        <v>0</v>
      </c>
      <c r="AB248" s="9">
        <f t="shared" si="91"/>
        <v>0</v>
      </c>
      <c r="AC248" s="9">
        <v>0</v>
      </c>
      <c r="AD248" s="9">
        <v>0</v>
      </c>
      <c r="AE248" s="9">
        <v>2176.38</v>
      </c>
      <c r="AF248" s="9">
        <v>0</v>
      </c>
      <c r="AG248" s="9">
        <v>0</v>
      </c>
      <c r="AH248" s="9">
        <v>0</v>
      </c>
      <c r="AI248" s="9">
        <v>0</v>
      </c>
      <c r="AJ248" s="9">
        <v>0</v>
      </c>
      <c r="AK248" s="9">
        <v>0</v>
      </c>
      <c r="AL248" s="9">
        <v>0</v>
      </c>
      <c r="AM248" s="9">
        <v>0</v>
      </c>
      <c r="AN248" s="9">
        <v>0</v>
      </c>
      <c r="AO248" s="9">
        <v>0</v>
      </c>
      <c r="AP248" s="9">
        <v>0</v>
      </c>
      <c r="AQ248" s="25">
        <v>0</v>
      </c>
      <c r="AR248" s="9">
        <f t="shared" si="92"/>
        <v>0</v>
      </c>
      <c r="AS248" s="25">
        <v>0</v>
      </c>
      <c r="AT248" s="9">
        <f t="shared" si="93"/>
        <v>0</v>
      </c>
      <c r="AU248" s="9">
        <v>0</v>
      </c>
      <c r="AV248" s="25">
        <v>0</v>
      </c>
      <c r="AW248" s="9">
        <f t="shared" si="94"/>
        <v>0</v>
      </c>
      <c r="AX248" s="25">
        <v>0</v>
      </c>
      <c r="AY248" s="9">
        <f t="shared" si="95"/>
        <v>0</v>
      </c>
      <c r="AZ248" s="9">
        <v>0</v>
      </c>
      <c r="BA248" s="25">
        <v>0</v>
      </c>
      <c r="BB248" s="9">
        <f t="shared" si="96"/>
        <v>0</v>
      </c>
      <c r="BC248" s="25">
        <v>0</v>
      </c>
      <c r="BD248" s="9">
        <f t="shared" si="97"/>
        <v>0</v>
      </c>
      <c r="BE248" s="9">
        <v>0</v>
      </c>
      <c r="BF248" s="9">
        <v>0</v>
      </c>
      <c r="BG248" s="9">
        <f t="shared" si="98"/>
        <v>0</v>
      </c>
      <c r="BH248" s="9">
        <v>0</v>
      </c>
      <c r="BI248" s="9">
        <f t="shared" si="99"/>
        <v>0</v>
      </c>
      <c r="BJ248" s="9">
        <v>0</v>
      </c>
      <c r="BK248" s="9">
        <v>0</v>
      </c>
      <c r="BL248" s="9">
        <f t="shared" si="100"/>
        <v>0</v>
      </c>
      <c r="BM248" s="9">
        <v>0</v>
      </c>
      <c r="BN248" s="9">
        <f t="shared" si="101"/>
        <v>0</v>
      </c>
      <c r="BO248" s="9">
        <v>0</v>
      </c>
      <c r="BP248" s="9">
        <v>0</v>
      </c>
      <c r="BQ248" s="9">
        <f t="shared" si="102"/>
        <v>0</v>
      </c>
      <c r="BR248" s="9">
        <v>0</v>
      </c>
      <c r="BS248" s="9">
        <f t="shared" si="103"/>
        <v>0</v>
      </c>
      <c r="BT248" s="9">
        <f t="shared" si="104"/>
        <v>0</v>
      </c>
      <c r="BU248" s="9">
        <f t="shared" si="105"/>
        <v>0</v>
      </c>
      <c r="BV248" s="9">
        <f t="shared" si="106"/>
        <v>0</v>
      </c>
      <c r="BW248">
        <f t="shared" si="107"/>
        <v>0</v>
      </c>
      <c r="BX248">
        <v>0</v>
      </c>
      <c r="BY248">
        <f t="shared" si="108"/>
        <v>0</v>
      </c>
      <c r="BZ248">
        <v>373.53447053999992</v>
      </c>
      <c r="CA248">
        <f t="shared" si="109"/>
        <v>1802.8455294600003</v>
      </c>
      <c r="CB248">
        <f t="shared" si="110"/>
        <v>2176.38</v>
      </c>
      <c r="CC248">
        <v>0</v>
      </c>
      <c r="CD248">
        <v>0</v>
      </c>
      <c r="CE248">
        <f t="shared" si="111"/>
        <v>0</v>
      </c>
      <c r="CF248">
        <f t="shared" si="112"/>
        <v>2176.38</v>
      </c>
      <c r="CG248">
        <f t="shared" si="113"/>
        <v>1802.8455294600003</v>
      </c>
      <c r="CH248">
        <f t="shared" si="114"/>
        <v>0</v>
      </c>
      <c r="CJ248" t="s">
        <v>278</v>
      </c>
      <c r="CL248" t="str">
        <f t="shared" si="115"/>
        <v/>
      </c>
    </row>
    <row r="249" spans="1:90" x14ac:dyDescent="0.25">
      <c r="A249" t="s">
        <v>128</v>
      </c>
      <c r="B249" t="s">
        <v>183</v>
      </c>
      <c r="C249" s="1">
        <v>46204</v>
      </c>
      <c r="D249" t="s">
        <v>174</v>
      </c>
      <c r="E249" t="s">
        <v>175</v>
      </c>
      <c r="F249" s="4">
        <v>1</v>
      </c>
      <c r="G249" s="4">
        <v>0</v>
      </c>
      <c r="H249" s="9">
        <v>2176.38</v>
      </c>
      <c r="I249" s="9">
        <v>362.73</v>
      </c>
      <c r="J249" s="9">
        <f t="shared" si="87"/>
        <v>2539.11</v>
      </c>
      <c r="K249" s="9">
        <v>0</v>
      </c>
      <c r="L249" s="9">
        <f t="shared" si="88"/>
        <v>0</v>
      </c>
      <c r="M249">
        <v>0</v>
      </c>
      <c r="N249" s="4">
        <f t="shared" si="89"/>
        <v>0</v>
      </c>
      <c r="O249" s="9">
        <v>2176.38</v>
      </c>
      <c r="P249" s="9">
        <v>0</v>
      </c>
      <c r="Q249" s="9">
        <v>0</v>
      </c>
      <c r="R249" s="9">
        <v>0</v>
      </c>
      <c r="S249" s="9">
        <v>0</v>
      </c>
      <c r="T249" s="9">
        <v>0</v>
      </c>
      <c r="U249" s="9">
        <v>0</v>
      </c>
      <c r="V249" s="9">
        <v>0</v>
      </c>
      <c r="W249" s="9">
        <f t="shared" si="90"/>
        <v>2176.38</v>
      </c>
      <c r="X249" s="9">
        <v>362.73</v>
      </c>
      <c r="Y249" s="9">
        <v>0</v>
      </c>
      <c r="Z249" s="9">
        <v>2539.11</v>
      </c>
      <c r="AA249" s="9">
        <v>0</v>
      </c>
      <c r="AB249" s="9">
        <f t="shared" si="91"/>
        <v>2539.11</v>
      </c>
      <c r="AC249" s="9">
        <v>2539.11</v>
      </c>
      <c r="AD249" s="9">
        <v>0</v>
      </c>
      <c r="AE249" s="9">
        <v>2176.38</v>
      </c>
      <c r="AF249" s="9">
        <v>119.33817000000001</v>
      </c>
      <c r="AG249" s="9">
        <v>607.12214219999998</v>
      </c>
      <c r="AH249" s="9">
        <v>39.356205000000003</v>
      </c>
      <c r="AI249" s="9">
        <v>141.49032975</v>
      </c>
      <c r="AJ249" s="9">
        <v>5.1451029000000004</v>
      </c>
      <c r="AK249" s="9">
        <v>2.53911</v>
      </c>
      <c r="AL249" s="9">
        <v>15.4353087</v>
      </c>
      <c r="AM249" s="9">
        <v>3.8086650000000004</v>
      </c>
      <c r="AN249" s="9">
        <v>19.294135874999998</v>
      </c>
      <c r="AO249" s="9">
        <v>38.588271749999997</v>
      </c>
      <c r="AP249" s="9">
        <v>0</v>
      </c>
      <c r="AQ249" s="25">
        <v>0</v>
      </c>
      <c r="AR249" s="9">
        <f t="shared" si="92"/>
        <v>0</v>
      </c>
      <c r="AS249" s="25">
        <v>0</v>
      </c>
      <c r="AT249" s="9">
        <f t="shared" si="93"/>
        <v>0</v>
      </c>
      <c r="AU249" s="9">
        <v>0</v>
      </c>
      <c r="AV249" s="25">
        <v>0</v>
      </c>
      <c r="AW249" s="9">
        <f t="shared" si="94"/>
        <v>0</v>
      </c>
      <c r="AX249" s="25">
        <v>0</v>
      </c>
      <c r="AY249" s="9">
        <f t="shared" si="95"/>
        <v>0</v>
      </c>
      <c r="AZ249" s="9">
        <v>0</v>
      </c>
      <c r="BA249" s="25">
        <v>0</v>
      </c>
      <c r="BB249" s="9">
        <f t="shared" si="96"/>
        <v>0</v>
      </c>
      <c r="BC249" s="25">
        <v>0</v>
      </c>
      <c r="BD249" s="9">
        <f t="shared" si="97"/>
        <v>0</v>
      </c>
      <c r="BE249" s="9">
        <v>0</v>
      </c>
      <c r="BF249" s="9">
        <v>0</v>
      </c>
      <c r="BG249" s="9">
        <f t="shared" si="98"/>
        <v>0</v>
      </c>
      <c r="BH249" s="9">
        <v>0</v>
      </c>
      <c r="BI249" s="9">
        <f t="shared" si="99"/>
        <v>0</v>
      </c>
      <c r="BJ249" s="9">
        <v>0</v>
      </c>
      <c r="BK249" s="9">
        <v>0</v>
      </c>
      <c r="BL249" s="9">
        <f t="shared" si="100"/>
        <v>0</v>
      </c>
      <c r="BM249" s="9">
        <v>0</v>
      </c>
      <c r="BN249" s="9">
        <f t="shared" si="101"/>
        <v>0</v>
      </c>
      <c r="BO249" s="9">
        <v>0</v>
      </c>
      <c r="BP249" s="9">
        <v>0</v>
      </c>
      <c r="BQ249" s="9">
        <f t="shared" si="102"/>
        <v>0</v>
      </c>
      <c r="BR249" s="9">
        <v>0</v>
      </c>
      <c r="BS249" s="9">
        <f t="shared" si="103"/>
        <v>0</v>
      </c>
      <c r="BT249" s="9">
        <f t="shared" si="104"/>
        <v>0</v>
      </c>
      <c r="BU249" s="9">
        <f t="shared" si="105"/>
        <v>0</v>
      </c>
      <c r="BV249" s="9">
        <f t="shared" si="106"/>
        <v>165.04214999999999</v>
      </c>
      <c r="BW249">
        <f t="shared" si="107"/>
        <v>165.04214999999999</v>
      </c>
      <c r="BX249">
        <v>0</v>
      </c>
      <c r="BY249">
        <f t="shared" si="108"/>
        <v>827.07529117499996</v>
      </c>
      <c r="BZ249">
        <v>373.53447054000003</v>
      </c>
      <c r="CA249">
        <f t="shared" si="109"/>
        <v>1637.8033794600001</v>
      </c>
      <c r="CB249">
        <f t="shared" si="110"/>
        <v>3003.4552911750002</v>
      </c>
      <c r="CC249">
        <v>0</v>
      </c>
      <c r="CD249">
        <v>0</v>
      </c>
      <c r="CE249">
        <f t="shared" si="111"/>
        <v>0</v>
      </c>
      <c r="CF249">
        <f t="shared" si="112"/>
        <v>2176.38</v>
      </c>
      <c r="CG249">
        <f t="shared" si="113"/>
        <v>1637.8033794600001</v>
      </c>
      <c r="CH249">
        <f t="shared" si="114"/>
        <v>0</v>
      </c>
      <c r="CJ249" t="s">
        <v>278</v>
      </c>
      <c r="CL249" t="str">
        <f t="shared" si="115"/>
        <v/>
      </c>
    </row>
    <row r="250" spans="1:90" x14ac:dyDescent="0.25">
      <c r="A250" t="s">
        <v>128</v>
      </c>
      <c r="B250" t="s">
        <v>184</v>
      </c>
      <c r="C250" s="1">
        <v>46235</v>
      </c>
      <c r="D250" t="s">
        <v>174</v>
      </c>
      <c r="E250" t="s">
        <v>175</v>
      </c>
      <c r="F250" s="4">
        <v>1</v>
      </c>
      <c r="G250" s="4">
        <v>0.05</v>
      </c>
      <c r="H250" s="9">
        <v>2285.1990000000001</v>
      </c>
      <c r="I250" s="9">
        <v>380.86649999999997</v>
      </c>
      <c r="J250" s="9">
        <f t="shared" si="87"/>
        <v>2666.0655000000002</v>
      </c>
      <c r="K250" s="9">
        <v>0</v>
      </c>
      <c r="L250" s="9">
        <f t="shared" si="88"/>
        <v>0</v>
      </c>
      <c r="M250">
        <v>0</v>
      </c>
      <c r="N250" s="4">
        <f t="shared" si="89"/>
        <v>0</v>
      </c>
      <c r="O250" s="9">
        <v>2176.38</v>
      </c>
      <c r="P250" s="9">
        <v>108.81900000000002</v>
      </c>
      <c r="Q250" s="9">
        <v>0</v>
      </c>
      <c r="R250" s="9">
        <v>0</v>
      </c>
      <c r="S250" s="9">
        <v>0</v>
      </c>
      <c r="T250" s="9">
        <v>0</v>
      </c>
      <c r="U250" s="9">
        <v>0</v>
      </c>
      <c r="V250" s="9">
        <v>0</v>
      </c>
      <c r="W250" s="9">
        <f t="shared" si="90"/>
        <v>2285.1990000000001</v>
      </c>
      <c r="X250" s="9">
        <v>380.86649999999997</v>
      </c>
      <c r="Y250" s="9">
        <v>0</v>
      </c>
      <c r="Z250" s="9">
        <v>2666.0655000000002</v>
      </c>
      <c r="AA250" s="9">
        <v>0</v>
      </c>
      <c r="AB250" s="9">
        <f t="shared" si="91"/>
        <v>2666.0655000000002</v>
      </c>
      <c r="AC250" s="9">
        <v>2666.0655000000002</v>
      </c>
      <c r="AD250" s="9">
        <v>0</v>
      </c>
      <c r="AE250" s="9">
        <v>2285.1990000000001</v>
      </c>
      <c r="AF250" s="9">
        <v>125.30507850000001</v>
      </c>
      <c r="AG250" s="9">
        <v>607.12214219999998</v>
      </c>
      <c r="AH250" s="9">
        <v>41.324015250000002</v>
      </c>
      <c r="AI250" s="9">
        <v>141.49032975</v>
      </c>
      <c r="AJ250" s="9">
        <v>5.1451029000000004</v>
      </c>
      <c r="AK250" s="9">
        <v>2.6660655000000002</v>
      </c>
      <c r="AL250" s="9">
        <v>15.4353087</v>
      </c>
      <c r="AM250" s="9">
        <v>3.9990982500000003</v>
      </c>
      <c r="AN250" s="9">
        <v>19.294135874999998</v>
      </c>
      <c r="AO250" s="9">
        <v>38.588271749999997</v>
      </c>
      <c r="AP250" s="9">
        <v>0</v>
      </c>
      <c r="AQ250" s="25">
        <v>0</v>
      </c>
      <c r="AR250" s="9">
        <f t="shared" si="92"/>
        <v>0</v>
      </c>
      <c r="AS250" s="25">
        <v>0</v>
      </c>
      <c r="AT250" s="9">
        <f t="shared" si="93"/>
        <v>0</v>
      </c>
      <c r="AU250" s="9">
        <v>0</v>
      </c>
      <c r="AV250" s="25">
        <v>0</v>
      </c>
      <c r="AW250" s="9">
        <f t="shared" si="94"/>
        <v>0</v>
      </c>
      <c r="AX250" s="25">
        <v>0</v>
      </c>
      <c r="AY250" s="9">
        <f t="shared" si="95"/>
        <v>0</v>
      </c>
      <c r="AZ250" s="9">
        <v>0</v>
      </c>
      <c r="BA250" s="25">
        <v>0</v>
      </c>
      <c r="BB250" s="9">
        <f t="shared" si="96"/>
        <v>0</v>
      </c>
      <c r="BC250" s="25">
        <v>0</v>
      </c>
      <c r="BD250" s="9">
        <f t="shared" si="97"/>
        <v>0</v>
      </c>
      <c r="BE250" s="9">
        <v>0</v>
      </c>
      <c r="BF250" s="9">
        <v>0</v>
      </c>
      <c r="BG250" s="9">
        <f t="shared" si="98"/>
        <v>0</v>
      </c>
      <c r="BH250" s="9">
        <v>0</v>
      </c>
      <c r="BI250" s="9">
        <f t="shared" si="99"/>
        <v>0</v>
      </c>
      <c r="BJ250" s="9">
        <v>0</v>
      </c>
      <c r="BK250" s="9">
        <v>0</v>
      </c>
      <c r="BL250" s="9">
        <f t="shared" si="100"/>
        <v>0</v>
      </c>
      <c r="BM250" s="9">
        <v>0</v>
      </c>
      <c r="BN250" s="9">
        <f t="shared" si="101"/>
        <v>0</v>
      </c>
      <c r="BO250" s="9">
        <v>0</v>
      </c>
      <c r="BP250" s="9">
        <v>0</v>
      </c>
      <c r="BQ250" s="9">
        <f t="shared" si="102"/>
        <v>0</v>
      </c>
      <c r="BR250" s="9">
        <v>0</v>
      </c>
      <c r="BS250" s="9">
        <f t="shared" si="103"/>
        <v>0</v>
      </c>
      <c r="BT250" s="9">
        <f t="shared" si="104"/>
        <v>0</v>
      </c>
      <c r="BU250" s="9">
        <f t="shared" si="105"/>
        <v>0</v>
      </c>
      <c r="BV250" s="9">
        <f t="shared" si="106"/>
        <v>173.29425750000001</v>
      </c>
      <c r="BW250">
        <f t="shared" si="107"/>
        <v>173.29425750000001</v>
      </c>
      <c r="BX250">
        <v>0</v>
      </c>
      <c r="BY250">
        <f t="shared" si="108"/>
        <v>827.07529117499996</v>
      </c>
      <c r="BZ250">
        <v>373.53447054000003</v>
      </c>
      <c r="CA250">
        <f t="shared" si="109"/>
        <v>1738.3702719599999</v>
      </c>
      <c r="CB250">
        <f t="shared" si="110"/>
        <v>3112.2742911750001</v>
      </c>
      <c r="CC250">
        <v>0</v>
      </c>
      <c r="CD250">
        <v>0</v>
      </c>
      <c r="CE250">
        <f t="shared" si="111"/>
        <v>0</v>
      </c>
      <c r="CF250">
        <f t="shared" si="112"/>
        <v>2285.1990000000001</v>
      </c>
      <c r="CG250">
        <f t="shared" si="113"/>
        <v>1738.3702719599999</v>
      </c>
      <c r="CH250">
        <f t="shared" si="114"/>
        <v>0</v>
      </c>
      <c r="CJ250" t="s">
        <v>278</v>
      </c>
      <c r="CL250" t="str">
        <f t="shared" si="115"/>
        <v/>
      </c>
    </row>
    <row r="251" spans="1:90" x14ac:dyDescent="0.25">
      <c r="A251" t="s">
        <v>128</v>
      </c>
      <c r="B251" t="s">
        <v>185</v>
      </c>
      <c r="C251" s="1">
        <v>46266</v>
      </c>
      <c r="D251" t="s">
        <v>174</v>
      </c>
      <c r="E251" t="s">
        <v>175</v>
      </c>
      <c r="F251" s="4">
        <v>1</v>
      </c>
      <c r="G251" s="4">
        <v>0.05</v>
      </c>
      <c r="H251" s="9">
        <v>2285.1990000000001</v>
      </c>
      <c r="I251" s="9">
        <v>380.86649999999997</v>
      </c>
      <c r="J251" s="9">
        <f t="shared" si="87"/>
        <v>2666.0655000000002</v>
      </c>
      <c r="K251" s="9">
        <v>0</v>
      </c>
      <c r="L251" s="9">
        <f t="shared" si="88"/>
        <v>0</v>
      </c>
      <c r="M251">
        <v>0</v>
      </c>
      <c r="N251" s="4">
        <f t="shared" si="89"/>
        <v>0</v>
      </c>
      <c r="O251" s="9">
        <v>2176.38</v>
      </c>
      <c r="P251" s="9">
        <v>108.81900000000002</v>
      </c>
      <c r="Q251" s="9">
        <v>0</v>
      </c>
      <c r="R251" s="9">
        <v>0</v>
      </c>
      <c r="S251" s="9">
        <v>0</v>
      </c>
      <c r="T251" s="9">
        <v>0</v>
      </c>
      <c r="U251" s="9">
        <v>0</v>
      </c>
      <c r="V251" s="9">
        <v>0</v>
      </c>
      <c r="W251" s="9">
        <f t="shared" si="90"/>
        <v>2285.1990000000001</v>
      </c>
      <c r="X251" s="9">
        <v>380.86649999999997</v>
      </c>
      <c r="Y251" s="9">
        <v>0</v>
      </c>
      <c r="Z251" s="9">
        <v>2666.0655000000002</v>
      </c>
      <c r="AA251" s="9">
        <v>0</v>
      </c>
      <c r="AB251" s="9">
        <f t="shared" si="91"/>
        <v>2666.0655000000002</v>
      </c>
      <c r="AC251" s="9">
        <v>2666.0655000000002</v>
      </c>
      <c r="AD251" s="9">
        <v>0</v>
      </c>
      <c r="AE251" s="9">
        <v>2285.1990000000001</v>
      </c>
      <c r="AF251" s="9">
        <v>125.30507850000001</v>
      </c>
      <c r="AG251" s="9">
        <v>607.12214219999998</v>
      </c>
      <c r="AH251" s="9">
        <v>41.324015250000002</v>
      </c>
      <c r="AI251" s="9">
        <v>141.49032975</v>
      </c>
      <c r="AJ251" s="9">
        <v>5.1451029000000004</v>
      </c>
      <c r="AK251" s="9">
        <v>2.6660655000000002</v>
      </c>
      <c r="AL251" s="9">
        <v>15.4353087</v>
      </c>
      <c r="AM251" s="9">
        <v>3.9990982500000003</v>
      </c>
      <c r="AN251" s="9">
        <v>19.294135874999998</v>
      </c>
      <c r="AO251" s="9">
        <v>38.588271749999997</v>
      </c>
      <c r="AP251" s="9">
        <v>0</v>
      </c>
      <c r="AQ251" s="25">
        <v>0</v>
      </c>
      <c r="AR251" s="9">
        <f t="shared" si="92"/>
        <v>0</v>
      </c>
      <c r="AS251" s="25">
        <v>0</v>
      </c>
      <c r="AT251" s="9">
        <f t="shared" si="93"/>
        <v>0</v>
      </c>
      <c r="AU251" s="9">
        <v>0</v>
      </c>
      <c r="AV251" s="25">
        <v>0</v>
      </c>
      <c r="AW251" s="9">
        <f t="shared" si="94"/>
        <v>0</v>
      </c>
      <c r="AX251" s="25">
        <v>0</v>
      </c>
      <c r="AY251" s="9">
        <f t="shared" si="95"/>
        <v>0</v>
      </c>
      <c r="AZ251" s="9">
        <v>0</v>
      </c>
      <c r="BA251" s="25">
        <v>0</v>
      </c>
      <c r="BB251" s="9">
        <f t="shared" si="96"/>
        <v>0</v>
      </c>
      <c r="BC251" s="25">
        <v>0</v>
      </c>
      <c r="BD251" s="9">
        <f t="shared" si="97"/>
        <v>0</v>
      </c>
      <c r="BE251" s="9">
        <v>0</v>
      </c>
      <c r="BF251" s="9">
        <v>0</v>
      </c>
      <c r="BG251" s="9">
        <f t="shared" si="98"/>
        <v>0</v>
      </c>
      <c r="BH251" s="9">
        <v>0</v>
      </c>
      <c r="BI251" s="9">
        <f t="shared" si="99"/>
        <v>0</v>
      </c>
      <c r="BJ251" s="9">
        <v>0</v>
      </c>
      <c r="BK251" s="9">
        <v>0</v>
      </c>
      <c r="BL251" s="9">
        <f t="shared" si="100"/>
        <v>0</v>
      </c>
      <c r="BM251" s="9">
        <v>0</v>
      </c>
      <c r="BN251" s="9">
        <f t="shared" si="101"/>
        <v>0</v>
      </c>
      <c r="BO251" s="9">
        <v>0</v>
      </c>
      <c r="BP251" s="9">
        <v>0</v>
      </c>
      <c r="BQ251" s="9">
        <f t="shared" si="102"/>
        <v>0</v>
      </c>
      <c r="BR251" s="9">
        <v>0</v>
      </c>
      <c r="BS251" s="9">
        <f t="shared" si="103"/>
        <v>0</v>
      </c>
      <c r="BT251" s="9">
        <f t="shared" si="104"/>
        <v>0</v>
      </c>
      <c r="BU251" s="9">
        <f t="shared" si="105"/>
        <v>0</v>
      </c>
      <c r="BV251" s="9">
        <f t="shared" si="106"/>
        <v>173.29425750000001</v>
      </c>
      <c r="BW251">
        <f t="shared" si="107"/>
        <v>173.29425750000001</v>
      </c>
      <c r="BX251">
        <v>0</v>
      </c>
      <c r="BY251">
        <f t="shared" si="108"/>
        <v>827.07529117499996</v>
      </c>
      <c r="BZ251">
        <v>373.53447054000003</v>
      </c>
      <c r="CA251">
        <f t="shared" si="109"/>
        <v>1738.3702719599999</v>
      </c>
      <c r="CB251">
        <f t="shared" si="110"/>
        <v>3112.2742911750001</v>
      </c>
      <c r="CC251">
        <v>0</v>
      </c>
      <c r="CD251">
        <v>0</v>
      </c>
      <c r="CE251">
        <f t="shared" si="111"/>
        <v>0</v>
      </c>
      <c r="CF251">
        <f t="shared" si="112"/>
        <v>2285.1990000000001</v>
      </c>
      <c r="CG251">
        <f t="shared" si="113"/>
        <v>1738.3702719599999</v>
      </c>
      <c r="CH251">
        <f t="shared" si="114"/>
        <v>0</v>
      </c>
      <c r="CJ251" t="s">
        <v>278</v>
      </c>
      <c r="CL251" t="str">
        <f t="shared" si="115"/>
        <v/>
      </c>
    </row>
    <row r="252" spans="1:90" x14ac:dyDescent="0.25">
      <c r="A252" t="s">
        <v>128</v>
      </c>
      <c r="B252" t="s">
        <v>186</v>
      </c>
      <c r="C252" s="1">
        <v>46296</v>
      </c>
      <c r="D252" t="s">
        <v>174</v>
      </c>
      <c r="E252" t="s">
        <v>175</v>
      </c>
      <c r="F252" s="4">
        <v>1</v>
      </c>
      <c r="G252" s="4">
        <v>0.05</v>
      </c>
      <c r="H252" s="9">
        <v>2285.1990000000001</v>
      </c>
      <c r="I252" s="9">
        <v>380.86649999999997</v>
      </c>
      <c r="J252" s="9">
        <f t="shared" si="87"/>
        <v>2666.0655000000002</v>
      </c>
      <c r="K252" s="9">
        <v>0</v>
      </c>
      <c r="L252" s="9">
        <f t="shared" si="88"/>
        <v>0</v>
      </c>
      <c r="M252">
        <v>0</v>
      </c>
      <c r="N252" s="4">
        <f t="shared" si="89"/>
        <v>0</v>
      </c>
      <c r="O252" s="9">
        <v>2176.38</v>
      </c>
      <c r="P252" s="9">
        <v>108.81900000000002</v>
      </c>
      <c r="Q252" s="9">
        <v>0</v>
      </c>
      <c r="R252" s="9">
        <v>0</v>
      </c>
      <c r="S252" s="9">
        <v>0</v>
      </c>
      <c r="T252" s="9">
        <v>0</v>
      </c>
      <c r="U252" s="9">
        <v>0</v>
      </c>
      <c r="V252" s="9">
        <v>0</v>
      </c>
      <c r="W252" s="9">
        <f t="shared" si="90"/>
        <v>2285.1990000000001</v>
      </c>
      <c r="X252" s="9">
        <v>380.86649999999997</v>
      </c>
      <c r="Y252" s="9">
        <v>0</v>
      </c>
      <c r="Z252" s="9">
        <v>2666.0655000000002</v>
      </c>
      <c r="AA252" s="9">
        <v>0</v>
      </c>
      <c r="AB252" s="9">
        <f t="shared" si="91"/>
        <v>2666.0655000000002</v>
      </c>
      <c r="AC252" s="9">
        <v>2666.0655000000002</v>
      </c>
      <c r="AD252" s="9">
        <v>0</v>
      </c>
      <c r="AE252" s="9">
        <v>2285.1990000000001</v>
      </c>
      <c r="AF252" s="9">
        <v>125.30507850000001</v>
      </c>
      <c r="AG252" s="9">
        <v>637.47824930999991</v>
      </c>
      <c r="AH252" s="9">
        <v>41.324015250000002</v>
      </c>
      <c r="AI252" s="9">
        <v>148.56484623750001</v>
      </c>
      <c r="AJ252" s="9">
        <v>5.4023580449999997</v>
      </c>
      <c r="AK252" s="9">
        <v>2.6660655000000002</v>
      </c>
      <c r="AL252" s="9">
        <v>16.207074134999999</v>
      </c>
      <c r="AM252" s="9">
        <v>3.9990982500000003</v>
      </c>
      <c r="AN252" s="9">
        <v>20.258842668749999</v>
      </c>
      <c r="AO252" s="9">
        <v>40.517685337499998</v>
      </c>
      <c r="AP252" s="9">
        <v>0</v>
      </c>
      <c r="AQ252" s="25">
        <v>0</v>
      </c>
      <c r="AR252" s="9">
        <f t="shared" si="92"/>
        <v>0</v>
      </c>
      <c r="AS252" s="25">
        <v>0</v>
      </c>
      <c r="AT252" s="9">
        <f t="shared" si="93"/>
        <v>0</v>
      </c>
      <c r="AU252" s="9">
        <v>0</v>
      </c>
      <c r="AV252" s="25">
        <v>0</v>
      </c>
      <c r="AW252" s="9">
        <f t="shared" si="94"/>
        <v>0</v>
      </c>
      <c r="AX252" s="25">
        <v>0</v>
      </c>
      <c r="AY252" s="9">
        <f t="shared" si="95"/>
        <v>0</v>
      </c>
      <c r="AZ252" s="9">
        <v>0</v>
      </c>
      <c r="BA252" s="25">
        <v>0</v>
      </c>
      <c r="BB252" s="9">
        <f t="shared" si="96"/>
        <v>0</v>
      </c>
      <c r="BC252" s="25">
        <v>0</v>
      </c>
      <c r="BD252" s="9">
        <f t="shared" si="97"/>
        <v>0</v>
      </c>
      <c r="BE252" s="9">
        <v>0</v>
      </c>
      <c r="BF252" s="9">
        <v>0</v>
      </c>
      <c r="BG252" s="9">
        <f t="shared" si="98"/>
        <v>0</v>
      </c>
      <c r="BH252" s="9">
        <v>0</v>
      </c>
      <c r="BI252" s="9">
        <f t="shared" si="99"/>
        <v>0</v>
      </c>
      <c r="BJ252" s="9">
        <v>0</v>
      </c>
      <c r="BK252" s="9">
        <v>0</v>
      </c>
      <c r="BL252" s="9">
        <f t="shared" si="100"/>
        <v>0</v>
      </c>
      <c r="BM252" s="9">
        <v>0</v>
      </c>
      <c r="BN252" s="9">
        <f t="shared" si="101"/>
        <v>0</v>
      </c>
      <c r="BO252" s="9">
        <v>0</v>
      </c>
      <c r="BP252" s="9">
        <v>0</v>
      </c>
      <c r="BQ252" s="9">
        <f t="shared" si="102"/>
        <v>0</v>
      </c>
      <c r="BR252" s="9">
        <v>0</v>
      </c>
      <c r="BS252" s="9">
        <f t="shared" si="103"/>
        <v>0</v>
      </c>
      <c r="BT252" s="9">
        <f t="shared" si="104"/>
        <v>0</v>
      </c>
      <c r="BU252" s="9">
        <f t="shared" si="105"/>
        <v>0</v>
      </c>
      <c r="BV252" s="9">
        <f t="shared" si="106"/>
        <v>173.29425750000001</v>
      </c>
      <c r="BW252">
        <f t="shared" si="107"/>
        <v>173.29425750000001</v>
      </c>
      <c r="BX252">
        <v>0</v>
      </c>
      <c r="BY252">
        <f t="shared" si="108"/>
        <v>868.42905573374992</v>
      </c>
      <c r="BZ252">
        <v>392.21119406699995</v>
      </c>
      <c r="CA252">
        <f t="shared" si="109"/>
        <v>1719.6935484329999</v>
      </c>
      <c r="CB252">
        <f t="shared" si="110"/>
        <v>3153.62805573375</v>
      </c>
      <c r="CC252">
        <v>0</v>
      </c>
      <c r="CD252">
        <v>0</v>
      </c>
      <c r="CE252">
        <f t="shared" si="111"/>
        <v>0</v>
      </c>
      <c r="CF252">
        <f t="shared" si="112"/>
        <v>2285.1990000000001</v>
      </c>
      <c r="CG252">
        <f t="shared" si="113"/>
        <v>1719.6935484329999</v>
      </c>
      <c r="CH252">
        <f t="shared" si="114"/>
        <v>0</v>
      </c>
      <c r="CJ252" t="s">
        <v>278</v>
      </c>
      <c r="CL252" t="str">
        <f t="shared" si="115"/>
        <v/>
      </c>
    </row>
    <row r="253" spans="1:90" x14ac:dyDescent="0.25">
      <c r="A253" t="s">
        <v>128</v>
      </c>
      <c r="B253" t="s">
        <v>187</v>
      </c>
      <c r="C253" s="1">
        <v>46327</v>
      </c>
      <c r="D253" t="s">
        <v>174</v>
      </c>
      <c r="E253" t="s">
        <v>175</v>
      </c>
      <c r="F253" s="4">
        <v>1</v>
      </c>
      <c r="G253" s="4">
        <v>0.05</v>
      </c>
      <c r="H253" s="9">
        <v>2285.1990000000001</v>
      </c>
      <c r="I253" s="9">
        <v>380.86649999999997</v>
      </c>
      <c r="J253" s="9">
        <f t="shared" si="87"/>
        <v>2666.0655000000002</v>
      </c>
      <c r="K253" s="9">
        <v>0</v>
      </c>
      <c r="L253" s="9">
        <f t="shared" si="88"/>
        <v>0</v>
      </c>
      <c r="M253">
        <v>0</v>
      </c>
      <c r="N253" s="4">
        <f t="shared" si="89"/>
        <v>0</v>
      </c>
      <c r="O253" s="9">
        <v>2176.38</v>
      </c>
      <c r="P253" s="9">
        <v>108.81900000000002</v>
      </c>
      <c r="Q253" s="9">
        <v>0</v>
      </c>
      <c r="R253" s="9">
        <v>0</v>
      </c>
      <c r="S253" s="9">
        <v>0</v>
      </c>
      <c r="T253" s="9">
        <v>0</v>
      </c>
      <c r="U253" s="9">
        <v>0</v>
      </c>
      <c r="V253" s="9">
        <v>0</v>
      </c>
      <c r="W253" s="9">
        <f t="shared" si="90"/>
        <v>2285.1990000000001</v>
      </c>
      <c r="X253" s="9">
        <v>380.86649999999997</v>
      </c>
      <c r="Y253" s="9">
        <v>0</v>
      </c>
      <c r="Z253" s="9">
        <v>2666.0655000000002</v>
      </c>
      <c r="AA253" s="9">
        <v>0</v>
      </c>
      <c r="AB253" s="9">
        <f t="shared" si="91"/>
        <v>2666.0655000000002</v>
      </c>
      <c r="AC253" s="9">
        <v>2666.0655000000002</v>
      </c>
      <c r="AD253" s="9">
        <v>0</v>
      </c>
      <c r="AE253" s="9">
        <v>2285.1990000000001</v>
      </c>
      <c r="AF253" s="9">
        <v>125.30507850000001</v>
      </c>
      <c r="AG253" s="9">
        <v>637.47824930999991</v>
      </c>
      <c r="AH253" s="9">
        <v>41.324015250000002</v>
      </c>
      <c r="AI253" s="9">
        <v>148.56484623750001</v>
      </c>
      <c r="AJ253" s="9">
        <v>5.4023580449999997</v>
      </c>
      <c r="AK253" s="9">
        <v>2.6660655000000002</v>
      </c>
      <c r="AL253" s="9">
        <v>16.207074134999999</v>
      </c>
      <c r="AM253" s="9">
        <v>3.9990982500000003</v>
      </c>
      <c r="AN253" s="9">
        <v>20.258842668749999</v>
      </c>
      <c r="AO253" s="9">
        <v>40.517685337499998</v>
      </c>
      <c r="AP253" s="9">
        <v>0</v>
      </c>
      <c r="AQ253" s="25">
        <v>0</v>
      </c>
      <c r="AR253" s="9">
        <f t="shared" si="92"/>
        <v>0</v>
      </c>
      <c r="AS253" s="25">
        <v>0</v>
      </c>
      <c r="AT253" s="9">
        <f t="shared" si="93"/>
        <v>0</v>
      </c>
      <c r="AU253" s="9">
        <v>0</v>
      </c>
      <c r="AV253" s="25">
        <v>0</v>
      </c>
      <c r="AW253" s="9">
        <f t="shared" si="94"/>
        <v>0</v>
      </c>
      <c r="AX253" s="25">
        <v>0</v>
      </c>
      <c r="AY253" s="9">
        <f t="shared" si="95"/>
        <v>0</v>
      </c>
      <c r="AZ253" s="9">
        <v>0</v>
      </c>
      <c r="BA253" s="25">
        <v>0</v>
      </c>
      <c r="BB253" s="9">
        <f t="shared" si="96"/>
        <v>0</v>
      </c>
      <c r="BC253" s="25">
        <v>0</v>
      </c>
      <c r="BD253" s="9">
        <f t="shared" si="97"/>
        <v>0</v>
      </c>
      <c r="BE253" s="9">
        <v>0</v>
      </c>
      <c r="BF253" s="9">
        <v>0</v>
      </c>
      <c r="BG253" s="9">
        <f t="shared" si="98"/>
        <v>0</v>
      </c>
      <c r="BH253" s="9">
        <v>0</v>
      </c>
      <c r="BI253" s="9">
        <f t="shared" si="99"/>
        <v>0</v>
      </c>
      <c r="BJ253" s="9">
        <v>0</v>
      </c>
      <c r="BK253" s="9">
        <v>0</v>
      </c>
      <c r="BL253" s="9">
        <f t="shared" si="100"/>
        <v>0</v>
      </c>
      <c r="BM253" s="9">
        <v>0</v>
      </c>
      <c r="BN253" s="9">
        <f t="shared" si="101"/>
        <v>0</v>
      </c>
      <c r="BO253" s="9">
        <v>0</v>
      </c>
      <c r="BP253" s="9">
        <v>0</v>
      </c>
      <c r="BQ253" s="9">
        <f t="shared" si="102"/>
        <v>0</v>
      </c>
      <c r="BR253" s="9">
        <v>0</v>
      </c>
      <c r="BS253" s="9">
        <f t="shared" si="103"/>
        <v>0</v>
      </c>
      <c r="BT253" s="9">
        <f t="shared" si="104"/>
        <v>0</v>
      </c>
      <c r="BU253" s="9">
        <f t="shared" si="105"/>
        <v>0</v>
      </c>
      <c r="BV253" s="9">
        <f t="shared" si="106"/>
        <v>173.29425750000001</v>
      </c>
      <c r="BW253">
        <f t="shared" si="107"/>
        <v>173.29425750000001</v>
      </c>
      <c r="BX253">
        <v>0</v>
      </c>
      <c r="BY253">
        <f t="shared" si="108"/>
        <v>868.42905573374992</v>
      </c>
      <c r="BZ253">
        <v>392.21119406699995</v>
      </c>
      <c r="CA253">
        <f t="shared" si="109"/>
        <v>1719.6935484329999</v>
      </c>
      <c r="CB253">
        <f t="shared" si="110"/>
        <v>3153.62805573375</v>
      </c>
      <c r="CC253">
        <v>0</v>
      </c>
      <c r="CD253">
        <v>0</v>
      </c>
      <c r="CE253">
        <f t="shared" si="111"/>
        <v>0</v>
      </c>
      <c r="CF253">
        <f t="shared" si="112"/>
        <v>2285.1990000000001</v>
      </c>
      <c r="CG253">
        <f t="shared" si="113"/>
        <v>1719.6935484329999</v>
      </c>
      <c r="CH253">
        <f t="shared" si="114"/>
        <v>0</v>
      </c>
      <c r="CJ253" t="s">
        <v>278</v>
      </c>
      <c r="CL253" t="str">
        <f t="shared" si="115"/>
        <v/>
      </c>
    </row>
    <row r="254" spans="1:90" x14ac:dyDescent="0.25">
      <c r="A254" t="s">
        <v>128</v>
      </c>
      <c r="B254" t="s">
        <v>188</v>
      </c>
      <c r="C254" s="1">
        <v>46357</v>
      </c>
      <c r="D254" t="s">
        <v>182</v>
      </c>
      <c r="E254" t="s">
        <v>175</v>
      </c>
      <c r="F254" s="4">
        <v>1</v>
      </c>
      <c r="G254" s="4">
        <v>0.05</v>
      </c>
      <c r="H254" s="9">
        <v>2285.1990000000001</v>
      </c>
      <c r="I254" s="9">
        <v>380.86649999999997</v>
      </c>
      <c r="J254" s="9">
        <f t="shared" si="87"/>
        <v>2666.0655000000002</v>
      </c>
      <c r="K254" s="9">
        <v>0</v>
      </c>
      <c r="L254" s="9">
        <f t="shared" si="88"/>
        <v>0</v>
      </c>
      <c r="M254">
        <v>0</v>
      </c>
      <c r="N254" s="4">
        <f t="shared" si="89"/>
        <v>0</v>
      </c>
      <c r="O254" s="9">
        <v>2176.38</v>
      </c>
      <c r="P254" s="9">
        <v>108.81900000000002</v>
      </c>
      <c r="Q254" s="9">
        <v>0</v>
      </c>
      <c r="R254" s="9">
        <v>0</v>
      </c>
      <c r="S254" s="9">
        <v>0</v>
      </c>
      <c r="T254" s="9">
        <v>0</v>
      </c>
      <c r="U254" s="9">
        <v>0</v>
      </c>
      <c r="V254" s="9">
        <v>0</v>
      </c>
      <c r="W254" s="9">
        <f t="shared" si="90"/>
        <v>2285.1990000000001</v>
      </c>
      <c r="X254" s="9">
        <v>0</v>
      </c>
      <c r="Y254" s="9">
        <v>0</v>
      </c>
      <c r="Z254" s="9">
        <v>0</v>
      </c>
      <c r="AA254" s="9">
        <v>0</v>
      </c>
      <c r="AB254" s="9">
        <f t="shared" si="91"/>
        <v>0</v>
      </c>
      <c r="AC254" s="9">
        <v>0</v>
      </c>
      <c r="AD254" s="9">
        <v>0</v>
      </c>
      <c r="AE254" s="9">
        <v>2285.1990000000001</v>
      </c>
      <c r="AF254" s="9">
        <v>0</v>
      </c>
      <c r="AG254" s="9">
        <v>0</v>
      </c>
      <c r="AH254" s="9">
        <v>0</v>
      </c>
      <c r="AI254" s="9">
        <v>0</v>
      </c>
      <c r="AJ254" s="9">
        <v>0</v>
      </c>
      <c r="AK254" s="9">
        <v>0</v>
      </c>
      <c r="AL254" s="9">
        <v>0</v>
      </c>
      <c r="AM254" s="9">
        <v>0</v>
      </c>
      <c r="AN254" s="9">
        <v>0</v>
      </c>
      <c r="AO254" s="9">
        <v>0</v>
      </c>
      <c r="AP254" s="9">
        <v>0</v>
      </c>
      <c r="AQ254" s="25">
        <v>0</v>
      </c>
      <c r="AR254" s="9">
        <f t="shared" si="92"/>
        <v>0</v>
      </c>
      <c r="AS254" s="25">
        <v>0</v>
      </c>
      <c r="AT254" s="9">
        <f t="shared" si="93"/>
        <v>0</v>
      </c>
      <c r="AU254" s="9">
        <v>0</v>
      </c>
      <c r="AV254" s="25">
        <v>0</v>
      </c>
      <c r="AW254" s="9">
        <f t="shared" si="94"/>
        <v>0</v>
      </c>
      <c r="AX254" s="25">
        <v>0</v>
      </c>
      <c r="AY254" s="9">
        <f t="shared" si="95"/>
        <v>0</v>
      </c>
      <c r="AZ254" s="9">
        <v>0</v>
      </c>
      <c r="BA254" s="25">
        <v>0</v>
      </c>
      <c r="BB254" s="9">
        <f t="shared" si="96"/>
        <v>0</v>
      </c>
      <c r="BC254" s="25">
        <v>0</v>
      </c>
      <c r="BD254" s="9">
        <f t="shared" si="97"/>
        <v>0</v>
      </c>
      <c r="BE254" s="9">
        <v>0</v>
      </c>
      <c r="BF254" s="9">
        <v>0</v>
      </c>
      <c r="BG254" s="9">
        <f t="shared" si="98"/>
        <v>0</v>
      </c>
      <c r="BH254" s="9">
        <v>0</v>
      </c>
      <c r="BI254" s="9">
        <f t="shared" si="99"/>
        <v>0</v>
      </c>
      <c r="BJ254" s="9">
        <v>0</v>
      </c>
      <c r="BK254" s="9">
        <v>0</v>
      </c>
      <c r="BL254" s="9">
        <f t="shared" si="100"/>
        <v>0</v>
      </c>
      <c r="BM254" s="9">
        <v>0</v>
      </c>
      <c r="BN254" s="9">
        <f t="shared" si="101"/>
        <v>0</v>
      </c>
      <c r="BO254" s="9">
        <v>0</v>
      </c>
      <c r="BP254" s="9">
        <v>0</v>
      </c>
      <c r="BQ254" s="9">
        <f t="shared" si="102"/>
        <v>0</v>
      </c>
      <c r="BR254" s="9">
        <v>0</v>
      </c>
      <c r="BS254" s="9">
        <f t="shared" si="103"/>
        <v>0</v>
      </c>
      <c r="BT254" s="9">
        <f t="shared" si="104"/>
        <v>0</v>
      </c>
      <c r="BU254" s="9">
        <f t="shared" si="105"/>
        <v>0</v>
      </c>
      <c r="BV254" s="9">
        <f t="shared" si="106"/>
        <v>0</v>
      </c>
      <c r="BW254">
        <f t="shared" si="107"/>
        <v>0</v>
      </c>
      <c r="BX254">
        <v>0</v>
      </c>
      <c r="BY254">
        <f t="shared" si="108"/>
        <v>0</v>
      </c>
      <c r="BZ254">
        <v>382.87283230349999</v>
      </c>
      <c r="CA254">
        <f t="shared" si="109"/>
        <v>1902.3261676965001</v>
      </c>
      <c r="CB254">
        <f t="shared" si="110"/>
        <v>2285.1990000000001</v>
      </c>
      <c r="CC254">
        <v>0</v>
      </c>
      <c r="CD254">
        <v>0</v>
      </c>
      <c r="CE254">
        <f t="shared" si="111"/>
        <v>0</v>
      </c>
      <c r="CF254">
        <f t="shared" si="112"/>
        <v>2285.1990000000001</v>
      </c>
      <c r="CG254">
        <f t="shared" si="113"/>
        <v>1902.3261676965001</v>
      </c>
      <c r="CH254">
        <f t="shared" si="114"/>
        <v>0</v>
      </c>
      <c r="CJ254" t="s">
        <v>278</v>
      </c>
      <c r="CL254" t="str">
        <f t="shared" si="115"/>
        <v/>
      </c>
    </row>
    <row r="255" spans="1:90" x14ac:dyDescent="0.25">
      <c r="A255" t="s">
        <v>128</v>
      </c>
      <c r="B255" t="s">
        <v>189</v>
      </c>
      <c r="C255" s="1">
        <v>46357</v>
      </c>
      <c r="D255" t="s">
        <v>174</v>
      </c>
      <c r="E255" t="s">
        <v>175</v>
      </c>
      <c r="F255" s="4">
        <v>1</v>
      </c>
      <c r="G255" s="4">
        <v>0.05</v>
      </c>
      <c r="H255" s="9">
        <v>2285.1990000000001</v>
      </c>
      <c r="I255" s="9">
        <v>380.86649999999997</v>
      </c>
      <c r="J255" s="9">
        <f t="shared" si="87"/>
        <v>2666.0655000000002</v>
      </c>
      <c r="K255" s="9">
        <v>0</v>
      </c>
      <c r="L255" s="9">
        <f t="shared" si="88"/>
        <v>0</v>
      </c>
      <c r="M255">
        <v>0</v>
      </c>
      <c r="N255" s="4">
        <f t="shared" si="89"/>
        <v>0</v>
      </c>
      <c r="O255" s="9">
        <v>2176.38</v>
      </c>
      <c r="P255" s="9">
        <v>108.81900000000002</v>
      </c>
      <c r="Q255" s="9">
        <v>0</v>
      </c>
      <c r="R255" s="9">
        <v>0</v>
      </c>
      <c r="S255" s="9">
        <v>0</v>
      </c>
      <c r="T255" s="9">
        <v>0</v>
      </c>
      <c r="U255" s="9">
        <v>0</v>
      </c>
      <c r="V255" s="9">
        <v>0</v>
      </c>
      <c r="W255" s="9">
        <f t="shared" si="90"/>
        <v>2285.1990000000001</v>
      </c>
      <c r="X255" s="9">
        <v>380.86649999999997</v>
      </c>
      <c r="Y255" s="9">
        <v>0</v>
      </c>
      <c r="Z255" s="9">
        <v>2666.0655000000002</v>
      </c>
      <c r="AA255" s="9">
        <v>0</v>
      </c>
      <c r="AB255" s="9">
        <f t="shared" si="91"/>
        <v>2666.0655000000002</v>
      </c>
      <c r="AC255" s="9">
        <v>2666.0655000000002</v>
      </c>
      <c r="AD255" s="9">
        <v>0</v>
      </c>
      <c r="AE255" s="9">
        <v>2285.1990000000001</v>
      </c>
      <c r="AF255" s="9">
        <v>125.30507850000001</v>
      </c>
      <c r="AG255" s="9">
        <v>637.47824930999991</v>
      </c>
      <c r="AH255" s="9">
        <v>41.324015250000002</v>
      </c>
      <c r="AI255" s="9">
        <v>148.56484623750001</v>
      </c>
      <c r="AJ255" s="9">
        <v>5.4023580449999997</v>
      </c>
      <c r="AK255" s="9">
        <v>2.6660655000000002</v>
      </c>
      <c r="AL255" s="9">
        <v>16.207074134999999</v>
      </c>
      <c r="AM255" s="9">
        <v>3.9990982500000003</v>
      </c>
      <c r="AN255" s="9">
        <v>20.258842668749999</v>
      </c>
      <c r="AO255" s="9">
        <v>40.517685337499998</v>
      </c>
      <c r="AP255" s="9">
        <v>0</v>
      </c>
      <c r="AQ255" s="25">
        <v>0</v>
      </c>
      <c r="AR255" s="9">
        <f t="shared" si="92"/>
        <v>0</v>
      </c>
      <c r="AS255" s="25">
        <v>0</v>
      </c>
      <c r="AT255" s="9">
        <f t="shared" si="93"/>
        <v>0</v>
      </c>
      <c r="AU255" s="9">
        <v>0</v>
      </c>
      <c r="AV255" s="25">
        <v>0</v>
      </c>
      <c r="AW255" s="9">
        <f t="shared" si="94"/>
        <v>0</v>
      </c>
      <c r="AX255" s="25">
        <v>0</v>
      </c>
      <c r="AY255" s="9">
        <f t="shared" si="95"/>
        <v>0</v>
      </c>
      <c r="AZ255" s="9">
        <v>0</v>
      </c>
      <c r="BA255" s="25">
        <v>0</v>
      </c>
      <c r="BB255" s="9">
        <f t="shared" si="96"/>
        <v>0</v>
      </c>
      <c r="BC255" s="25">
        <v>0</v>
      </c>
      <c r="BD255" s="9">
        <f t="shared" si="97"/>
        <v>0</v>
      </c>
      <c r="BE255" s="9">
        <v>0</v>
      </c>
      <c r="BF255" s="9">
        <v>0</v>
      </c>
      <c r="BG255" s="9">
        <f t="shared" si="98"/>
        <v>0</v>
      </c>
      <c r="BH255" s="9">
        <v>0</v>
      </c>
      <c r="BI255" s="9">
        <f t="shared" si="99"/>
        <v>0</v>
      </c>
      <c r="BJ255" s="9">
        <v>0</v>
      </c>
      <c r="BK255" s="9">
        <v>0</v>
      </c>
      <c r="BL255" s="9">
        <f t="shared" si="100"/>
        <v>0</v>
      </c>
      <c r="BM255" s="9">
        <v>0</v>
      </c>
      <c r="BN255" s="9">
        <f t="shared" si="101"/>
        <v>0</v>
      </c>
      <c r="BO255" s="9">
        <v>0</v>
      </c>
      <c r="BP255" s="9">
        <v>0</v>
      </c>
      <c r="BQ255" s="9">
        <f t="shared" si="102"/>
        <v>0</v>
      </c>
      <c r="BR255" s="9">
        <v>0</v>
      </c>
      <c r="BS255" s="9">
        <f t="shared" si="103"/>
        <v>0</v>
      </c>
      <c r="BT255" s="9">
        <f t="shared" si="104"/>
        <v>0</v>
      </c>
      <c r="BU255" s="9">
        <f t="shared" si="105"/>
        <v>0</v>
      </c>
      <c r="BV255" s="9">
        <f t="shared" si="106"/>
        <v>173.29425750000001</v>
      </c>
      <c r="BW255">
        <f t="shared" si="107"/>
        <v>173.29425750000001</v>
      </c>
      <c r="BX255">
        <v>0</v>
      </c>
      <c r="BY255">
        <f t="shared" si="108"/>
        <v>868.42905573374992</v>
      </c>
      <c r="BZ255">
        <v>392.21119406699995</v>
      </c>
      <c r="CA255">
        <f t="shared" si="109"/>
        <v>1719.6935484329999</v>
      </c>
      <c r="CB255">
        <f t="shared" si="110"/>
        <v>3153.62805573375</v>
      </c>
      <c r="CC255">
        <v>0</v>
      </c>
      <c r="CD255">
        <v>0</v>
      </c>
      <c r="CE255">
        <f t="shared" si="111"/>
        <v>0</v>
      </c>
      <c r="CF255">
        <f t="shared" si="112"/>
        <v>2285.1990000000001</v>
      </c>
      <c r="CG255">
        <f t="shared" si="113"/>
        <v>1719.6935484329999</v>
      </c>
      <c r="CH255">
        <f t="shared" si="114"/>
        <v>0</v>
      </c>
      <c r="CJ255" t="s">
        <v>278</v>
      </c>
      <c r="CL255" t="str">
        <f t="shared" si="115"/>
        <v/>
      </c>
    </row>
    <row r="256" spans="1:90" x14ac:dyDescent="0.25">
      <c r="A256" t="s">
        <v>130</v>
      </c>
      <c r="B256" t="s">
        <v>173</v>
      </c>
      <c r="C256" s="1">
        <v>46023</v>
      </c>
      <c r="D256" t="s">
        <v>174</v>
      </c>
      <c r="E256" t="s">
        <v>175</v>
      </c>
      <c r="F256" s="4">
        <v>1</v>
      </c>
      <c r="G256" s="4">
        <v>0</v>
      </c>
      <c r="H256" s="9">
        <v>2119.85</v>
      </c>
      <c r="I256" s="9">
        <v>353.30833333333328</v>
      </c>
      <c r="J256" s="9">
        <f t="shared" si="87"/>
        <v>2473.1583333333333</v>
      </c>
      <c r="K256" s="9">
        <v>0</v>
      </c>
      <c r="L256" s="9">
        <f t="shared" si="88"/>
        <v>0</v>
      </c>
      <c r="M256">
        <v>0</v>
      </c>
      <c r="N256" s="4">
        <f t="shared" si="89"/>
        <v>0</v>
      </c>
      <c r="O256" s="9">
        <v>2119.85</v>
      </c>
      <c r="P256" s="9">
        <v>0</v>
      </c>
      <c r="Q256" s="9">
        <v>0</v>
      </c>
      <c r="R256" s="9">
        <v>0</v>
      </c>
      <c r="S256" s="9">
        <v>0</v>
      </c>
      <c r="T256" s="9">
        <v>0</v>
      </c>
      <c r="U256" s="9">
        <v>0</v>
      </c>
      <c r="V256" s="9">
        <v>0</v>
      </c>
      <c r="W256" s="9">
        <f t="shared" si="90"/>
        <v>2119.85</v>
      </c>
      <c r="X256" s="9">
        <v>353.30833333333328</v>
      </c>
      <c r="Y256" s="9">
        <v>0</v>
      </c>
      <c r="Z256" s="9">
        <v>2473.1583333333333</v>
      </c>
      <c r="AA256" s="9">
        <v>0</v>
      </c>
      <c r="AB256" s="9">
        <f t="shared" si="91"/>
        <v>2473.1583333333333</v>
      </c>
      <c r="AC256" s="9">
        <v>2473.1583333333333</v>
      </c>
      <c r="AD256" s="9">
        <v>0</v>
      </c>
      <c r="AE256" s="9">
        <v>2119.85</v>
      </c>
      <c r="AF256" s="9">
        <v>116.23844166666666</v>
      </c>
      <c r="AG256" s="9">
        <v>566.66433180000001</v>
      </c>
      <c r="AH256" s="9">
        <v>38.333954166666665</v>
      </c>
      <c r="AI256" s="9">
        <v>132.06160274999999</v>
      </c>
      <c r="AJ256" s="9">
        <v>4.8022400999999997</v>
      </c>
      <c r="AK256" s="9">
        <v>2.4731583333333336</v>
      </c>
      <c r="AL256" s="9">
        <v>14.4067203</v>
      </c>
      <c r="AM256" s="9">
        <v>3.7097375000000001</v>
      </c>
      <c r="AN256" s="9">
        <v>18.008400375000001</v>
      </c>
      <c r="AO256" s="9">
        <v>36.016800750000002</v>
      </c>
      <c r="AP256" s="9">
        <v>0</v>
      </c>
      <c r="AQ256" s="25">
        <v>0</v>
      </c>
      <c r="AR256" s="9">
        <f t="shared" si="92"/>
        <v>0</v>
      </c>
      <c r="AS256" s="25">
        <v>0</v>
      </c>
      <c r="AT256" s="9">
        <f t="shared" si="93"/>
        <v>0</v>
      </c>
      <c r="AU256" s="9">
        <v>0</v>
      </c>
      <c r="AV256" s="25">
        <v>0</v>
      </c>
      <c r="AW256" s="9">
        <f t="shared" si="94"/>
        <v>0</v>
      </c>
      <c r="AX256" s="25">
        <v>0</v>
      </c>
      <c r="AY256" s="9">
        <f t="shared" si="95"/>
        <v>0</v>
      </c>
      <c r="AZ256" s="9">
        <v>0</v>
      </c>
      <c r="BA256" s="25">
        <v>0</v>
      </c>
      <c r="BB256" s="9">
        <f t="shared" si="96"/>
        <v>0</v>
      </c>
      <c r="BC256" s="25">
        <v>0</v>
      </c>
      <c r="BD256" s="9">
        <f t="shared" si="97"/>
        <v>0</v>
      </c>
      <c r="BE256" s="9">
        <v>0</v>
      </c>
      <c r="BF256" s="9">
        <v>0</v>
      </c>
      <c r="BG256" s="9">
        <f t="shared" si="98"/>
        <v>0</v>
      </c>
      <c r="BH256" s="9">
        <v>0</v>
      </c>
      <c r="BI256" s="9">
        <f t="shared" si="99"/>
        <v>0</v>
      </c>
      <c r="BJ256" s="9">
        <v>0</v>
      </c>
      <c r="BK256" s="9">
        <v>0</v>
      </c>
      <c r="BL256" s="9">
        <f t="shared" si="100"/>
        <v>0</v>
      </c>
      <c r="BM256" s="9">
        <v>0</v>
      </c>
      <c r="BN256" s="9">
        <f t="shared" si="101"/>
        <v>0</v>
      </c>
      <c r="BO256" s="9">
        <v>0</v>
      </c>
      <c r="BP256" s="9">
        <v>0</v>
      </c>
      <c r="BQ256" s="9">
        <f t="shared" si="102"/>
        <v>0</v>
      </c>
      <c r="BR256" s="9">
        <v>0</v>
      </c>
      <c r="BS256" s="9">
        <f t="shared" si="103"/>
        <v>0</v>
      </c>
      <c r="BT256" s="9">
        <f t="shared" si="104"/>
        <v>0</v>
      </c>
      <c r="BU256" s="9">
        <f t="shared" si="105"/>
        <v>0</v>
      </c>
      <c r="BV256" s="9">
        <f t="shared" si="106"/>
        <v>160.75529166666666</v>
      </c>
      <c r="BW256">
        <f t="shared" si="107"/>
        <v>160.75529166666666</v>
      </c>
      <c r="BX256">
        <v>0</v>
      </c>
      <c r="BY256">
        <f t="shared" si="108"/>
        <v>771.96009607499991</v>
      </c>
      <c r="BZ256">
        <v>331.35456690000001</v>
      </c>
      <c r="CA256">
        <f t="shared" si="109"/>
        <v>1627.7401414333333</v>
      </c>
      <c r="CB256">
        <f t="shared" si="110"/>
        <v>2891.8100960749998</v>
      </c>
      <c r="CC256">
        <v>0</v>
      </c>
      <c r="CD256">
        <v>0</v>
      </c>
      <c r="CE256">
        <f t="shared" si="111"/>
        <v>0</v>
      </c>
      <c r="CF256">
        <f t="shared" si="112"/>
        <v>2119.85</v>
      </c>
      <c r="CG256">
        <f t="shared" si="113"/>
        <v>1627.7401414333333</v>
      </c>
      <c r="CH256">
        <f t="shared" si="114"/>
        <v>0</v>
      </c>
      <c r="CJ256" t="s">
        <v>278</v>
      </c>
      <c r="CL256" t="str">
        <f t="shared" si="115"/>
        <v/>
      </c>
    </row>
    <row r="257" spans="1:90" x14ac:dyDescent="0.25">
      <c r="A257" t="s">
        <v>130</v>
      </c>
      <c r="B257" t="s">
        <v>176</v>
      </c>
      <c r="C257" s="1">
        <v>46054</v>
      </c>
      <c r="D257" t="s">
        <v>174</v>
      </c>
      <c r="E257" t="s">
        <v>175</v>
      </c>
      <c r="F257" s="4">
        <v>1</v>
      </c>
      <c r="G257" s="4">
        <v>0</v>
      </c>
      <c r="H257" s="9">
        <v>2119.85</v>
      </c>
      <c r="I257" s="9">
        <v>353.30833333333328</v>
      </c>
      <c r="J257" s="9">
        <f t="shared" si="87"/>
        <v>2473.1583333333333</v>
      </c>
      <c r="K257" s="9">
        <v>0</v>
      </c>
      <c r="L257" s="9">
        <f t="shared" si="88"/>
        <v>0</v>
      </c>
      <c r="M257">
        <v>0</v>
      </c>
      <c r="N257" s="4">
        <f t="shared" si="89"/>
        <v>0</v>
      </c>
      <c r="O257" s="9">
        <v>2119.85</v>
      </c>
      <c r="P257" s="9">
        <v>0</v>
      </c>
      <c r="Q257" s="9">
        <v>0</v>
      </c>
      <c r="R257" s="9">
        <v>0</v>
      </c>
      <c r="S257" s="9">
        <v>0</v>
      </c>
      <c r="T257" s="9">
        <v>0</v>
      </c>
      <c r="U257" s="9">
        <v>0</v>
      </c>
      <c r="V257" s="9">
        <v>0</v>
      </c>
      <c r="W257" s="9">
        <f t="shared" si="90"/>
        <v>2119.85</v>
      </c>
      <c r="X257" s="9">
        <v>353.30833333333328</v>
      </c>
      <c r="Y257" s="9">
        <v>0</v>
      </c>
      <c r="Z257" s="9">
        <v>2473.1583333333333</v>
      </c>
      <c r="AA257" s="9">
        <v>0</v>
      </c>
      <c r="AB257" s="9">
        <f t="shared" si="91"/>
        <v>2473.1583333333333</v>
      </c>
      <c r="AC257" s="9">
        <v>2473.1583333333333</v>
      </c>
      <c r="AD257" s="9">
        <v>0</v>
      </c>
      <c r="AE257" s="9">
        <v>2119.85</v>
      </c>
      <c r="AF257" s="9">
        <v>116.23844166666666</v>
      </c>
      <c r="AG257" s="9">
        <v>566.66433180000001</v>
      </c>
      <c r="AH257" s="9">
        <v>38.333954166666665</v>
      </c>
      <c r="AI257" s="9">
        <v>132.06160274999999</v>
      </c>
      <c r="AJ257" s="9">
        <v>4.8022400999999997</v>
      </c>
      <c r="AK257" s="9">
        <v>2.4731583333333336</v>
      </c>
      <c r="AL257" s="9">
        <v>14.4067203</v>
      </c>
      <c r="AM257" s="9">
        <v>3.7097375000000001</v>
      </c>
      <c r="AN257" s="9">
        <v>18.008400375000001</v>
      </c>
      <c r="AO257" s="9">
        <v>36.016800750000002</v>
      </c>
      <c r="AP257" s="9">
        <v>0</v>
      </c>
      <c r="AQ257" s="25">
        <v>0</v>
      </c>
      <c r="AR257" s="9">
        <f t="shared" si="92"/>
        <v>0</v>
      </c>
      <c r="AS257" s="25">
        <v>0</v>
      </c>
      <c r="AT257" s="9">
        <f t="shared" si="93"/>
        <v>0</v>
      </c>
      <c r="AU257" s="9">
        <v>0</v>
      </c>
      <c r="AV257" s="25">
        <v>0</v>
      </c>
      <c r="AW257" s="9">
        <f t="shared" si="94"/>
        <v>0</v>
      </c>
      <c r="AX257" s="25">
        <v>0</v>
      </c>
      <c r="AY257" s="9">
        <f t="shared" si="95"/>
        <v>0</v>
      </c>
      <c r="AZ257" s="9">
        <v>0</v>
      </c>
      <c r="BA257" s="25">
        <v>0</v>
      </c>
      <c r="BB257" s="9">
        <f t="shared" si="96"/>
        <v>0</v>
      </c>
      <c r="BC257" s="25">
        <v>0</v>
      </c>
      <c r="BD257" s="9">
        <f t="shared" si="97"/>
        <v>0</v>
      </c>
      <c r="BE257" s="9">
        <v>0</v>
      </c>
      <c r="BF257" s="9">
        <v>0</v>
      </c>
      <c r="BG257" s="9">
        <f t="shared" si="98"/>
        <v>0</v>
      </c>
      <c r="BH257" s="9">
        <v>0</v>
      </c>
      <c r="BI257" s="9">
        <f t="shared" si="99"/>
        <v>0</v>
      </c>
      <c r="BJ257" s="9">
        <v>0</v>
      </c>
      <c r="BK257" s="9">
        <v>0</v>
      </c>
      <c r="BL257" s="9">
        <f t="shared" si="100"/>
        <v>0</v>
      </c>
      <c r="BM257" s="9">
        <v>0</v>
      </c>
      <c r="BN257" s="9">
        <f t="shared" si="101"/>
        <v>0</v>
      </c>
      <c r="BO257" s="9">
        <v>0</v>
      </c>
      <c r="BP257" s="9">
        <v>0</v>
      </c>
      <c r="BQ257" s="9">
        <f t="shared" si="102"/>
        <v>0</v>
      </c>
      <c r="BR257" s="9">
        <v>0</v>
      </c>
      <c r="BS257" s="9">
        <f t="shared" si="103"/>
        <v>0</v>
      </c>
      <c r="BT257" s="9">
        <f t="shared" si="104"/>
        <v>0</v>
      </c>
      <c r="BU257" s="9">
        <f t="shared" si="105"/>
        <v>0</v>
      </c>
      <c r="BV257" s="9">
        <f t="shared" si="106"/>
        <v>160.75529166666666</v>
      </c>
      <c r="BW257">
        <f t="shared" si="107"/>
        <v>160.75529166666666</v>
      </c>
      <c r="BX257">
        <v>0</v>
      </c>
      <c r="BY257">
        <f t="shared" si="108"/>
        <v>771.96009607499991</v>
      </c>
      <c r="BZ257">
        <v>331.35456690000001</v>
      </c>
      <c r="CA257">
        <f t="shared" si="109"/>
        <v>1627.7401414333333</v>
      </c>
      <c r="CB257">
        <f t="shared" si="110"/>
        <v>2891.8100960749998</v>
      </c>
      <c r="CC257">
        <v>0</v>
      </c>
      <c r="CD257">
        <v>0</v>
      </c>
      <c r="CE257">
        <f t="shared" si="111"/>
        <v>0</v>
      </c>
      <c r="CF257">
        <f t="shared" si="112"/>
        <v>2119.85</v>
      </c>
      <c r="CG257">
        <f t="shared" si="113"/>
        <v>1627.7401414333333</v>
      </c>
      <c r="CH257">
        <f t="shared" si="114"/>
        <v>0</v>
      </c>
      <c r="CJ257" t="s">
        <v>278</v>
      </c>
      <c r="CL257" t="str">
        <f t="shared" si="115"/>
        <v/>
      </c>
    </row>
    <row r="258" spans="1:90" x14ac:dyDescent="0.25">
      <c r="A258" t="s">
        <v>130</v>
      </c>
      <c r="B258" t="s">
        <v>177</v>
      </c>
      <c r="C258" s="1">
        <v>46082</v>
      </c>
      <c r="D258" t="s">
        <v>174</v>
      </c>
      <c r="E258" t="s">
        <v>175</v>
      </c>
      <c r="F258" s="4">
        <v>1</v>
      </c>
      <c r="G258" s="4">
        <v>0</v>
      </c>
      <c r="H258" s="9">
        <v>2119.85</v>
      </c>
      <c r="I258" s="9">
        <v>353.30833333333328</v>
      </c>
      <c r="J258" s="9">
        <f t="shared" si="87"/>
        <v>2473.1583333333333</v>
      </c>
      <c r="K258" s="9">
        <v>0</v>
      </c>
      <c r="L258" s="9">
        <f t="shared" si="88"/>
        <v>0</v>
      </c>
      <c r="M258">
        <v>0</v>
      </c>
      <c r="N258" s="4">
        <f t="shared" si="89"/>
        <v>0</v>
      </c>
      <c r="O258" s="9">
        <v>2119.85</v>
      </c>
      <c r="P258" s="9">
        <v>0</v>
      </c>
      <c r="Q258" s="9">
        <v>0</v>
      </c>
      <c r="R258" s="9">
        <v>0</v>
      </c>
      <c r="S258" s="9">
        <v>0</v>
      </c>
      <c r="T258" s="9">
        <v>0</v>
      </c>
      <c r="U258" s="9">
        <v>0</v>
      </c>
      <c r="V258" s="9">
        <v>0</v>
      </c>
      <c r="W258" s="9">
        <f t="shared" si="90"/>
        <v>2119.85</v>
      </c>
      <c r="X258" s="9">
        <v>353.30833333333328</v>
      </c>
      <c r="Y258" s="9">
        <v>0</v>
      </c>
      <c r="Z258" s="9">
        <v>2473.1583333333333</v>
      </c>
      <c r="AA258" s="9">
        <v>0</v>
      </c>
      <c r="AB258" s="9">
        <f t="shared" si="91"/>
        <v>2473.1583333333333</v>
      </c>
      <c r="AC258" s="9">
        <v>2473.1583333333333</v>
      </c>
      <c r="AD258" s="9">
        <v>0</v>
      </c>
      <c r="AE258" s="9">
        <v>2119.85</v>
      </c>
      <c r="AF258" s="9">
        <v>116.23844166666666</v>
      </c>
      <c r="AG258" s="9">
        <v>566.66433180000001</v>
      </c>
      <c r="AH258" s="9">
        <v>38.333954166666665</v>
      </c>
      <c r="AI258" s="9">
        <v>132.06160274999999</v>
      </c>
      <c r="AJ258" s="9">
        <v>4.8022400999999997</v>
      </c>
      <c r="AK258" s="9">
        <v>2.4731583333333336</v>
      </c>
      <c r="AL258" s="9">
        <v>14.4067203</v>
      </c>
      <c r="AM258" s="9">
        <v>3.7097375000000001</v>
      </c>
      <c r="AN258" s="9">
        <v>18.008400375000001</v>
      </c>
      <c r="AO258" s="9">
        <v>36.016800750000002</v>
      </c>
      <c r="AP258" s="9">
        <v>0</v>
      </c>
      <c r="AQ258" s="25">
        <v>0</v>
      </c>
      <c r="AR258" s="9">
        <f t="shared" si="92"/>
        <v>0</v>
      </c>
      <c r="AS258" s="25">
        <v>0</v>
      </c>
      <c r="AT258" s="9">
        <f t="shared" si="93"/>
        <v>0</v>
      </c>
      <c r="AU258" s="9">
        <v>0</v>
      </c>
      <c r="AV258" s="25">
        <v>0</v>
      </c>
      <c r="AW258" s="9">
        <f t="shared" si="94"/>
        <v>0</v>
      </c>
      <c r="AX258" s="25">
        <v>0</v>
      </c>
      <c r="AY258" s="9">
        <f t="shared" si="95"/>
        <v>0</v>
      </c>
      <c r="AZ258" s="9">
        <v>0</v>
      </c>
      <c r="BA258" s="25">
        <v>0</v>
      </c>
      <c r="BB258" s="9">
        <f t="shared" si="96"/>
        <v>0</v>
      </c>
      <c r="BC258" s="25">
        <v>0</v>
      </c>
      <c r="BD258" s="9">
        <f t="shared" si="97"/>
        <v>0</v>
      </c>
      <c r="BE258" s="9">
        <v>0</v>
      </c>
      <c r="BF258" s="9">
        <v>0</v>
      </c>
      <c r="BG258" s="9">
        <f t="shared" si="98"/>
        <v>0</v>
      </c>
      <c r="BH258" s="9">
        <v>0</v>
      </c>
      <c r="BI258" s="9">
        <f t="shared" si="99"/>
        <v>0</v>
      </c>
      <c r="BJ258" s="9">
        <v>0</v>
      </c>
      <c r="BK258" s="9">
        <v>0</v>
      </c>
      <c r="BL258" s="9">
        <f t="shared" si="100"/>
        <v>0</v>
      </c>
      <c r="BM258" s="9">
        <v>0</v>
      </c>
      <c r="BN258" s="9">
        <f t="shared" si="101"/>
        <v>0</v>
      </c>
      <c r="BO258" s="9">
        <v>0</v>
      </c>
      <c r="BP258" s="9">
        <v>0</v>
      </c>
      <c r="BQ258" s="9">
        <f t="shared" si="102"/>
        <v>0</v>
      </c>
      <c r="BR258" s="9">
        <v>0</v>
      </c>
      <c r="BS258" s="9">
        <f t="shared" si="103"/>
        <v>0</v>
      </c>
      <c r="BT258" s="9">
        <f t="shared" si="104"/>
        <v>0</v>
      </c>
      <c r="BU258" s="9">
        <f t="shared" si="105"/>
        <v>0</v>
      </c>
      <c r="BV258" s="9">
        <f t="shared" si="106"/>
        <v>160.75529166666666</v>
      </c>
      <c r="BW258">
        <f t="shared" si="107"/>
        <v>160.75529166666666</v>
      </c>
      <c r="BX258">
        <v>0</v>
      </c>
      <c r="BY258">
        <f t="shared" si="108"/>
        <v>771.96009607499991</v>
      </c>
      <c r="BZ258">
        <v>331.35456690000001</v>
      </c>
      <c r="CA258">
        <f t="shared" si="109"/>
        <v>1627.7401414333333</v>
      </c>
      <c r="CB258">
        <f t="shared" si="110"/>
        <v>2891.8100960749998</v>
      </c>
      <c r="CC258">
        <v>0</v>
      </c>
      <c r="CD258">
        <v>0</v>
      </c>
      <c r="CE258">
        <f t="shared" si="111"/>
        <v>0</v>
      </c>
      <c r="CF258">
        <f t="shared" si="112"/>
        <v>2119.85</v>
      </c>
      <c r="CG258">
        <f t="shared" si="113"/>
        <v>1627.7401414333333</v>
      </c>
      <c r="CH258">
        <f t="shared" si="114"/>
        <v>0</v>
      </c>
      <c r="CJ258" t="s">
        <v>278</v>
      </c>
      <c r="CL258" t="str">
        <f t="shared" si="115"/>
        <v/>
      </c>
    </row>
    <row r="259" spans="1:90" x14ac:dyDescent="0.25">
      <c r="A259" t="s">
        <v>130</v>
      </c>
      <c r="B259" t="s">
        <v>178</v>
      </c>
      <c r="C259" s="1">
        <v>46113</v>
      </c>
      <c r="D259" t="s">
        <v>174</v>
      </c>
      <c r="E259" t="s">
        <v>175</v>
      </c>
      <c r="F259" s="4">
        <v>1</v>
      </c>
      <c r="G259" s="4">
        <v>0</v>
      </c>
      <c r="H259" s="9">
        <v>2119.85</v>
      </c>
      <c r="I259" s="9">
        <v>353.30833333333328</v>
      </c>
      <c r="J259" s="9">
        <f t="shared" si="87"/>
        <v>2473.1583333333333</v>
      </c>
      <c r="K259" s="9">
        <v>0</v>
      </c>
      <c r="L259" s="9">
        <f t="shared" si="88"/>
        <v>0</v>
      </c>
      <c r="M259">
        <v>0</v>
      </c>
      <c r="N259" s="4">
        <f t="shared" si="89"/>
        <v>0</v>
      </c>
      <c r="O259" s="9">
        <v>2119.85</v>
      </c>
      <c r="P259" s="9">
        <v>0</v>
      </c>
      <c r="Q259" s="9">
        <v>0</v>
      </c>
      <c r="R259" s="9">
        <v>0</v>
      </c>
      <c r="S259" s="9">
        <v>0</v>
      </c>
      <c r="T259" s="9">
        <v>0</v>
      </c>
      <c r="U259" s="9">
        <v>0</v>
      </c>
      <c r="V259" s="9">
        <v>0</v>
      </c>
      <c r="W259" s="9">
        <f t="shared" si="90"/>
        <v>2119.85</v>
      </c>
      <c r="X259" s="9">
        <v>353.30833333333328</v>
      </c>
      <c r="Y259" s="9">
        <v>0</v>
      </c>
      <c r="Z259" s="9">
        <v>2473.1583333333333</v>
      </c>
      <c r="AA259" s="9">
        <v>0</v>
      </c>
      <c r="AB259" s="9">
        <f t="shared" si="91"/>
        <v>2473.1583333333333</v>
      </c>
      <c r="AC259" s="9">
        <v>2473.1583333333333</v>
      </c>
      <c r="AD259" s="9">
        <v>0</v>
      </c>
      <c r="AE259" s="9">
        <v>2119.85</v>
      </c>
      <c r="AF259" s="9">
        <v>116.23844166666666</v>
      </c>
      <c r="AG259" s="9">
        <v>566.66433180000001</v>
      </c>
      <c r="AH259" s="9">
        <v>38.333954166666665</v>
      </c>
      <c r="AI259" s="9">
        <v>132.06160274999999</v>
      </c>
      <c r="AJ259" s="9">
        <v>4.8022400999999997</v>
      </c>
      <c r="AK259" s="9">
        <v>2.4731583333333336</v>
      </c>
      <c r="AL259" s="9">
        <v>14.4067203</v>
      </c>
      <c r="AM259" s="9">
        <v>3.7097375000000001</v>
      </c>
      <c r="AN259" s="9">
        <v>18.008400375000001</v>
      </c>
      <c r="AO259" s="9">
        <v>36.016800750000002</v>
      </c>
      <c r="AP259" s="9">
        <v>0</v>
      </c>
      <c r="AQ259" s="25">
        <v>0</v>
      </c>
      <c r="AR259" s="9">
        <f t="shared" si="92"/>
        <v>0</v>
      </c>
      <c r="AS259" s="25">
        <v>0</v>
      </c>
      <c r="AT259" s="9">
        <f t="shared" si="93"/>
        <v>0</v>
      </c>
      <c r="AU259" s="9">
        <v>0</v>
      </c>
      <c r="AV259" s="25">
        <v>0</v>
      </c>
      <c r="AW259" s="9">
        <f t="shared" si="94"/>
        <v>0</v>
      </c>
      <c r="AX259" s="25">
        <v>0</v>
      </c>
      <c r="AY259" s="9">
        <f t="shared" si="95"/>
        <v>0</v>
      </c>
      <c r="AZ259" s="9">
        <v>0</v>
      </c>
      <c r="BA259" s="25">
        <v>0</v>
      </c>
      <c r="BB259" s="9">
        <f t="shared" si="96"/>
        <v>0</v>
      </c>
      <c r="BC259" s="25">
        <v>0</v>
      </c>
      <c r="BD259" s="9">
        <f t="shared" si="97"/>
        <v>0</v>
      </c>
      <c r="BE259" s="9">
        <v>0</v>
      </c>
      <c r="BF259" s="9">
        <v>0</v>
      </c>
      <c r="BG259" s="9">
        <f t="shared" si="98"/>
        <v>0</v>
      </c>
      <c r="BH259" s="9">
        <v>0</v>
      </c>
      <c r="BI259" s="9">
        <f t="shared" si="99"/>
        <v>0</v>
      </c>
      <c r="BJ259" s="9">
        <v>0</v>
      </c>
      <c r="BK259" s="9">
        <v>0</v>
      </c>
      <c r="BL259" s="9">
        <f t="shared" si="100"/>
        <v>0</v>
      </c>
      <c r="BM259" s="9">
        <v>0</v>
      </c>
      <c r="BN259" s="9">
        <f t="shared" si="101"/>
        <v>0</v>
      </c>
      <c r="BO259" s="9">
        <v>0</v>
      </c>
      <c r="BP259" s="9">
        <v>0</v>
      </c>
      <c r="BQ259" s="9">
        <f t="shared" si="102"/>
        <v>0</v>
      </c>
      <c r="BR259" s="9">
        <v>0</v>
      </c>
      <c r="BS259" s="9">
        <f t="shared" si="103"/>
        <v>0</v>
      </c>
      <c r="BT259" s="9">
        <f t="shared" si="104"/>
        <v>0</v>
      </c>
      <c r="BU259" s="9">
        <f t="shared" si="105"/>
        <v>0</v>
      </c>
      <c r="BV259" s="9">
        <f t="shared" si="106"/>
        <v>160.75529166666666</v>
      </c>
      <c r="BW259">
        <f t="shared" si="107"/>
        <v>160.75529166666666</v>
      </c>
      <c r="BX259">
        <v>0</v>
      </c>
      <c r="BY259">
        <f t="shared" si="108"/>
        <v>771.96009607499991</v>
      </c>
      <c r="BZ259">
        <v>331.35456690000001</v>
      </c>
      <c r="CA259">
        <f t="shared" si="109"/>
        <v>1627.7401414333333</v>
      </c>
      <c r="CB259">
        <f t="shared" si="110"/>
        <v>2891.8100960749998</v>
      </c>
      <c r="CC259">
        <v>0</v>
      </c>
      <c r="CD259">
        <v>0</v>
      </c>
      <c r="CE259">
        <f t="shared" si="111"/>
        <v>0</v>
      </c>
      <c r="CF259">
        <f t="shared" si="112"/>
        <v>2119.85</v>
      </c>
      <c r="CG259">
        <f t="shared" si="113"/>
        <v>1627.7401414333333</v>
      </c>
      <c r="CH259">
        <f t="shared" si="114"/>
        <v>0</v>
      </c>
      <c r="CJ259" t="s">
        <v>278</v>
      </c>
      <c r="CL259" t="str">
        <f t="shared" si="115"/>
        <v/>
      </c>
    </row>
    <row r="260" spans="1:90" x14ac:dyDescent="0.25">
      <c r="A260" t="s">
        <v>130</v>
      </c>
      <c r="B260" t="s">
        <v>179</v>
      </c>
      <c r="C260" s="1">
        <v>46143</v>
      </c>
      <c r="D260" t="s">
        <v>174</v>
      </c>
      <c r="E260" t="s">
        <v>175</v>
      </c>
      <c r="F260" s="4">
        <v>1</v>
      </c>
      <c r="G260" s="4">
        <v>0</v>
      </c>
      <c r="H260" s="9">
        <v>2119.85</v>
      </c>
      <c r="I260" s="9">
        <v>353.30833333333328</v>
      </c>
      <c r="J260" s="9">
        <f t="shared" ref="J260:J323" si="116">$H260+$I260</f>
        <v>2473.1583333333333</v>
      </c>
      <c r="K260" s="9">
        <v>0</v>
      </c>
      <c r="L260" s="9">
        <f t="shared" ref="L260:L323" si="117">IF($E260="Nacimiento/cuidado menor",$K260*30,0)</f>
        <v>0</v>
      </c>
      <c r="M260">
        <v>0</v>
      </c>
      <c r="N260" s="4">
        <f t="shared" ref="N260:N323" si="118">IF($E260="Nacimiento/cuidado menor",$M260/30,0)</f>
        <v>0</v>
      </c>
      <c r="O260" s="9">
        <v>2119.85</v>
      </c>
      <c r="P260" s="9">
        <v>0</v>
      </c>
      <c r="Q260" s="9">
        <v>0</v>
      </c>
      <c r="R260" s="9">
        <v>0</v>
      </c>
      <c r="S260" s="9">
        <v>0</v>
      </c>
      <c r="T260" s="9">
        <v>0</v>
      </c>
      <c r="U260" s="9">
        <v>0</v>
      </c>
      <c r="V260" s="9">
        <v>0</v>
      </c>
      <c r="W260" s="9">
        <f t="shared" ref="W260:W323" si="119">SUM($O260:$V260)</f>
        <v>2119.85</v>
      </c>
      <c r="X260" s="9">
        <v>353.30833333333328</v>
      </c>
      <c r="Y260" s="9">
        <v>0</v>
      </c>
      <c r="Z260" s="9">
        <v>2473.1583333333333</v>
      </c>
      <c r="AA260" s="9">
        <v>0</v>
      </c>
      <c r="AB260" s="9">
        <f t="shared" ref="AB260:AB323" si="120">IF($D260="Mensual",$Z260+$AA260,0)</f>
        <v>2473.1583333333333</v>
      </c>
      <c r="AC260" s="9">
        <v>2473.1583333333333</v>
      </c>
      <c r="AD260" s="9">
        <v>0</v>
      </c>
      <c r="AE260" s="9">
        <v>2119.85</v>
      </c>
      <c r="AF260" s="9">
        <v>116.23844166666666</v>
      </c>
      <c r="AG260" s="9">
        <v>583.66536666666661</v>
      </c>
      <c r="AH260" s="9">
        <v>38.333954166666665</v>
      </c>
      <c r="AI260" s="9">
        <v>136.02370833333333</v>
      </c>
      <c r="AJ260" s="9">
        <v>4.9463166666666671</v>
      </c>
      <c r="AK260" s="9">
        <v>2.4731583333333336</v>
      </c>
      <c r="AL260" s="9">
        <v>14.838950000000001</v>
      </c>
      <c r="AM260" s="9">
        <v>3.7097375000000001</v>
      </c>
      <c r="AN260" s="9">
        <v>18.5486875</v>
      </c>
      <c r="AO260" s="9">
        <v>37.097375</v>
      </c>
      <c r="AP260" s="9">
        <v>0</v>
      </c>
      <c r="AQ260" s="25">
        <v>0</v>
      </c>
      <c r="AR260" s="9">
        <f t="shared" ref="AR260:AR323" si="121">$AP260*$AQ260</f>
        <v>0</v>
      </c>
      <c r="AS260" s="25">
        <v>0</v>
      </c>
      <c r="AT260" s="9">
        <f t="shared" ref="AT260:AT323" si="122">$AP260*$AS260</f>
        <v>0</v>
      </c>
      <c r="AU260" s="9">
        <v>0</v>
      </c>
      <c r="AV260" s="25">
        <v>0</v>
      </c>
      <c r="AW260" s="9">
        <f t="shared" ref="AW260:AW323" si="123">$AU260*$AV260</f>
        <v>0</v>
      </c>
      <c r="AX260" s="25">
        <v>0</v>
      </c>
      <c r="AY260" s="9">
        <f t="shared" ref="AY260:AY323" si="124">$AU260*$AX260</f>
        <v>0</v>
      </c>
      <c r="AZ260" s="9">
        <v>0</v>
      </c>
      <c r="BA260" s="25">
        <v>0</v>
      </c>
      <c r="BB260" s="9">
        <f t="shared" ref="BB260:BB323" si="125">$AZ260*$BA260</f>
        <v>0</v>
      </c>
      <c r="BC260" s="25">
        <v>0</v>
      </c>
      <c r="BD260" s="9">
        <f t="shared" ref="BD260:BD323" si="126">$AZ260*$BC260</f>
        <v>0</v>
      </c>
      <c r="BE260" s="9">
        <v>0</v>
      </c>
      <c r="BF260" s="9">
        <v>0</v>
      </c>
      <c r="BG260" s="9">
        <f t="shared" ref="BG260:BG323" si="127">$BE260*$BF260</f>
        <v>0</v>
      </c>
      <c r="BH260" s="9">
        <v>0</v>
      </c>
      <c r="BI260" s="9">
        <f t="shared" ref="BI260:BI323" si="128">$BE260*$BH260</f>
        <v>0</v>
      </c>
      <c r="BJ260" s="9">
        <v>0</v>
      </c>
      <c r="BK260" s="9">
        <v>0</v>
      </c>
      <c r="BL260" s="9">
        <f t="shared" ref="BL260:BL323" si="129">$BJ260*$BK260</f>
        <v>0</v>
      </c>
      <c r="BM260" s="9">
        <v>0</v>
      </c>
      <c r="BN260" s="9">
        <f t="shared" ref="BN260:BN323" si="130">$BJ260*$BM260</f>
        <v>0</v>
      </c>
      <c r="BO260" s="9">
        <v>0</v>
      </c>
      <c r="BP260" s="9">
        <v>0</v>
      </c>
      <c r="BQ260" s="9">
        <f t="shared" ref="BQ260:BQ323" si="131">$BO260*$BP260</f>
        <v>0</v>
      </c>
      <c r="BR260" s="9">
        <v>0</v>
      </c>
      <c r="BS260" s="9">
        <f t="shared" ref="BS260:BS323" si="132">$BO260*$BR260</f>
        <v>0</v>
      </c>
      <c r="BT260" s="9">
        <f t="shared" ref="BT260:BT323" si="133">SUM($AR260,$AW260,$BB260)</f>
        <v>0</v>
      </c>
      <c r="BU260" s="9">
        <f t="shared" ref="BU260:BU323" si="134">SUM($AT260,$AY260,$BD260)</f>
        <v>0</v>
      </c>
      <c r="BV260" s="9">
        <f t="shared" ref="BV260:BV323" si="135">SUM($AF260,$AH260,$AK260,$AM260)+$BT260</f>
        <v>160.75529166666666</v>
      </c>
      <c r="BW260">
        <f t="shared" ref="BW260:BW323" si="136">$BV260+$BX260</f>
        <v>160.75529166666666</v>
      </c>
      <c r="BX260">
        <v>0</v>
      </c>
      <c r="BY260">
        <f t="shared" ref="BY260:BY323" si="137">SUM($AG260,$AI260,$AJ260,$AL260,$AN260,$AO260)+$BU260</f>
        <v>795.12040416666673</v>
      </c>
      <c r="BZ260">
        <v>331.35456690000001</v>
      </c>
      <c r="CA260">
        <f t="shared" ref="CA260:CA323" si="138">$W260-$BV260-$BZ260</f>
        <v>1627.7401414333333</v>
      </c>
      <c r="CB260">
        <f t="shared" ref="CB260:CB323" si="139">$W260+$BY260</f>
        <v>2914.9704041666664</v>
      </c>
      <c r="CC260">
        <v>0</v>
      </c>
      <c r="CD260">
        <v>0</v>
      </c>
      <c r="CE260">
        <f t="shared" ref="CE260:CE323" si="140">MAX(0,$CC260-$BX260-$CD260)</f>
        <v>0</v>
      </c>
      <c r="CF260">
        <f t="shared" ref="CF260:CF323" si="141">$W260+$CC260</f>
        <v>2119.85</v>
      </c>
      <c r="CG260">
        <f t="shared" ref="CG260:CG323" si="142">$CA260+$CE260</f>
        <v>1627.7401414333333</v>
      </c>
      <c r="CH260">
        <f t="shared" ref="CH260:CH323" si="143">IF($E260="Nacimiento/cuidado menor",MAX(0,$J260-$L260)*$N260,0)</f>
        <v>0</v>
      </c>
      <c r="CJ260" t="s">
        <v>278</v>
      </c>
      <c r="CL260" t="str">
        <f t="shared" ref="CL260:CL323" si="144">IF($E260="Nacimiento/cuidado menor",IF(ABS($CC260-$L260*$N260)&lt;0.02,"OK","REVISAR"),"")</f>
        <v/>
      </c>
    </row>
    <row r="261" spans="1:90" x14ac:dyDescent="0.25">
      <c r="A261" t="s">
        <v>130</v>
      </c>
      <c r="B261" t="s">
        <v>180</v>
      </c>
      <c r="C261" s="1">
        <v>46174</v>
      </c>
      <c r="D261" t="s">
        <v>174</v>
      </c>
      <c r="E261" t="s">
        <v>175</v>
      </c>
      <c r="F261" s="4">
        <v>1</v>
      </c>
      <c r="G261" s="4">
        <v>0</v>
      </c>
      <c r="H261" s="9">
        <v>2119.85</v>
      </c>
      <c r="I261" s="9">
        <v>353.30833333333328</v>
      </c>
      <c r="J261" s="9">
        <f t="shared" si="116"/>
        <v>2473.1583333333333</v>
      </c>
      <c r="K261" s="9">
        <v>0</v>
      </c>
      <c r="L261" s="9">
        <f t="shared" si="117"/>
        <v>0</v>
      </c>
      <c r="M261">
        <v>0</v>
      </c>
      <c r="N261" s="4">
        <f t="shared" si="118"/>
        <v>0</v>
      </c>
      <c r="O261" s="9">
        <v>2119.85</v>
      </c>
      <c r="P261" s="9">
        <v>0</v>
      </c>
      <c r="Q261" s="9">
        <v>0</v>
      </c>
      <c r="R261" s="9">
        <v>0</v>
      </c>
      <c r="S261" s="9">
        <v>0</v>
      </c>
      <c r="T261" s="9">
        <v>0</v>
      </c>
      <c r="U261" s="9">
        <v>0</v>
      </c>
      <c r="V261" s="9">
        <v>0</v>
      </c>
      <c r="W261" s="9">
        <f t="shared" si="119"/>
        <v>2119.85</v>
      </c>
      <c r="X261" s="9">
        <v>353.30833333333328</v>
      </c>
      <c r="Y261" s="9">
        <v>0</v>
      </c>
      <c r="Z261" s="9">
        <v>2473.1583333333333</v>
      </c>
      <c r="AA261" s="9">
        <v>0</v>
      </c>
      <c r="AB261" s="9">
        <f t="shared" si="120"/>
        <v>2473.1583333333333</v>
      </c>
      <c r="AC261" s="9">
        <v>2473.1583333333333</v>
      </c>
      <c r="AD261" s="9">
        <v>0</v>
      </c>
      <c r="AE261" s="9">
        <v>2119.85</v>
      </c>
      <c r="AF261" s="9">
        <v>116.23844166666666</v>
      </c>
      <c r="AG261" s="9">
        <v>566.66433180000001</v>
      </c>
      <c r="AH261" s="9">
        <v>38.333954166666665</v>
      </c>
      <c r="AI261" s="9">
        <v>132.06160274999999</v>
      </c>
      <c r="AJ261" s="9">
        <v>4.8022400999999997</v>
      </c>
      <c r="AK261" s="9">
        <v>2.4731583333333336</v>
      </c>
      <c r="AL261" s="9">
        <v>14.4067203</v>
      </c>
      <c r="AM261" s="9">
        <v>3.7097375000000001</v>
      </c>
      <c r="AN261" s="9">
        <v>18.008400375000001</v>
      </c>
      <c r="AO261" s="9">
        <v>36.016800750000002</v>
      </c>
      <c r="AP261" s="9">
        <v>0</v>
      </c>
      <c r="AQ261" s="25">
        <v>0</v>
      </c>
      <c r="AR261" s="9">
        <f t="shared" si="121"/>
        <v>0</v>
      </c>
      <c r="AS261" s="25">
        <v>0</v>
      </c>
      <c r="AT261" s="9">
        <f t="shared" si="122"/>
        <v>0</v>
      </c>
      <c r="AU261" s="9">
        <v>0</v>
      </c>
      <c r="AV261" s="25">
        <v>0</v>
      </c>
      <c r="AW261" s="9">
        <f t="shared" si="123"/>
        <v>0</v>
      </c>
      <c r="AX261" s="25">
        <v>0</v>
      </c>
      <c r="AY261" s="9">
        <f t="shared" si="124"/>
        <v>0</v>
      </c>
      <c r="AZ261" s="9">
        <v>0</v>
      </c>
      <c r="BA261" s="25">
        <v>0</v>
      </c>
      <c r="BB261" s="9">
        <f t="shared" si="125"/>
        <v>0</v>
      </c>
      <c r="BC261" s="25">
        <v>0</v>
      </c>
      <c r="BD261" s="9">
        <f t="shared" si="126"/>
        <v>0</v>
      </c>
      <c r="BE261" s="9">
        <v>0</v>
      </c>
      <c r="BF261" s="9">
        <v>0</v>
      </c>
      <c r="BG261" s="9">
        <f t="shared" si="127"/>
        <v>0</v>
      </c>
      <c r="BH261" s="9">
        <v>0</v>
      </c>
      <c r="BI261" s="9">
        <f t="shared" si="128"/>
        <v>0</v>
      </c>
      <c r="BJ261" s="9">
        <v>0</v>
      </c>
      <c r="BK261" s="9">
        <v>0</v>
      </c>
      <c r="BL261" s="9">
        <f t="shared" si="129"/>
        <v>0</v>
      </c>
      <c r="BM261" s="9">
        <v>0</v>
      </c>
      <c r="BN261" s="9">
        <f t="shared" si="130"/>
        <v>0</v>
      </c>
      <c r="BO261" s="9">
        <v>0</v>
      </c>
      <c r="BP261" s="9">
        <v>0</v>
      </c>
      <c r="BQ261" s="9">
        <f t="shared" si="131"/>
        <v>0</v>
      </c>
      <c r="BR261" s="9">
        <v>0</v>
      </c>
      <c r="BS261" s="9">
        <f t="shared" si="132"/>
        <v>0</v>
      </c>
      <c r="BT261" s="9">
        <f t="shared" si="133"/>
        <v>0</v>
      </c>
      <c r="BU261" s="9">
        <f t="shared" si="134"/>
        <v>0</v>
      </c>
      <c r="BV261" s="9">
        <f t="shared" si="135"/>
        <v>160.75529166666666</v>
      </c>
      <c r="BW261">
        <f t="shared" si="136"/>
        <v>160.75529166666666</v>
      </c>
      <c r="BX261">
        <v>0</v>
      </c>
      <c r="BY261">
        <f t="shared" si="137"/>
        <v>771.96009607499991</v>
      </c>
      <c r="BZ261">
        <v>331.35456690000001</v>
      </c>
      <c r="CA261">
        <f t="shared" si="138"/>
        <v>1627.7401414333333</v>
      </c>
      <c r="CB261">
        <f t="shared" si="139"/>
        <v>2891.8100960749998</v>
      </c>
      <c r="CC261">
        <v>0</v>
      </c>
      <c r="CD261">
        <v>0</v>
      </c>
      <c r="CE261">
        <f t="shared" si="140"/>
        <v>0</v>
      </c>
      <c r="CF261">
        <f t="shared" si="141"/>
        <v>2119.85</v>
      </c>
      <c r="CG261">
        <f t="shared" si="142"/>
        <v>1627.7401414333333</v>
      </c>
      <c r="CH261">
        <f t="shared" si="143"/>
        <v>0</v>
      </c>
      <c r="CJ261" t="s">
        <v>278</v>
      </c>
      <c r="CL261" t="str">
        <f t="shared" si="144"/>
        <v/>
      </c>
    </row>
    <row r="262" spans="1:90" x14ac:dyDescent="0.25">
      <c r="A262" t="s">
        <v>130</v>
      </c>
      <c r="B262" t="s">
        <v>181</v>
      </c>
      <c r="C262" s="1">
        <v>46204</v>
      </c>
      <c r="D262" t="s">
        <v>182</v>
      </c>
      <c r="E262" t="s">
        <v>175</v>
      </c>
      <c r="F262" s="4">
        <v>1</v>
      </c>
      <c r="G262" s="4">
        <v>0</v>
      </c>
      <c r="H262" s="9">
        <v>2119.85</v>
      </c>
      <c r="I262" s="9">
        <v>353.30833333333328</v>
      </c>
      <c r="J262" s="9">
        <f t="shared" si="116"/>
        <v>2473.1583333333333</v>
      </c>
      <c r="K262" s="9">
        <v>0</v>
      </c>
      <c r="L262" s="9">
        <f t="shared" si="117"/>
        <v>0</v>
      </c>
      <c r="M262">
        <v>0</v>
      </c>
      <c r="N262" s="4">
        <f t="shared" si="118"/>
        <v>0</v>
      </c>
      <c r="O262" s="9">
        <v>2119.85</v>
      </c>
      <c r="P262" s="9">
        <v>0</v>
      </c>
      <c r="Q262" s="9">
        <v>0</v>
      </c>
      <c r="R262" s="9">
        <v>0</v>
      </c>
      <c r="S262" s="9">
        <v>0</v>
      </c>
      <c r="T262" s="9">
        <v>0</v>
      </c>
      <c r="U262" s="9">
        <v>0</v>
      </c>
      <c r="V262" s="9">
        <v>0</v>
      </c>
      <c r="W262" s="9">
        <f t="shared" si="119"/>
        <v>2119.85</v>
      </c>
      <c r="X262" s="9">
        <v>0</v>
      </c>
      <c r="Y262" s="9">
        <v>0</v>
      </c>
      <c r="Z262" s="9">
        <v>0</v>
      </c>
      <c r="AA262" s="9">
        <v>0</v>
      </c>
      <c r="AB262" s="9">
        <f t="shared" si="120"/>
        <v>0</v>
      </c>
      <c r="AC262" s="9">
        <v>0</v>
      </c>
      <c r="AD262" s="9">
        <v>0</v>
      </c>
      <c r="AE262" s="9">
        <v>2119.85</v>
      </c>
      <c r="AF262" s="9">
        <v>0</v>
      </c>
      <c r="AG262" s="9">
        <v>0</v>
      </c>
      <c r="AH262" s="9">
        <v>0</v>
      </c>
      <c r="AI262" s="9">
        <v>0</v>
      </c>
      <c r="AJ262" s="9">
        <v>0</v>
      </c>
      <c r="AK262" s="9">
        <v>0</v>
      </c>
      <c r="AL262" s="9">
        <v>0</v>
      </c>
      <c r="AM262" s="9">
        <v>0</v>
      </c>
      <c r="AN262" s="9">
        <v>0</v>
      </c>
      <c r="AO262" s="9">
        <v>0</v>
      </c>
      <c r="AP262" s="9">
        <v>0</v>
      </c>
      <c r="AQ262" s="25">
        <v>0</v>
      </c>
      <c r="AR262" s="9">
        <f t="shared" si="121"/>
        <v>0</v>
      </c>
      <c r="AS262" s="25">
        <v>0</v>
      </c>
      <c r="AT262" s="9">
        <f t="shared" si="122"/>
        <v>0</v>
      </c>
      <c r="AU262" s="9">
        <v>0</v>
      </c>
      <c r="AV262" s="25">
        <v>0</v>
      </c>
      <c r="AW262" s="9">
        <f t="shared" si="123"/>
        <v>0</v>
      </c>
      <c r="AX262" s="25">
        <v>0</v>
      </c>
      <c r="AY262" s="9">
        <f t="shared" si="124"/>
        <v>0</v>
      </c>
      <c r="AZ262" s="9">
        <v>0</v>
      </c>
      <c r="BA262" s="25">
        <v>0</v>
      </c>
      <c r="BB262" s="9">
        <f t="shared" si="125"/>
        <v>0</v>
      </c>
      <c r="BC262" s="25">
        <v>0</v>
      </c>
      <c r="BD262" s="9">
        <f t="shared" si="126"/>
        <v>0</v>
      </c>
      <c r="BE262" s="9">
        <v>0</v>
      </c>
      <c r="BF262" s="9">
        <v>0</v>
      </c>
      <c r="BG262" s="9">
        <f t="shared" si="127"/>
        <v>0</v>
      </c>
      <c r="BH262" s="9">
        <v>0</v>
      </c>
      <c r="BI262" s="9">
        <f t="shared" si="128"/>
        <v>0</v>
      </c>
      <c r="BJ262" s="9">
        <v>0</v>
      </c>
      <c r="BK262" s="9">
        <v>0</v>
      </c>
      <c r="BL262" s="9">
        <f t="shared" si="129"/>
        <v>0</v>
      </c>
      <c r="BM262" s="9">
        <v>0</v>
      </c>
      <c r="BN262" s="9">
        <f t="shared" si="130"/>
        <v>0</v>
      </c>
      <c r="BO262" s="9">
        <v>0</v>
      </c>
      <c r="BP262" s="9">
        <v>0</v>
      </c>
      <c r="BQ262" s="9">
        <f t="shared" si="131"/>
        <v>0</v>
      </c>
      <c r="BR262" s="9">
        <v>0</v>
      </c>
      <c r="BS262" s="9">
        <f t="shared" si="132"/>
        <v>0</v>
      </c>
      <c r="BT262" s="9">
        <f t="shared" si="133"/>
        <v>0</v>
      </c>
      <c r="BU262" s="9">
        <f t="shared" si="134"/>
        <v>0</v>
      </c>
      <c r="BV262" s="9">
        <f t="shared" si="135"/>
        <v>0</v>
      </c>
      <c r="BW262">
        <f t="shared" si="136"/>
        <v>0</v>
      </c>
      <c r="BX262">
        <v>0</v>
      </c>
      <c r="BY262">
        <f t="shared" si="137"/>
        <v>0</v>
      </c>
      <c r="BZ262">
        <v>331.35456690000001</v>
      </c>
      <c r="CA262">
        <f t="shared" si="138"/>
        <v>1788.4954330999999</v>
      </c>
      <c r="CB262">
        <f t="shared" si="139"/>
        <v>2119.85</v>
      </c>
      <c r="CC262">
        <v>0</v>
      </c>
      <c r="CD262">
        <v>0</v>
      </c>
      <c r="CE262">
        <f t="shared" si="140"/>
        <v>0</v>
      </c>
      <c r="CF262">
        <f t="shared" si="141"/>
        <v>2119.85</v>
      </c>
      <c r="CG262">
        <f t="shared" si="142"/>
        <v>1788.4954330999999</v>
      </c>
      <c r="CH262">
        <f t="shared" si="143"/>
        <v>0</v>
      </c>
      <c r="CJ262" t="s">
        <v>278</v>
      </c>
      <c r="CL262" t="str">
        <f t="shared" si="144"/>
        <v/>
      </c>
    </row>
    <row r="263" spans="1:90" x14ac:dyDescent="0.25">
      <c r="A263" t="s">
        <v>130</v>
      </c>
      <c r="B263" t="s">
        <v>183</v>
      </c>
      <c r="C263" s="1">
        <v>46204</v>
      </c>
      <c r="D263" t="s">
        <v>174</v>
      </c>
      <c r="E263" t="s">
        <v>175</v>
      </c>
      <c r="F263" s="4">
        <v>1</v>
      </c>
      <c r="G263" s="4">
        <v>0</v>
      </c>
      <c r="H263" s="9">
        <v>2119.85</v>
      </c>
      <c r="I263" s="9">
        <v>353.30833333333328</v>
      </c>
      <c r="J263" s="9">
        <f t="shared" si="116"/>
        <v>2473.1583333333333</v>
      </c>
      <c r="K263" s="9">
        <v>0</v>
      </c>
      <c r="L263" s="9">
        <f t="shared" si="117"/>
        <v>0</v>
      </c>
      <c r="M263">
        <v>0</v>
      </c>
      <c r="N263" s="4">
        <f t="shared" si="118"/>
        <v>0</v>
      </c>
      <c r="O263" s="9">
        <v>2119.85</v>
      </c>
      <c r="P263" s="9">
        <v>0</v>
      </c>
      <c r="Q263" s="9">
        <v>0</v>
      </c>
      <c r="R263" s="9">
        <v>0</v>
      </c>
      <c r="S263" s="9">
        <v>0</v>
      </c>
      <c r="T263" s="9">
        <v>0</v>
      </c>
      <c r="U263" s="9">
        <v>0</v>
      </c>
      <c r="V263" s="9">
        <v>0</v>
      </c>
      <c r="W263" s="9">
        <f t="shared" si="119"/>
        <v>2119.85</v>
      </c>
      <c r="X263" s="9">
        <v>353.30833333333328</v>
      </c>
      <c r="Y263" s="9">
        <v>0</v>
      </c>
      <c r="Z263" s="9">
        <v>2473.1583333333333</v>
      </c>
      <c r="AA263" s="9">
        <v>0</v>
      </c>
      <c r="AB263" s="9">
        <f t="shared" si="120"/>
        <v>2473.1583333333333</v>
      </c>
      <c r="AC263" s="9">
        <v>2473.1583333333333</v>
      </c>
      <c r="AD263" s="9">
        <v>0</v>
      </c>
      <c r="AE263" s="9">
        <v>2119.85</v>
      </c>
      <c r="AF263" s="9">
        <v>116.23844166666666</v>
      </c>
      <c r="AG263" s="9">
        <v>566.66433180000001</v>
      </c>
      <c r="AH263" s="9">
        <v>38.333954166666665</v>
      </c>
      <c r="AI263" s="9">
        <v>132.06160274999999</v>
      </c>
      <c r="AJ263" s="9">
        <v>4.8022400999999997</v>
      </c>
      <c r="AK263" s="9">
        <v>2.4731583333333336</v>
      </c>
      <c r="AL263" s="9">
        <v>14.4067203</v>
      </c>
      <c r="AM263" s="9">
        <v>3.7097375000000001</v>
      </c>
      <c r="AN263" s="9">
        <v>18.008400375000001</v>
      </c>
      <c r="AO263" s="9">
        <v>36.016800750000002</v>
      </c>
      <c r="AP263" s="9">
        <v>0</v>
      </c>
      <c r="AQ263" s="25">
        <v>0</v>
      </c>
      <c r="AR263" s="9">
        <f t="shared" si="121"/>
        <v>0</v>
      </c>
      <c r="AS263" s="25">
        <v>0</v>
      </c>
      <c r="AT263" s="9">
        <f t="shared" si="122"/>
        <v>0</v>
      </c>
      <c r="AU263" s="9">
        <v>0</v>
      </c>
      <c r="AV263" s="25">
        <v>0</v>
      </c>
      <c r="AW263" s="9">
        <f t="shared" si="123"/>
        <v>0</v>
      </c>
      <c r="AX263" s="25">
        <v>0</v>
      </c>
      <c r="AY263" s="9">
        <f t="shared" si="124"/>
        <v>0</v>
      </c>
      <c r="AZ263" s="9">
        <v>0</v>
      </c>
      <c r="BA263" s="25">
        <v>0</v>
      </c>
      <c r="BB263" s="9">
        <f t="shared" si="125"/>
        <v>0</v>
      </c>
      <c r="BC263" s="25">
        <v>0</v>
      </c>
      <c r="BD263" s="9">
        <f t="shared" si="126"/>
        <v>0</v>
      </c>
      <c r="BE263" s="9">
        <v>0</v>
      </c>
      <c r="BF263" s="9">
        <v>0</v>
      </c>
      <c r="BG263" s="9">
        <f t="shared" si="127"/>
        <v>0</v>
      </c>
      <c r="BH263" s="9">
        <v>0</v>
      </c>
      <c r="BI263" s="9">
        <f t="shared" si="128"/>
        <v>0</v>
      </c>
      <c r="BJ263" s="9">
        <v>0</v>
      </c>
      <c r="BK263" s="9">
        <v>0</v>
      </c>
      <c r="BL263" s="9">
        <f t="shared" si="129"/>
        <v>0</v>
      </c>
      <c r="BM263" s="9">
        <v>0</v>
      </c>
      <c r="BN263" s="9">
        <f t="shared" si="130"/>
        <v>0</v>
      </c>
      <c r="BO263" s="9">
        <v>0</v>
      </c>
      <c r="BP263" s="9">
        <v>0</v>
      </c>
      <c r="BQ263" s="9">
        <f t="shared" si="131"/>
        <v>0</v>
      </c>
      <c r="BR263" s="9">
        <v>0</v>
      </c>
      <c r="BS263" s="9">
        <f t="shared" si="132"/>
        <v>0</v>
      </c>
      <c r="BT263" s="9">
        <f t="shared" si="133"/>
        <v>0</v>
      </c>
      <c r="BU263" s="9">
        <f t="shared" si="134"/>
        <v>0</v>
      </c>
      <c r="BV263" s="9">
        <f t="shared" si="135"/>
        <v>160.75529166666666</v>
      </c>
      <c r="BW263">
        <f t="shared" si="136"/>
        <v>160.75529166666666</v>
      </c>
      <c r="BX263">
        <v>0</v>
      </c>
      <c r="BY263">
        <f t="shared" si="137"/>
        <v>771.96009607499991</v>
      </c>
      <c r="BZ263">
        <v>331.35456690000001</v>
      </c>
      <c r="CA263">
        <f t="shared" si="138"/>
        <v>1627.7401414333333</v>
      </c>
      <c r="CB263">
        <f t="shared" si="139"/>
        <v>2891.8100960749998</v>
      </c>
      <c r="CC263">
        <v>0</v>
      </c>
      <c r="CD263">
        <v>0</v>
      </c>
      <c r="CE263">
        <f t="shared" si="140"/>
        <v>0</v>
      </c>
      <c r="CF263">
        <f t="shared" si="141"/>
        <v>2119.85</v>
      </c>
      <c r="CG263">
        <f t="shared" si="142"/>
        <v>1627.7401414333333</v>
      </c>
      <c r="CH263">
        <f t="shared" si="143"/>
        <v>0</v>
      </c>
      <c r="CJ263" t="s">
        <v>278</v>
      </c>
      <c r="CL263" t="str">
        <f t="shared" si="144"/>
        <v/>
      </c>
    </row>
    <row r="264" spans="1:90" x14ac:dyDescent="0.25">
      <c r="A264" t="s">
        <v>130</v>
      </c>
      <c r="B264" t="s">
        <v>184</v>
      </c>
      <c r="C264" s="1">
        <v>46235</v>
      </c>
      <c r="D264" t="s">
        <v>174</v>
      </c>
      <c r="E264" t="s">
        <v>175</v>
      </c>
      <c r="F264" s="4">
        <v>1</v>
      </c>
      <c r="G264" s="4">
        <v>0</v>
      </c>
      <c r="H264" s="9">
        <v>2119.85</v>
      </c>
      <c r="I264" s="9">
        <v>353.30833333333328</v>
      </c>
      <c r="J264" s="9">
        <f t="shared" si="116"/>
        <v>2473.1583333333333</v>
      </c>
      <c r="K264" s="9">
        <v>0</v>
      </c>
      <c r="L264" s="9">
        <f t="shared" si="117"/>
        <v>0</v>
      </c>
      <c r="M264">
        <v>0</v>
      </c>
      <c r="N264" s="4">
        <f t="shared" si="118"/>
        <v>0</v>
      </c>
      <c r="O264" s="9">
        <v>2119.85</v>
      </c>
      <c r="P264" s="9">
        <v>0</v>
      </c>
      <c r="Q264" s="9">
        <v>0</v>
      </c>
      <c r="R264" s="9">
        <v>0</v>
      </c>
      <c r="S264" s="9">
        <v>0</v>
      </c>
      <c r="T264" s="9">
        <v>0</v>
      </c>
      <c r="U264" s="9">
        <v>0</v>
      </c>
      <c r="V264" s="9">
        <v>0</v>
      </c>
      <c r="W264" s="9">
        <f t="shared" si="119"/>
        <v>2119.85</v>
      </c>
      <c r="X264" s="9">
        <v>353.30833333333328</v>
      </c>
      <c r="Y264" s="9">
        <v>0</v>
      </c>
      <c r="Z264" s="9">
        <v>2473.1583333333333</v>
      </c>
      <c r="AA264" s="9">
        <v>0</v>
      </c>
      <c r="AB264" s="9">
        <f t="shared" si="120"/>
        <v>2473.1583333333333</v>
      </c>
      <c r="AC264" s="9">
        <v>2473.1583333333333</v>
      </c>
      <c r="AD264" s="9">
        <v>0</v>
      </c>
      <c r="AE264" s="9">
        <v>2119.85</v>
      </c>
      <c r="AF264" s="9">
        <v>116.23844166666666</v>
      </c>
      <c r="AG264" s="9">
        <v>566.66433180000001</v>
      </c>
      <c r="AH264" s="9">
        <v>38.333954166666665</v>
      </c>
      <c r="AI264" s="9">
        <v>132.06160274999999</v>
      </c>
      <c r="AJ264" s="9">
        <v>4.8022400999999997</v>
      </c>
      <c r="AK264" s="9">
        <v>2.4731583333333336</v>
      </c>
      <c r="AL264" s="9">
        <v>14.4067203</v>
      </c>
      <c r="AM264" s="9">
        <v>3.7097375000000001</v>
      </c>
      <c r="AN264" s="9">
        <v>18.008400375000001</v>
      </c>
      <c r="AO264" s="9">
        <v>36.016800750000002</v>
      </c>
      <c r="AP264" s="9">
        <v>0</v>
      </c>
      <c r="AQ264" s="25">
        <v>0</v>
      </c>
      <c r="AR264" s="9">
        <f t="shared" si="121"/>
        <v>0</v>
      </c>
      <c r="AS264" s="25">
        <v>0</v>
      </c>
      <c r="AT264" s="9">
        <f t="shared" si="122"/>
        <v>0</v>
      </c>
      <c r="AU264" s="9">
        <v>0</v>
      </c>
      <c r="AV264" s="25">
        <v>0</v>
      </c>
      <c r="AW264" s="9">
        <f t="shared" si="123"/>
        <v>0</v>
      </c>
      <c r="AX264" s="25">
        <v>0</v>
      </c>
      <c r="AY264" s="9">
        <f t="shared" si="124"/>
        <v>0</v>
      </c>
      <c r="AZ264" s="9">
        <v>0</v>
      </c>
      <c r="BA264" s="25">
        <v>0</v>
      </c>
      <c r="BB264" s="9">
        <f t="shared" si="125"/>
        <v>0</v>
      </c>
      <c r="BC264" s="25">
        <v>0</v>
      </c>
      <c r="BD264" s="9">
        <f t="shared" si="126"/>
        <v>0</v>
      </c>
      <c r="BE264" s="9">
        <v>0</v>
      </c>
      <c r="BF264" s="9">
        <v>0</v>
      </c>
      <c r="BG264" s="9">
        <f t="shared" si="127"/>
        <v>0</v>
      </c>
      <c r="BH264" s="9">
        <v>0</v>
      </c>
      <c r="BI264" s="9">
        <f t="shared" si="128"/>
        <v>0</v>
      </c>
      <c r="BJ264" s="9">
        <v>0</v>
      </c>
      <c r="BK264" s="9">
        <v>0</v>
      </c>
      <c r="BL264" s="9">
        <f t="shared" si="129"/>
        <v>0</v>
      </c>
      <c r="BM264" s="9">
        <v>0</v>
      </c>
      <c r="BN264" s="9">
        <f t="shared" si="130"/>
        <v>0</v>
      </c>
      <c r="BO264" s="9">
        <v>0</v>
      </c>
      <c r="BP264" s="9">
        <v>0</v>
      </c>
      <c r="BQ264" s="9">
        <f t="shared" si="131"/>
        <v>0</v>
      </c>
      <c r="BR264" s="9">
        <v>0</v>
      </c>
      <c r="BS264" s="9">
        <f t="shared" si="132"/>
        <v>0</v>
      </c>
      <c r="BT264" s="9">
        <f t="shared" si="133"/>
        <v>0</v>
      </c>
      <c r="BU264" s="9">
        <f t="shared" si="134"/>
        <v>0</v>
      </c>
      <c r="BV264" s="9">
        <f t="shared" si="135"/>
        <v>160.75529166666666</v>
      </c>
      <c r="BW264">
        <f t="shared" si="136"/>
        <v>160.75529166666666</v>
      </c>
      <c r="BX264">
        <v>0</v>
      </c>
      <c r="BY264">
        <f t="shared" si="137"/>
        <v>771.96009607499991</v>
      </c>
      <c r="BZ264">
        <v>331.35456690000001</v>
      </c>
      <c r="CA264">
        <f t="shared" si="138"/>
        <v>1627.7401414333333</v>
      </c>
      <c r="CB264">
        <f t="shared" si="139"/>
        <v>2891.8100960749998</v>
      </c>
      <c r="CC264">
        <v>0</v>
      </c>
      <c r="CD264">
        <v>0</v>
      </c>
      <c r="CE264">
        <f t="shared" si="140"/>
        <v>0</v>
      </c>
      <c r="CF264">
        <f t="shared" si="141"/>
        <v>2119.85</v>
      </c>
      <c r="CG264">
        <f t="shared" si="142"/>
        <v>1627.7401414333333</v>
      </c>
      <c r="CH264">
        <f t="shared" si="143"/>
        <v>0</v>
      </c>
      <c r="CJ264" t="s">
        <v>278</v>
      </c>
      <c r="CL264" t="str">
        <f t="shared" si="144"/>
        <v/>
      </c>
    </row>
    <row r="265" spans="1:90" x14ac:dyDescent="0.25">
      <c r="A265" t="s">
        <v>130</v>
      </c>
      <c r="B265" t="s">
        <v>185</v>
      </c>
      <c r="C265" s="1">
        <v>46266</v>
      </c>
      <c r="D265" t="s">
        <v>174</v>
      </c>
      <c r="E265" t="s">
        <v>175</v>
      </c>
      <c r="F265" s="4">
        <v>1</v>
      </c>
      <c r="G265" s="4">
        <v>0</v>
      </c>
      <c r="H265" s="9">
        <v>2119.85</v>
      </c>
      <c r="I265" s="9">
        <v>353.30833333333328</v>
      </c>
      <c r="J265" s="9">
        <f t="shared" si="116"/>
        <v>2473.1583333333333</v>
      </c>
      <c r="K265" s="9">
        <v>0</v>
      </c>
      <c r="L265" s="9">
        <f t="shared" si="117"/>
        <v>0</v>
      </c>
      <c r="M265">
        <v>0</v>
      </c>
      <c r="N265" s="4">
        <f t="shared" si="118"/>
        <v>0</v>
      </c>
      <c r="O265" s="9">
        <v>2119.85</v>
      </c>
      <c r="P265" s="9">
        <v>0</v>
      </c>
      <c r="Q265" s="9">
        <v>0</v>
      </c>
      <c r="R265" s="9">
        <v>0</v>
      </c>
      <c r="S265" s="9">
        <v>0</v>
      </c>
      <c r="T265" s="9">
        <v>0</v>
      </c>
      <c r="U265" s="9">
        <v>0</v>
      </c>
      <c r="V265" s="9">
        <v>0</v>
      </c>
      <c r="W265" s="9">
        <f t="shared" si="119"/>
        <v>2119.85</v>
      </c>
      <c r="X265" s="9">
        <v>353.30833333333328</v>
      </c>
      <c r="Y265" s="9">
        <v>0</v>
      </c>
      <c r="Z265" s="9">
        <v>2473.1583333333333</v>
      </c>
      <c r="AA265" s="9">
        <v>0</v>
      </c>
      <c r="AB265" s="9">
        <f t="shared" si="120"/>
        <v>2473.1583333333333</v>
      </c>
      <c r="AC265" s="9">
        <v>2473.1583333333333</v>
      </c>
      <c r="AD265" s="9">
        <v>0</v>
      </c>
      <c r="AE265" s="9">
        <v>2119.85</v>
      </c>
      <c r="AF265" s="9">
        <v>116.23844166666666</v>
      </c>
      <c r="AG265" s="9">
        <v>566.66433180000001</v>
      </c>
      <c r="AH265" s="9">
        <v>38.333954166666665</v>
      </c>
      <c r="AI265" s="9">
        <v>132.06160274999999</v>
      </c>
      <c r="AJ265" s="9">
        <v>4.8022400999999997</v>
      </c>
      <c r="AK265" s="9">
        <v>2.4731583333333336</v>
      </c>
      <c r="AL265" s="9">
        <v>14.4067203</v>
      </c>
      <c r="AM265" s="9">
        <v>3.7097375000000001</v>
      </c>
      <c r="AN265" s="9">
        <v>18.008400375000001</v>
      </c>
      <c r="AO265" s="9">
        <v>36.016800750000002</v>
      </c>
      <c r="AP265" s="9">
        <v>0</v>
      </c>
      <c r="AQ265" s="25">
        <v>0</v>
      </c>
      <c r="AR265" s="9">
        <f t="shared" si="121"/>
        <v>0</v>
      </c>
      <c r="AS265" s="25">
        <v>0</v>
      </c>
      <c r="AT265" s="9">
        <f t="shared" si="122"/>
        <v>0</v>
      </c>
      <c r="AU265" s="9">
        <v>0</v>
      </c>
      <c r="AV265" s="25">
        <v>0</v>
      </c>
      <c r="AW265" s="9">
        <f t="shared" si="123"/>
        <v>0</v>
      </c>
      <c r="AX265" s="25">
        <v>0</v>
      </c>
      <c r="AY265" s="9">
        <f t="shared" si="124"/>
        <v>0</v>
      </c>
      <c r="AZ265" s="9">
        <v>0</v>
      </c>
      <c r="BA265" s="25">
        <v>0</v>
      </c>
      <c r="BB265" s="9">
        <f t="shared" si="125"/>
        <v>0</v>
      </c>
      <c r="BC265" s="25">
        <v>0</v>
      </c>
      <c r="BD265" s="9">
        <f t="shared" si="126"/>
        <v>0</v>
      </c>
      <c r="BE265" s="9">
        <v>0</v>
      </c>
      <c r="BF265" s="9">
        <v>0</v>
      </c>
      <c r="BG265" s="9">
        <f t="shared" si="127"/>
        <v>0</v>
      </c>
      <c r="BH265" s="9">
        <v>0</v>
      </c>
      <c r="BI265" s="9">
        <f t="shared" si="128"/>
        <v>0</v>
      </c>
      <c r="BJ265" s="9">
        <v>0</v>
      </c>
      <c r="BK265" s="9">
        <v>0</v>
      </c>
      <c r="BL265" s="9">
        <f t="shared" si="129"/>
        <v>0</v>
      </c>
      <c r="BM265" s="9">
        <v>0</v>
      </c>
      <c r="BN265" s="9">
        <f t="shared" si="130"/>
        <v>0</v>
      </c>
      <c r="BO265" s="9">
        <v>0</v>
      </c>
      <c r="BP265" s="9">
        <v>0</v>
      </c>
      <c r="BQ265" s="9">
        <f t="shared" si="131"/>
        <v>0</v>
      </c>
      <c r="BR265" s="9">
        <v>0</v>
      </c>
      <c r="BS265" s="9">
        <f t="shared" si="132"/>
        <v>0</v>
      </c>
      <c r="BT265" s="9">
        <f t="shared" si="133"/>
        <v>0</v>
      </c>
      <c r="BU265" s="9">
        <f t="shared" si="134"/>
        <v>0</v>
      </c>
      <c r="BV265" s="9">
        <f t="shared" si="135"/>
        <v>160.75529166666666</v>
      </c>
      <c r="BW265">
        <f t="shared" si="136"/>
        <v>160.75529166666666</v>
      </c>
      <c r="BX265">
        <v>0</v>
      </c>
      <c r="BY265">
        <f t="shared" si="137"/>
        <v>771.96009607499991</v>
      </c>
      <c r="BZ265">
        <v>331.35456690000001</v>
      </c>
      <c r="CA265">
        <f t="shared" si="138"/>
        <v>1627.7401414333333</v>
      </c>
      <c r="CB265">
        <f t="shared" si="139"/>
        <v>2891.8100960749998</v>
      </c>
      <c r="CC265">
        <v>0</v>
      </c>
      <c r="CD265">
        <v>0</v>
      </c>
      <c r="CE265">
        <f t="shared" si="140"/>
        <v>0</v>
      </c>
      <c r="CF265">
        <f t="shared" si="141"/>
        <v>2119.85</v>
      </c>
      <c r="CG265">
        <f t="shared" si="142"/>
        <v>1627.7401414333333</v>
      </c>
      <c r="CH265">
        <f t="shared" si="143"/>
        <v>0</v>
      </c>
      <c r="CJ265" t="s">
        <v>278</v>
      </c>
      <c r="CL265" t="str">
        <f t="shared" si="144"/>
        <v/>
      </c>
    </row>
    <row r="266" spans="1:90" x14ac:dyDescent="0.25">
      <c r="A266" t="s">
        <v>130</v>
      </c>
      <c r="B266" t="s">
        <v>186</v>
      </c>
      <c r="C266" s="1">
        <v>46296</v>
      </c>
      <c r="D266" t="s">
        <v>174</v>
      </c>
      <c r="E266" t="s">
        <v>175</v>
      </c>
      <c r="F266" s="4">
        <v>1</v>
      </c>
      <c r="G266" s="4">
        <v>0</v>
      </c>
      <c r="H266" s="9">
        <v>2119.85</v>
      </c>
      <c r="I266" s="9">
        <v>353.30833333333328</v>
      </c>
      <c r="J266" s="9">
        <f t="shared" si="116"/>
        <v>2473.1583333333333</v>
      </c>
      <c r="K266" s="9">
        <v>0</v>
      </c>
      <c r="L266" s="9">
        <f t="shared" si="117"/>
        <v>0</v>
      </c>
      <c r="M266">
        <v>0</v>
      </c>
      <c r="N266" s="4">
        <f t="shared" si="118"/>
        <v>0</v>
      </c>
      <c r="O266" s="9">
        <v>2119.85</v>
      </c>
      <c r="P266" s="9">
        <v>0</v>
      </c>
      <c r="Q266" s="9">
        <v>0</v>
      </c>
      <c r="R266" s="9">
        <v>0</v>
      </c>
      <c r="S266" s="9">
        <v>0</v>
      </c>
      <c r="T266" s="9">
        <v>0</v>
      </c>
      <c r="U266" s="9">
        <v>0</v>
      </c>
      <c r="V266" s="9">
        <v>0</v>
      </c>
      <c r="W266" s="9">
        <f t="shared" si="119"/>
        <v>2119.85</v>
      </c>
      <c r="X266" s="9">
        <v>353.30833333333328</v>
      </c>
      <c r="Y266" s="9">
        <v>0</v>
      </c>
      <c r="Z266" s="9">
        <v>2473.1583333333333</v>
      </c>
      <c r="AA266" s="9">
        <v>0</v>
      </c>
      <c r="AB266" s="9">
        <f t="shared" si="120"/>
        <v>2473.1583333333333</v>
      </c>
      <c r="AC266" s="9">
        <v>2473.1583333333333</v>
      </c>
      <c r="AD266" s="9">
        <v>0</v>
      </c>
      <c r="AE266" s="9">
        <v>2119.85</v>
      </c>
      <c r="AF266" s="9">
        <v>116.23844166666666</v>
      </c>
      <c r="AG266" s="9">
        <v>566.66433180000001</v>
      </c>
      <c r="AH266" s="9">
        <v>38.333954166666665</v>
      </c>
      <c r="AI266" s="9">
        <v>132.06160274999999</v>
      </c>
      <c r="AJ266" s="9">
        <v>4.8022400999999997</v>
      </c>
      <c r="AK266" s="9">
        <v>2.4731583333333336</v>
      </c>
      <c r="AL266" s="9">
        <v>14.4067203</v>
      </c>
      <c r="AM266" s="9">
        <v>3.7097375000000001</v>
      </c>
      <c r="AN266" s="9">
        <v>18.008400375000001</v>
      </c>
      <c r="AO266" s="9">
        <v>36.016800750000002</v>
      </c>
      <c r="AP266" s="9">
        <v>0</v>
      </c>
      <c r="AQ266" s="25">
        <v>0</v>
      </c>
      <c r="AR266" s="9">
        <f t="shared" si="121"/>
        <v>0</v>
      </c>
      <c r="AS266" s="25">
        <v>0</v>
      </c>
      <c r="AT266" s="9">
        <f t="shared" si="122"/>
        <v>0</v>
      </c>
      <c r="AU266" s="9">
        <v>0</v>
      </c>
      <c r="AV266" s="25">
        <v>0</v>
      </c>
      <c r="AW266" s="9">
        <f t="shared" si="123"/>
        <v>0</v>
      </c>
      <c r="AX266" s="25">
        <v>0</v>
      </c>
      <c r="AY266" s="9">
        <f t="shared" si="124"/>
        <v>0</v>
      </c>
      <c r="AZ266" s="9">
        <v>0</v>
      </c>
      <c r="BA266" s="25">
        <v>0</v>
      </c>
      <c r="BB266" s="9">
        <f t="shared" si="125"/>
        <v>0</v>
      </c>
      <c r="BC266" s="25">
        <v>0</v>
      </c>
      <c r="BD266" s="9">
        <f t="shared" si="126"/>
        <v>0</v>
      </c>
      <c r="BE266" s="9">
        <v>0</v>
      </c>
      <c r="BF266" s="9">
        <v>0</v>
      </c>
      <c r="BG266" s="9">
        <f t="shared" si="127"/>
        <v>0</v>
      </c>
      <c r="BH266" s="9">
        <v>0</v>
      </c>
      <c r="BI266" s="9">
        <f t="shared" si="128"/>
        <v>0</v>
      </c>
      <c r="BJ266" s="9">
        <v>0</v>
      </c>
      <c r="BK266" s="9">
        <v>0</v>
      </c>
      <c r="BL266" s="9">
        <f t="shared" si="129"/>
        <v>0</v>
      </c>
      <c r="BM266" s="9">
        <v>0</v>
      </c>
      <c r="BN266" s="9">
        <f t="shared" si="130"/>
        <v>0</v>
      </c>
      <c r="BO266" s="9">
        <v>0</v>
      </c>
      <c r="BP266" s="9">
        <v>0</v>
      </c>
      <c r="BQ266" s="9">
        <f t="shared" si="131"/>
        <v>0</v>
      </c>
      <c r="BR266" s="9">
        <v>0</v>
      </c>
      <c r="BS266" s="9">
        <f t="shared" si="132"/>
        <v>0</v>
      </c>
      <c r="BT266" s="9">
        <f t="shared" si="133"/>
        <v>0</v>
      </c>
      <c r="BU266" s="9">
        <f t="shared" si="134"/>
        <v>0</v>
      </c>
      <c r="BV266" s="9">
        <f t="shared" si="135"/>
        <v>160.75529166666666</v>
      </c>
      <c r="BW266">
        <f t="shared" si="136"/>
        <v>160.75529166666666</v>
      </c>
      <c r="BX266">
        <v>0</v>
      </c>
      <c r="BY266">
        <f t="shared" si="137"/>
        <v>771.96009607499991</v>
      </c>
      <c r="BZ266">
        <v>331.35456690000001</v>
      </c>
      <c r="CA266">
        <f t="shared" si="138"/>
        <v>1627.7401414333333</v>
      </c>
      <c r="CB266">
        <f t="shared" si="139"/>
        <v>2891.8100960749998</v>
      </c>
      <c r="CC266">
        <v>0</v>
      </c>
      <c r="CD266">
        <v>0</v>
      </c>
      <c r="CE266">
        <f t="shared" si="140"/>
        <v>0</v>
      </c>
      <c r="CF266">
        <f t="shared" si="141"/>
        <v>2119.85</v>
      </c>
      <c r="CG266">
        <f t="shared" si="142"/>
        <v>1627.7401414333333</v>
      </c>
      <c r="CH266">
        <f t="shared" si="143"/>
        <v>0</v>
      </c>
      <c r="CJ266" t="s">
        <v>278</v>
      </c>
      <c r="CL266" t="str">
        <f t="shared" si="144"/>
        <v/>
      </c>
    </row>
    <row r="267" spans="1:90" x14ac:dyDescent="0.25">
      <c r="A267" t="s">
        <v>130</v>
      </c>
      <c r="B267" t="s">
        <v>187</v>
      </c>
      <c r="C267" s="1">
        <v>46327</v>
      </c>
      <c r="D267" t="s">
        <v>174</v>
      </c>
      <c r="E267" t="s">
        <v>175</v>
      </c>
      <c r="F267" s="4">
        <v>1</v>
      </c>
      <c r="G267" s="4">
        <v>0</v>
      </c>
      <c r="H267" s="9">
        <v>2119.85</v>
      </c>
      <c r="I267" s="9">
        <v>353.30833333333328</v>
      </c>
      <c r="J267" s="9">
        <f t="shared" si="116"/>
        <v>2473.1583333333333</v>
      </c>
      <c r="K267" s="9">
        <v>0</v>
      </c>
      <c r="L267" s="9">
        <f t="shared" si="117"/>
        <v>0</v>
      </c>
      <c r="M267">
        <v>0</v>
      </c>
      <c r="N267" s="4">
        <f t="shared" si="118"/>
        <v>0</v>
      </c>
      <c r="O267" s="9">
        <v>2119.85</v>
      </c>
      <c r="P267" s="9">
        <v>0</v>
      </c>
      <c r="Q267" s="9">
        <v>0</v>
      </c>
      <c r="R267" s="9">
        <v>0</v>
      </c>
      <c r="S267" s="9">
        <v>0</v>
      </c>
      <c r="T267" s="9">
        <v>0</v>
      </c>
      <c r="U267" s="9">
        <v>0</v>
      </c>
      <c r="V267" s="9">
        <v>0</v>
      </c>
      <c r="W267" s="9">
        <f t="shared" si="119"/>
        <v>2119.85</v>
      </c>
      <c r="X267" s="9">
        <v>353.30833333333328</v>
      </c>
      <c r="Y267" s="9">
        <v>0</v>
      </c>
      <c r="Z267" s="9">
        <v>2473.1583333333333</v>
      </c>
      <c r="AA267" s="9">
        <v>0</v>
      </c>
      <c r="AB267" s="9">
        <f t="shared" si="120"/>
        <v>2473.1583333333333</v>
      </c>
      <c r="AC267" s="9">
        <v>2473.1583333333333</v>
      </c>
      <c r="AD267" s="9">
        <v>0</v>
      </c>
      <c r="AE267" s="9">
        <v>2119.85</v>
      </c>
      <c r="AF267" s="9">
        <v>116.23844166666666</v>
      </c>
      <c r="AG267" s="9">
        <v>566.66433180000001</v>
      </c>
      <c r="AH267" s="9">
        <v>38.333954166666665</v>
      </c>
      <c r="AI267" s="9">
        <v>132.06160274999999</v>
      </c>
      <c r="AJ267" s="9">
        <v>4.8022400999999997</v>
      </c>
      <c r="AK267" s="9">
        <v>2.4731583333333336</v>
      </c>
      <c r="AL267" s="9">
        <v>14.4067203</v>
      </c>
      <c r="AM267" s="9">
        <v>3.7097375000000001</v>
      </c>
      <c r="AN267" s="9">
        <v>18.008400375000001</v>
      </c>
      <c r="AO267" s="9">
        <v>36.016800750000002</v>
      </c>
      <c r="AP267" s="9">
        <v>0</v>
      </c>
      <c r="AQ267" s="25">
        <v>0</v>
      </c>
      <c r="AR267" s="9">
        <f t="shared" si="121"/>
        <v>0</v>
      </c>
      <c r="AS267" s="25">
        <v>0</v>
      </c>
      <c r="AT267" s="9">
        <f t="shared" si="122"/>
        <v>0</v>
      </c>
      <c r="AU267" s="9">
        <v>0</v>
      </c>
      <c r="AV267" s="25">
        <v>0</v>
      </c>
      <c r="AW267" s="9">
        <f t="shared" si="123"/>
        <v>0</v>
      </c>
      <c r="AX267" s="25">
        <v>0</v>
      </c>
      <c r="AY267" s="9">
        <f t="shared" si="124"/>
        <v>0</v>
      </c>
      <c r="AZ267" s="9">
        <v>0</v>
      </c>
      <c r="BA267" s="25">
        <v>0</v>
      </c>
      <c r="BB267" s="9">
        <f t="shared" si="125"/>
        <v>0</v>
      </c>
      <c r="BC267" s="25">
        <v>0</v>
      </c>
      <c r="BD267" s="9">
        <f t="shared" si="126"/>
        <v>0</v>
      </c>
      <c r="BE267" s="9">
        <v>0</v>
      </c>
      <c r="BF267" s="9">
        <v>0</v>
      </c>
      <c r="BG267" s="9">
        <f t="shared" si="127"/>
        <v>0</v>
      </c>
      <c r="BH267" s="9">
        <v>0</v>
      </c>
      <c r="BI267" s="9">
        <f t="shared" si="128"/>
        <v>0</v>
      </c>
      <c r="BJ267" s="9">
        <v>0</v>
      </c>
      <c r="BK267" s="9">
        <v>0</v>
      </c>
      <c r="BL267" s="9">
        <f t="shared" si="129"/>
        <v>0</v>
      </c>
      <c r="BM267" s="9">
        <v>0</v>
      </c>
      <c r="BN267" s="9">
        <f t="shared" si="130"/>
        <v>0</v>
      </c>
      <c r="BO267" s="9">
        <v>0</v>
      </c>
      <c r="BP267" s="9">
        <v>0</v>
      </c>
      <c r="BQ267" s="9">
        <f t="shared" si="131"/>
        <v>0</v>
      </c>
      <c r="BR267" s="9">
        <v>0</v>
      </c>
      <c r="BS267" s="9">
        <f t="shared" si="132"/>
        <v>0</v>
      </c>
      <c r="BT267" s="9">
        <f t="shared" si="133"/>
        <v>0</v>
      </c>
      <c r="BU267" s="9">
        <f t="shared" si="134"/>
        <v>0</v>
      </c>
      <c r="BV267" s="9">
        <f t="shared" si="135"/>
        <v>160.75529166666666</v>
      </c>
      <c r="BW267">
        <f t="shared" si="136"/>
        <v>160.75529166666666</v>
      </c>
      <c r="BX267">
        <v>0</v>
      </c>
      <c r="BY267">
        <f t="shared" si="137"/>
        <v>771.96009607499991</v>
      </c>
      <c r="BZ267">
        <v>331.35456690000001</v>
      </c>
      <c r="CA267">
        <f t="shared" si="138"/>
        <v>1627.7401414333333</v>
      </c>
      <c r="CB267">
        <f t="shared" si="139"/>
        <v>2891.8100960749998</v>
      </c>
      <c r="CC267">
        <v>0</v>
      </c>
      <c r="CD267">
        <v>0</v>
      </c>
      <c r="CE267">
        <f t="shared" si="140"/>
        <v>0</v>
      </c>
      <c r="CF267">
        <f t="shared" si="141"/>
        <v>2119.85</v>
      </c>
      <c r="CG267">
        <f t="shared" si="142"/>
        <v>1627.7401414333333</v>
      </c>
      <c r="CH267">
        <f t="shared" si="143"/>
        <v>0</v>
      </c>
      <c r="CJ267" t="s">
        <v>278</v>
      </c>
      <c r="CL267" t="str">
        <f t="shared" si="144"/>
        <v/>
      </c>
    </row>
    <row r="268" spans="1:90" x14ac:dyDescent="0.25">
      <c r="A268" t="s">
        <v>130</v>
      </c>
      <c r="B268" t="s">
        <v>188</v>
      </c>
      <c r="C268" s="1">
        <v>46357</v>
      </c>
      <c r="D268" t="s">
        <v>182</v>
      </c>
      <c r="E268" t="s">
        <v>175</v>
      </c>
      <c r="F268" s="4">
        <v>1</v>
      </c>
      <c r="G268" s="4">
        <v>0</v>
      </c>
      <c r="H268" s="9">
        <v>2119.85</v>
      </c>
      <c r="I268" s="9">
        <v>353.30833333333328</v>
      </c>
      <c r="J268" s="9">
        <f t="shared" si="116"/>
        <v>2473.1583333333333</v>
      </c>
      <c r="K268" s="9">
        <v>0</v>
      </c>
      <c r="L268" s="9">
        <f t="shared" si="117"/>
        <v>0</v>
      </c>
      <c r="M268">
        <v>0</v>
      </c>
      <c r="N268" s="4">
        <f t="shared" si="118"/>
        <v>0</v>
      </c>
      <c r="O268" s="9">
        <v>2119.85</v>
      </c>
      <c r="P268" s="9">
        <v>0</v>
      </c>
      <c r="Q268" s="9">
        <v>0</v>
      </c>
      <c r="R268" s="9">
        <v>0</v>
      </c>
      <c r="S268" s="9">
        <v>0</v>
      </c>
      <c r="T268" s="9">
        <v>0</v>
      </c>
      <c r="U268" s="9">
        <v>0</v>
      </c>
      <c r="V268" s="9">
        <v>0</v>
      </c>
      <c r="W268" s="9">
        <f t="shared" si="119"/>
        <v>2119.85</v>
      </c>
      <c r="X268" s="9">
        <v>0</v>
      </c>
      <c r="Y268" s="9">
        <v>0</v>
      </c>
      <c r="Z268" s="9">
        <v>0</v>
      </c>
      <c r="AA268" s="9">
        <v>0</v>
      </c>
      <c r="AB268" s="9">
        <f t="shared" si="120"/>
        <v>0</v>
      </c>
      <c r="AC268" s="9">
        <v>0</v>
      </c>
      <c r="AD268" s="9">
        <v>0</v>
      </c>
      <c r="AE268" s="9">
        <v>2119.85</v>
      </c>
      <c r="AF268" s="9">
        <v>0</v>
      </c>
      <c r="AG268" s="9">
        <v>0</v>
      </c>
      <c r="AH268" s="9">
        <v>0</v>
      </c>
      <c r="AI268" s="9">
        <v>0</v>
      </c>
      <c r="AJ268" s="9">
        <v>0</v>
      </c>
      <c r="AK268" s="9">
        <v>0</v>
      </c>
      <c r="AL268" s="9">
        <v>0</v>
      </c>
      <c r="AM268" s="9">
        <v>0</v>
      </c>
      <c r="AN268" s="9">
        <v>0</v>
      </c>
      <c r="AO268" s="9">
        <v>0</v>
      </c>
      <c r="AP268" s="9">
        <v>0</v>
      </c>
      <c r="AQ268" s="25">
        <v>0</v>
      </c>
      <c r="AR268" s="9">
        <f t="shared" si="121"/>
        <v>0</v>
      </c>
      <c r="AS268" s="25">
        <v>0</v>
      </c>
      <c r="AT268" s="9">
        <f t="shared" si="122"/>
        <v>0</v>
      </c>
      <c r="AU268" s="9">
        <v>0</v>
      </c>
      <c r="AV268" s="25">
        <v>0</v>
      </c>
      <c r="AW268" s="9">
        <f t="shared" si="123"/>
        <v>0</v>
      </c>
      <c r="AX268" s="25">
        <v>0</v>
      </c>
      <c r="AY268" s="9">
        <f t="shared" si="124"/>
        <v>0</v>
      </c>
      <c r="AZ268" s="9">
        <v>0</v>
      </c>
      <c r="BA268" s="25">
        <v>0</v>
      </c>
      <c r="BB268" s="9">
        <f t="shared" si="125"/>
        <v>0</v>
      </c>
      <c r="BC268" s="25">
        <v>0</v>
      </c>
      <c r="BD268" s="9">
        <f t="shared" si="126"/>
        <v>0</v>
      </c>
      <c r="BE268" s="9">
        <v>0</v>
      </c>
      <c r="BF268" s="9">
        <v>0</v>
      </c>
      <c r="BG268" s="9">
        <f t="shared" si="127"/>
        <v>0</v>
      </c>
      <c r="BH268" s="9">
        <v>0</v>
      </c>
      <c r="BI268" s="9">
        <f t="shared" si="128"/>
        <v>0</v>
      </c>
      <c r="BJ268" s="9">
        <v>0</v>
      </c>
      <c r="BK268" s="9">
        <v>0</v>
      </c>
      <c r="BL268" s="9">
        <f t="shared" si="129"/>
        <v>0</v>
      </c>
      <c r="BM268" s="9">
        <v>0</v>
      </c>
      <c r="BN268" s="9">
        <f t="shared" si="130"/>
        <v>0</v>
      </c>
      <c r="BO268" s="9">
        <v>0</v>
      </c>
      <c r="BP268" s="9">
        <v>0</v>
      </c>
      <c r="BQ268" s="9">
        <f t="shared" si="131"/>
        <v>0</v>
      </c>
      <c r="BR268" s="9">
        <v>0</v>
      </c>
      <c r="BS268" s="9">
        <f t="shared" si="132"/>
        <v>0</v>
      </c>
      <c r="BT268" s="9">
        <f t="shared" si="133"/>
        <v>0</v>
      </c>
      <c r="BU268" s="9">
        <f t="shared" si="134"/>
        <v>0</v>
      </c>
      <c r="BV268" s="9">
        <f t="shared" si="135"/>
        <v>0</v>
      </c>
      <c r="BW268">
        <f t="shared" si="136"/>
        <v>0</v>
      </c>
      <c r="BX268">
        <v>0</v>
      </c>
      <c r="BY268">
        <f t="shared" si="137"/>
        <v>0</v>
      </c>
      <c r="BZ268">
        <v>331.35456690000001</v>
      </c>
      <c r="CA268">
        <f t="shared" si="138"/>
        <v>1788.4954330999999</v>
      </c>
      <c r="CB268">
        <f t="shared" si="139"/>
        <v>2119.85</v>
      </c>
      <c r="CC268">
        <v>0</v>
      </c>
      <c r="CD268">
        <v>0</v>
      </c>
      <c r="CE268">
        <f t="shared" si="140"/>
        <v>0</v>
      </c>
      <c r="CF268">
        <f t="shared" si="141"/>
        <v>2119.85</v>
      </c>
      <c r="CG268">
        <f t="shared" si="142"/>
        <v>1788.4954330999999</v>
      </c>
      <c r="CH268">
        <f t="shared" si="143"/>
        <v>0</v>
      </c>
      <c r="CJ268" t="s">
        <v>278</v>
      </c>
      <c r="CL268" t="str">
        <f t="shared" si="144"/>
        <v/>
      </c>
    </row>
    <row r="269" spans="1:90" x14ac:dyDescent="0.25">
      <c r="A269" t="s">
        <v>130</v>
      </c>
      <c r="B269" t="s">
        <v>189</v>
      </c>
      <c r="C269" s="1">
        <v>46357</v>
      </c>
      <c r="D269" t="s">
        <v>174</v>
      </c>
      <c r="E269" t="s">
        <v>175</v>
      </c>
      <c r="F269" s="4">
        <v>1</v>
      </c>
      <c r="G269" s="4">
        <v>0</v>
      </c>
      <c r="H269" s="9">
        <v>2119.85</v>
      </c>
      <c r="I269" s="9">
        <v>353.30833333333328</v>
      </c>
      <c r="J269" s="9">
        <f t="shared" si="116"/>
        <v>2473.1583333333333</v>
      </c>
      <c r="K269" s="9">
        <v>0</v>
      </c>
      <c r="L269" s="9">
        <f t="shared" si="117"/>
        <v>0</v>
      </c>
      <c r="M269">
        <v>0</v>
      </c>
      <c r="N269" s="4">
        <f t="shared" si="118"/>
        <v>0</v>
      </c>
      <c r="O269" s="9">
        <v>2119.85</v>
      </c>
      <c r="P269" s="9">
        <v>0</v>
      </c>
      <c r="Q269" s="9">
        <v>0</v>
      </c>
      <c r="R269" s="9">
        <v>0</v>
      </c>
      <c r="S269" s="9">
        <v>0</v>
      </c>
      <c r="T269" s="9">
        <v>0</v>
      </c>
      <c r="U269" s="9">
        <v>0</v>
      </c>
      <c r="V269" s="9">
        <v>0</v>
      </c>
      <c r="W269" s="9">
        <f t="shared" si="119"/>
        <v>2119.85</v>
      </c>
      <c r="X269" s="9">
        <v>353.30833333333328</v>
      </c>
      <c r="Y269" s="9">
        <v>0</v>
      </c>
      <c r="Z269" s="9">
        <v>2473.1583333333333</v>
      </c>
      <c r="AA269" s="9">
        <v>0</v>
      </c>
      <c r="AB269" s="9">
        <f t="shared" si="120"/>
        <v>2473.1583333333333</v>
      </c>
      <c r="AC269" s="9">
        <v>2473.1583333333333</v>
      </c>
      <c r="AD269" s="9">
        <v>0</v>
      </c>
      <c r="AE269" s="9">
        <v>2119.85</v>
      </c>
      <c r="AF269" s="9">
        <v>116.23844166666666</v>
      </c>
      <c r="AG269" s="9">
        <v>566.66433180000001</v>
      </c>
      <c r="AH269" s="9">
        <v>38.333954166666665</v>
      </c>
      <c r="AI269" s="9">
        <v>132.06160274999999</v>
      </c>
      <c r="AJ269" s="9">
        <v>4.8022400999999997</v>
      </c>
      <c r="AK269" s="9">
        <v>2.4731583333333336</v>
      </c>
      <c r="AL269" s="9">
        <v>14.4067203</v>
      </c>
      <c r="AM269" s="9">
        <v>3.7097375000000001</v>
      </c>
      <c r="AN269" s="9">
        <v>18.008400375000001</v>
      </c>
      <c r="AO269" s="9">
        <v>36.016800750000002</v>
      </c>
      <c r="AP269" s="9">
        <v>0</v>
      </c>
      <c r="AQ269" s="25">
        <v>0</v>
      </c>
      <c r="AR269" s="9">
        <f t="shared" si="121"/>
        <v>0</v>
      </c>
      <c r="AS269" s="25">
        <v>0</v>
      </c>
      <c r="AT269" s="9">
        <f t="shared" si="122"/>
        <v>0</v>
      </c>
      <c r="AU269" s="9">
        <v>0</v>
      </c>
      <c r="AV269" s="25">
        <v>0</v>
      </c>
      <c r="AW269" s="9">
        <f t="shared" si="123"/>
        <v>0</v>
      </c>
      <c r="AX269" s="25">
        <v>0</v>
      </c>
      <c r="AY269" s="9">
        <f t="shared" si="124"/>
        <v>0</v>
      </c>
      <c r="AZ269" s="9">
        <v>0</v>
      </c>
      <c r="BA269" s="25">
        <v>0</v>
      </c>
      <c r="BB269" s="9">
        <f t="shared" si="125"/>
        <v>0</v>
      </c>
      <c r="BC269" s="25">
        <v>0</v>
      </c>
      <c r="BD269" s="9">
        <f t="shared" si="126"/>
        <v>0</v>
      </c>
      <c r="BE269" s="9">
        <v>0</v>
      </c>
      <c r="BF269" s="9">
        <v>0</v>
      </c>
      <c r="BG269" s="9">
        <f t="shared" si="127"/>
        <v>0</v>
      </c>
      <c r="BH269" s="9">
        <v>0</v>
      </c>
      <c r="BI269" s="9">
        <f t="shared" si="128"/>
        <v>0</v>
      </c>
      <c r="BJ269" s="9">
        <v>0</v>
      </c>
      <c r="BK269" s="9">
        <v>0</v>
      </c>
      <c r="BL269" s="9">
        <f t="shared" si="129"/>
        <v>0</v>
      </c>
      <c r="BM269" s="9">
        <v>0</v>
      </c>
      <c r="BN269" s="9">
        <f t="shared" si="130"/>
        <v>0</v>
      </c>
      <c r="BO269" s="9">
        <v>0</v>
      </c>
      <c r="BP269" s="9">
        <v>0</v>
      </c>
      <c r="BQ269" s="9">
        <f t="shared" si="131"/>
        <v>0</v>
      </c>
      <c r="BR269" s="9">
        <v>0</v>
      </c>
      <c r="BS269" s="9">
        <f t="shared" si="132"/>
        <v>0</v>
      </c>
      <c r="BT269" s="9">
        <f t="shared" si="133"/>
        <v>0</v>
      </c>
      <c r="BU269" s="9">
        <f t="shared" si="134"/>
        <v>0</v>
      </c>
      <c r="BV269" s="9">
        <f t="shared" si="135"/>
        <v>160.75529166666666</v>
      </c>
      <c r="BW269">
        <f t="shared" si="136"/>
        <v>160.75529166666666</v>
      </c>
      <c r="BX269">
        <v>0</v>
      </c>
      <c r="BY269">
        <f t="shared" si="137"/>
        <v>771.96009607499991</v>
      </c>
      <c r="BZ269">
        <v>331.35456690000001</v>
      </c>
      <c r="CA269">
        <f t="shared" si="138"/>
        <v>1627.7401414333333</v>
      </c>
      <c r="CB269">
        <f t="shared" si="139"/>
        <v>2891.8100960749998</v>
      </c>
      <c r="CC269">
        <v>0</v>
      </c>
      <c r="CD269">
        <v>0</v>
      </c>
      <c r="CE269">
        <f t="shared" si="140"/>
        <v>0</v>
      </c>
      <c r="CF269">
        <f t="shared" si="141"/>
        <v>2119.85</v>
      </c>
      <c r="CG269">
        <f t="shared" si="142"/>
        <v>1627.7401414333333</v>
      </c>
      <c r="CH269">
        <f t="shared" si="143"/>
        <v>0</v>
      </c>
      <c r="CJ269" t="s">
        <v>278</v>
      </c>
      <c r="CL269" t="str">
        <f t="shared" si="144"/>
        <v/>
      </c>
    </row>
    <row r="270" spans="1:90" x14ac:dyDescent="0.25">
      <c r="A270" t="s">
        <v>132</v>
      </c>
      <c r="B270" t="s">
        <v>173</v>
      </c>
      <c r="C270" s="1">
        <v>46023</v>
      </c>
      <c r="D270" t="s">
        <v>174</v>
      </c>
      <c r="E270" t="s">
        <v>175</v>
      </c>
      <c r="F270" s="4">
        <v>1</v>
      </c>
      <c r="G270" s="4">
        <v>0</v>
      </c>
      <c r="H270" s="9">
        <v>1816.28</v>
      </c>
      <c r="I270" s="9">
        <v>302.71333333333331</v>
      </c>
      <c r="J270" s="9">
        <f t="shared" si="116"/>
        <v>2118.9933333333333</v>
      </c>
      <c r="K270" s="9">
        <v>0</v>
      </c>
      <c r="L270" s="9">
        <f t="shared" si="117"/>
        <v>0</v>
      </c>
      <c r="M270">
        <v>0</v>
      </c>
      <c r="N270" s="4">
        <f t="shared" si="118"/>
        <v>0</v>
      </c>
      <c r="O270" s="9">
        <v>1816.28</v>
      </c>
      <c r="P270" s="9">
        <v>0</v>
      </c>
      <c r="Q270" s="9">
        <v>0</v>
      </c>
      <c r="R270" s="9">
        <v>0</v>
      </c>
      <c r="S270" s="9">
        <v>0</v>
      </c>
      <c r="T270" s="9">
        <v>0</v>
      </c>
      <c r="U270" s="9">
        <v>0</v>
      </c>
      <c r="V270" s="9">
        <v>0</v>
      </c>
      <c r="W270" s="9">
        <f t="shared" si="119"/>
        <v>1816.28</v>
      </c>
      <c r="X270" s="9">
        <v>302.71333333333331</v>
      </c>
      <c r="Y270" s="9">
        <v>0</v>
      </c>
      <c r="Z270" s="9">
        <v>2118.9933333333333</v>
      </c>
      <c r="AA270" s="9">
        <v>0</v>
      </c>
      <c r="AB270" s="9">
        <f t="shared" si="120"/>
        <v>2118.9933333333333</v>
      </c>
      <c r="AC270" s="9">
        <v>2118.9933333333333</v>
      </c>
      <c r="AD270" s="9">
        <v>0</v>
      </c>
      <c r="AE270" s="9">
        <v>1816.28</v>
      </c>
      <c r="AF270" s="9">
        <v>99.592686666666665</v>
      </c>
      <c r="AG270" s="9">
        <v>511.33254666666664</v>
      </c>
      <c r="AH270" s="9">
        <v>32.844396666666668</v>
      </c>
      <c r="AI270" s="9">
        <v>119.16648333333333</v>
      </c>
      <c r="AJ270" s="9">
        <v>4.3333266666666672</v>
      </c>
      <c r="AK270" s="9">
        <v>2.1189933333333335</v>
      </c>
      <c r="AL270" s="9">
        <v>12.999980000000001</v>
      </c>
      <c r="AM270" s="9">
        <v>3.17849</v>
      </c>
      <c r="AN270" s="9">
        <v>16.249974999999999</v>
      </c>
      <c r="AO270" s="9">
        <v>32.499949999999998</v>
      </c>
      <c r="AP270" s="9">
        <v>0</v>
      </c>
      <c r="AQ270" s="25">
        <v>0</v>
      </c>
      <c r="AR270" s="9">
        <f t="shared" si="121"/>
        <v>0</v>
      </c>
      <c r="AS270" s="25">
        <v>0</v>
      </c>
      <c r="AT270" s="9">
        <f t="shared" si="122"/>
        <v>0</v>
      </c>
      <c r="AU270" s="9">
        <v>0</v>
      </c>
      <c r="AV270" s="25">
        <v>0</v>
      </c>
      <c r="AW270" s="9">
        <f t="shared" si="123"/>
        <v>0</v>
      </c>
      <c r="AX270" s="25">
        <v>0</v>
      </c>
      <c r="AY270" s="9">
        <f t="shared" si="124"/>
        <v>0</v>
      </c>
      <c r="AZ270" s="9">
        <v>0</v>
      </c>
      <c r="BA270" s="25">
        <v>0</v>
      </c>
      <c r="BB270" s="9">
        <f t="shared" si="125"/>
        <v>0</v>
      </c>
      <c r="BC270" s="25">
        <v>0</v>
      </c>
      <c r="BD270" s="9">
        <f t="shared" si="126"/>
        <v>0</v>
      </c>
      <c r="BE270" s="9">
        <v>0</v>
      </c>
      <c r="BF270" s="9">
        <v>0</v>
      </c>
      <c r="BG270" s="9">
        <f t="shared" si="127"/>
        <v>0</v>
      </c>
      <c r="BH270" s="9">
        <v>0</v>
      </c>
      <c r="BI270" s="9">
        <f t="shared" si="128"/>
        <v>0</v>
      </c>
      <c r="BJ270" s="9">
        <v>0</v>
      </c>
      <c r="BK270" s="9">
        <v>0</v>
      </c>
      <c r="BL270" s="9">
        <f t="shared" si="129"/>
        <v>0</v>
      </c>
      <c r="BM270" s="9">
        <v>0</v>
      </c>
      <c r="BN270" s="9">
        <f t="shared" si="130"/>
        <v>0</v>
      </c>
      <c r="BO270" s="9">
        <v>0</v>
      </c>
      <c r="BP270" s="9">
        <v>0</v>
      </c>
      <c r="BQ270" s="9">
        <f t="shared" si="131"/>
        <v>0</v>
      </c>
      <c r="BR270" s="9">
        <v>0</v>
      </c>
      <c r="BS270" s="9">
        <f t="shared" si="132"/>
        <v>0</v>
      </c>
      <c r="BT270" s="9">
        <f t="shared" si="133"/>
        <v>0</v>
      </c>
      <c r="BU270" s="9">
        <f t="shared" si="134"/>
        <v>0</v>
      </c>
      <c r="BV270" s="9">
        <f t="shared" si="135"/>
        <v>137.73456666666667</v>
      </c>
      <c r="BW270">
        <f t="shared" si="136"/>
        <v>137.73456666666667</v>
      </c>
      <c r="BX270">
        <v>0</v>
      </c>
      <c r="BY270">
        <f t="shared" si="137"/>
        <v>696.58226166666668</v>
      </c>
      <c r="BZ270">
        <v>271.88529600000004</v>
      </c>
      <c r="CA270">
        <f t="shared" si="138"/>
        <v>1406.6601373333333</v>
      </c>
      <c r="CB270">
        <f t="shared" si="139"/>
        <v>2512.8622616666667</v>
      </c>
      <c r="CC270">
        <v>0</v>
      </c>
      <c r="CD270">
        <v>0</v>
      </c>
      <c r="CE270">
        <f t="shared" si="140"/>
        <v>0</v>
      </c>
      <c r="CF270">
        <f t="shared" si="141"/>
        <v>1816.28</v>
      </c>
      <c r="CG270">
        <f t="shared" si="142"/>
        <v>1406.6601373333333</v>
      </c>
      <c r="CH270">
        <f t="shared" si="143"/>
        <v>0</v>
      </c>
      <c r="CJ270" t="s">
        <v>278</v>
      </c>
      <c r="CL270" t="str">
        <f t="shared" si="144"/>
        <v/>
      </c>
    </row>
    <row r="271" spans="1:90" x14ac:dyDescent="0.25">
      <c r="A271" t="s">
        <v>132</v>
      </c>
      <c r="B271" t="s">
        <v>176</v>
      </c>
      <c r="C271" s="1">
        <v>46054</v>
      </c>
      <c r="D271" t="s">
        <v>174</v>
      </c>
      <c r="E271" t="s">
        <v>175</v>
      </c>
      <c r="F271" s="4">
        <v>1</v>
      </c>
      <c r="G271" s="4">
        <v>0</v>
      </c>
      <c r="H271" s="9">
        <v>1816.28</v>
      </c>
      <c r="I271" s="9">
        <v>302.71333333333331</v>
      </c>
      <c r="J271" s="9">
        <f t="shared" si="116"/>
        <v>2118.9933333333333</v>
      </c>
      <c r="K271" s="9">
        <v>0</v>
      </c>
      <c r="L271" s="9">
        <f t="shared" si="117"/>
        <v>0</v>
      </c>
      <c r="M271">
        <v>0</v>
      </c>
      <c r="N271" s="4">
        <f t="shared" si="118"/>
        <v>0</v>
      </c>
      <c r="O271" s="9">
        <v>1816.28</v>
      </c>
      <c r="P271" s="9">
        <v>0</v>
      </c>
      <c r="Q271" s="9">
        <v>0</v>
      </c>
      <c r="R271" s="9">
        <v>0</v>
      </c>
      <c r="S271" s="9">
        <v>0</v>
      </c>
      <c r="T271" s="9">
        <v>0</v>
      </c>
      <c r="U271" s="9">
        <v>0</v>
      </c>
      <c r="V271" s="9">
        <v>0</v>
      </c>
      <c r="W271" s="9">
        <f t="shared" si="119"/>
        <v>1816.28</v>
      </c>
      <c r="X271" s="9">
        <v>302.71333333333331</v>
      </c>
      <c r="Y271" s="9">
        <v>0</v>
      </c>
      <c r="Z271" s="9">
        <v>2118.9933333333333</v>
      </c>
      <c r="AA271" s="9">
        <v>0</v>
      </c>
      <c r="AB271" s="9">
        <f t="shared" si="120"/>
        <v>2118.9933333333333</v>
      </c>
      <c r="AC271" s="9">
        <v>2118.9933333333333</v>
      </c>
      <c r="AD271" s="9">
        <v>0</v>
      </c>
      <c r="AE271" s="9">
        <v>1816.28</v>
      </c>
      <c r="AF271" s="9">
        <v>99.592686666666665</v>
      </c>
      <c r="AG271" s="9">
        <v>511.33254666666664</v>
      </c>
      <c r="AH271" s="9">
        <v>32.844396666666668</v>
      </c>
      <c r="AI271" s="9">
        <v>119.16648333333333</v>
      </c>
      <c r="AJ271" s="9">
        <v>4.3333266666666672</v>
      </c>
      <c r="AK271" s="9">
        <v>2.1189933333333335</v>
      </c>
      <c r="AL271" s="9">
        <v>12.999980000000001</v>
      </c>
      <c r="AM271" s="9">
        <v>3.17849</v>
      </c>
      <c r="AN271" s="9">
        <v>16.249974999999999</v>
      </c>
      <c r="AO271" s="9">
        <v>32.499949999999998</v>
      </c>
      <c r="AP271" s="9">
        <v>0</v>
      </c>
      <c r="AQ271" s="25">
        <v>0</v>
      </c>
      <c r="AR271" s="9">
        <f t="shared" si="121"/>
        <v>0</v>
      </c>
      <c r="AS271" s="25">
        <v>0</v>
      </c>
      <c r="AT271" s="9">
        <f t="shared" si="122"/>
        <v>0</v>
      </c>
      <c r="AU271" s="9">
        <v>0</v>
      </c>
      <c r="AV271" s="25">
        <v>0</v>
      </c>
      <c r="AW271" s="9">
        <f t="shared" si="123"/>
        <v>0</v>
      </c>
      <c r="AX271" s="25">
        <v>0</v>
      </c>
      <c r="AY271" s="9">
        <f t="shared" si="124"/>
        <v>0</v>
      </c>
      <c r="AZ271" s="9">
        <v>0</v>
      </c>
      <c r="BA271" s="25">
        <v>0</v>
      </c>
      <c r="BB271" s="9">
        <f t="shared" si="125"/>
        <v>0</v>
      </c>
      <c r="BC271" s="25">
        <v>0</v>
      </c>
      <c r="BD271" s="9">
        <f t="shared" si="126"/>
        <v>0</v>
      </c>
      <c r="BE271" s="9">
        <v>0</v>
      </c>
      <c r="BF271" s="9">
        <v>0</v>
      </c>
      <c r="BG271" s="9">
        <f t="shared" si="127"/>
        <v>0</v>
      </c>
      <c r="BH271" s="9">
        <v>0</v>
      </c>
      <c r="BI271" s="9">
        <f t="shared" si="128"/>
        <v>0</v>
      </c>
      <c r="BJ271" s="9">
        <v>0</v>
      </c>
      <c r="BK271" s="9">
        <v>0</v>
      </c>
      <c r="BL271" s="9">
        <f t="shared" si="129"/>
        <v>0</v>
      </c>
      <c r="BM271" s="9">
        <v>0</v>
      </c>
      <c r="BN271" s="9">
        <f t="shared" si="130"/>
        <v>0</v>
      </c>
      <c r="BO271" s="9">
        <v>0</v>
      </c>
      <c r="BP271" s="9">
        <v>0</v>
      </c>
      <c r="BQ271" s="9">
        <f t="shared" si="131"/>
        <v>0</v>
      </c>
      <c r="BR271" s="9">
        <v>0</v>
      </c>
      <c r="BS271" s="9">
        <f t="shared" si="132"/>
        <v>0</v>
      </c>
      <c r="BT271" s="9">
        <f t="shared" si="133"/>
        <v>0</v>
      </c>
      <c r="BU271" s="9">
        <f t="shared" si="134"/>
        <v>0</v>
      </c>
      <c r="BV271" s="9">
        <f t="shared" si="135"/>
        <v>137.73456666666667</v>
      </c>
      <c r="BW271">
        <f t="shared" si="136"/>
        <v>137.73456666666667</v>
      </c>
      <c r="BX271">
        <v>0</v>
      </c>
      <c r="BY271">
        <f t="shared" si="137"/>
        <v>696.58226166666668</v>
      </c>
      <c r="BZ271">
        <v>271.88529600000004</v>
      </c>
      <c r="CA271">
        <f t="shared" si="138"/>
        <v>1406.6601373333333</v>
      </c>
      <c r="CB271">
        <f t="shared" si="139"/>
        <v>2512.8622616666667</v>
      </c>
      <c r="CC271">
        <v>0</v>
      </c>
      <c r="CD271">
        <v>0</v>
      </c>
      <c r="CE271">
        <f t="shared" si="140"/>
        <v>0</v>
      </c>
      <c r="CF271">
        <f t="shared" si="141"/>
        <v>1816.28</v>
      </c>
      <c r="CG271">
        <f t="shared" si="142"/>
        <v>1406.6601373333333</v>
      </c>
      <c r="CH271">
        <f t="shared" si="143"/>
        <v>0</v>
      </c>
      <c r="CJ271" t="s">
        <v>278</v>
      </c>
      <c r="CL271" t="str">
        <f t="shared" si="144"/>
        <v/>
      </c>
    </row>
    <row r="272" spans="1:90" x14ac:dyDescent="0.25">
      <c r="A272" t="s">
        <v>132</v>
      </c>
      <c r="B272" t="s">
        <v>177</v>
      </c>
      <c r="C272" s="1">
        <v>46082</v>
      </c>
      <c r="D272" t="s">
        <v>174</v>
      </c>
      <c r="E272" t="s">
        <v>175</v>
      </c>
      <c r="F272" s="4">
        <v>1</v>
      </c>
      <c r="G272" s="4">
        <v>0</v>
      </c>
      <c r="H272" s="9">
        <v>1816.28</v>
      </c>
      <c r="I272" s="9">
        <v>302.71333333333331</v>
      </c>
      <c r="J272" s="9">
        <f t="shared" si="116"/>
        <v>2118.9933333333333</v>
      </c>
      <c r="K272" s="9">
        <v>0</v>
      </c>
      <c r="L272" s="9">
        <f t="shared" si="117"/>
        <v>0</v>
      </c>
      <c r="M272">
        <v>0</v>
      </c>
      <c r="N272" s="4">
        <f t="shared" si="118"/>
        <v>0</v>
      </c>
      <c r="O272" s="9">
        <v>1816.28</v>
      </c>
      <c r="P272" s="9">
        <v>0</v>
      </c>
      <c r="Q272" s="9">
        <v>0</v>
      </c>
      <c r="R272" s="9">
        <v>0</v>
      </c>
      <c r="S272" s="9">
        <v>0</v>
      </c>
      <c r="T272" s="9">
        <v>0</v>
      </c>
      <c r="U272" s="9">
        <v>0</v>
      </c>
      <c r="V272" s="9">
        <v>0</v>
      </c>
      <c r="W272" s="9">
        <f t="shared" si="119"/>
        <v>1816.28</v>
      </c>
      <c r="X272" s="9">
        <v>302.71333333333331</v>
      </c>
      <c r="Y272" s="9">
        <v>0</v>
      </c>
      <c r="Z272" s="9">
        <v>2118.9933333333333</v>
      </c>
      <c r="AA272" s="9">
        <v>0</v>
      </c>
      <c r="AB272" s="9">
        <f t="shared" si="120"/>
        <v>2118.9933333333333</v>
      </c>
      <c r="AC272" s="9">
        <v>2118.9933333333333</v>
      </c>
      <c r="AD272" s="9">
        <v>0</v>
      </c>
      <c r="AE272" s="9">
        <v>1816.28</v>
      </c>
      <c r="AF272" s="9">
        <v>99.592686666666665</v>
      </c>
      <c r="AG272" s="9">
        <v>511.33254666666664</v>
      </c>
      <c r="AH272" s="9">
        <v>32.844396666666668</v>
      </c>
      <c r="AI272" s="9">
        <v>119.16648333333333</v>
      </c>
      <c r="AJ272" s="9">
        <v>4.3333266666666672</v>
      </c>
      <c r="AK272" s="9">
        <v>2.1189933333333335</v>
      </c>
      <c r="AL272" s="9">
        <v>12.999980000000001</v>
      </c>
      <c r="AM272" s="9">
        <v>3.17849</v>
      </c>
      <c r="AN272" s="9">
        <v>16.249974999999999</v>
      </c>
      <c r="AO272" s="9">
        <v>32.499949999999998</v>
      </c>
      <c r="AP272" s="9">
        <v>0</v>
      </c>
      <c r="AQ272" s="25">
        <v>0</v>
      </c>
      <c r="AR272" s="9">
        <f t="shared" si="121"/>
        <v>0</v>
      </c>
      <c r="AS272" s="25">
        <v>0</v>
      </c>
      <c r="AT272" s="9">
        <f t="shared" si="122"/>
        <v>0</v>
      </c>
      <c r="AU272" s="9">
        <v>0</v>
      </c>
      <c r="AV272" s="25">
        <v>0</v>
      </c>
      <c r="AW272" s="9">
        <f t="shared" si="123"/>
        <v>0</v>
      </c>
      <c r="AX272" s="25">
        <v>0</v>
      </c>
      <c r="AY272" s="9">
        <f t="shared" si="124"/>
        <v>0</v>
      </c>
      <c r="AZ272" s="9">
        <v>0</v>
      </c>
      <c r="BA272" s="25">
        <v>0</v>
      </c>
      <c r="BB272" s="9">
        <f t="shared" si="125"/>
        <v>0</v>
      </c>
      <c r="BC272" s="25">
        <v>0</v>
      </c>
      <c r="BD272" s="9">
        <f t="shared" si="126"/>
        <v>0</v>
      </c>
      <c r="BE272" s="9">
        <v>0</v>
      </c>
      <c r="BF272" s="9">
        <v>0</v>
      </c>
      <c r="BG272" s="9">
        <f t="shared" si="127"/>
        <v>0</v>
      </c>
      <c r="BH272" s="9">
        <v>0</v>
      </c>
      <c r="BI272" s="9">
        <f t="shared" si="128"/>
        <v>0</v>
      </c>
      <c r="BJ272" s="9">
        <v>0</v>
      </c>
      <c r="BK272" s="9">
        <v>0</v>
      </c>
      <c r="BL272" s="9">
        <f t="shared" si="129"/>
        <v>0</v>
      </c>
      <c r="BM272" s="9">
        <v>0</v>
      </c>
      <c r="BN272" s="9">
        <f t="shared" si="130"/>
        <v>0</v>
      </c>
      <c r="BO272" s="9">
        <v>0</v>
      </c>
      <c r="BP272" s="9">
        <v>0</v>
      </c>
      <c r="BQ272" s="9">
        <f t="shared" si="131"/>
        <v>0</v>
      </c>
      <c r="BR272" s="9">
        <v>0</v>
      </c>
      <c r="BS272" s="9">
        <f t="shared" si="132"/>
        <v>0</v>
      </c>
      <c r="BT272" s="9">
        <f t="shared" si="133"/>
        <v>0</v>
      </c>
      <c r="BU272" s="9">
        <f t="shared" si="134"/>
        <v>0</v>
      </c>
      <c r="BV272" s="9">
        <f t="shared" si="135"/>
        <v>137.73456666666667</v>
      </c>
      <c r="BW272">
        <f t="shared" si="136"/>
        <v>137.73456666666667</v>
      </c>
      <c r="BX272">
        <v>0</v>
      </c>
      <c r="BY272">
        <f t="shared" si="137"/>
        <v>696.58226166666668</v>
      </c>
      <c r="BZ272">
        <v>271.88529600000004</v>
      </c>
      <c r="CA272">
        <f t="shared" si="138"/>
        <v>1406.6601373333333</v>
      </c>
      <c r="CB272">
        <f t="shared" si="139"/>
        <v>2512.8622616666667</v>
      </c>
      <c r="CC272">
        <v>0</v>
      </c>
      <c r="CD272">
        <v>0</v>
      </c>
      <c r="CE272">
        <f t="shared" si="140"/>
        <v>0</v>
      </c>
      <c r="CF272">
        <f t="shared" si="141"/>
        <v>1816.28</v>
      </c>
      <c r="CG272">
        <f t="shared" si="142"/>
        <v>1406.6601373333333</v>
      </c>
      <c r="CH272">
        <f t="shared" si="143"/>
        <v>0</v>
      </c>
      <c r="CJ272" t="s">
        <v>278</v>
      </c>
      <c r="CL272" t="str">
        <f t="shared" si="144"/>
        <v/>
      </c>
    </row>
    <row r="273" spans="1:90" x14ac:dyDescent="0.25">
      <c r="A273" t="s">
        <v>132</v>
      </c>
      <c r="B273" t="s">
        <v>178</v>
      </c>
      <c r="C273" s="1">
        <v>46113</v>
      </c>
      <c r="D273" t="s">
        <v>174</v>
      </c>
      <c r="E273" t="s">
        <v>175</v>
      </c>
      <c r="F273" s="4">
        <v>1</v>
      </c>
      <c r="G273" s="4">
        <v>0</v>
      </c>
      <c r="H273" s="9">
        <v>1816.28</v>
      </c>
      <c r="I273" s="9">
        <v>302.71333333333331</v>
      </c>
      <c r="J273" s="9">
        <f t="shared" si="116"/>
        <v>2118.9933333333333</v>
      </c>
      <c r="K273" s="9">
        <v>0</v>
      </c>
      <c r="L273" s="9">
        <f t="shared" si="117"/>
        <v>0</v>
      </c>
      <c r="M273">
        <v>0</v>
      </c>
      <c r="N273" s="4">
        <f t="shared" si="118"/>
        <v>0</v>
      </c>
      <c r="O273" s="9">
        <v>1816.28</v>
      </c>
      <c r="P273" s="9">
        <v>0</v>
      </c>
      <c r="Q273" s="9">
        <v>0</v>
      </c>
      <c r="R273" s="9">
        <v>0</v>
      </c>
      <c r="S273" s="9">
        <v>0</v>
      </c>
      <c r="T273" s="9">
        <v>0</v>
      </c>
      <c r="U273" s="9">
        <v>0</v>
      </c>
      <c r="V273" s="9">
        <v>0</v>
      </c>
      <c r="W273" s="9">
        <f t="shared" si="119"/>
        <v>1816.28</v>
      </c>
      <c r="X273" s="9">
        <v>302.71333333333331</v>
      </c>
      <c r="Y273" s="9">
        <v>0</v>
      </c>
      <c r="Z273" s="9">
        <v>2118.9933333333333</v>
      </c>
      <c r="AA273" s="9">
        <v>0</v>
      </c>
      <c r="AB273" s="9">
        <f t="shared" si="120"/>
        <v>2118.9933333333333</v>
      </c>
      <c r="AC273" s="9">
        <v>2118.9933333333333</v>
      </c>
      <c r="AD273" s="9">
        <v>0</v>
      </c>
      <c r="AE273" s="9">
        <v>1816.28</v>
      </c>
      <c r="AF273" s="9">
        <v>99.592686666666665</v>
      </c>
      <c r="AG273" s="9">
        <v>511.33254666666664</v>
      </c>
      <c r="AH273" s="9">
        <v>32.844396666666668</v>
      </c>
      <c r="AI273" s="9">
        <v>119.16648333333333</v>
      </c>
      <c r="AJ273" s="9">
        <v>4.3333266666666672</v>
      </c>
      <c r="AK273" s="9">
        <v>2.1189933333333335</v>
      </c>
      <c r="AL273" s="9">
        <v>12.999980000000001</v>
      </c>
      <c r="AM273" s="9">
        <v>3.17849</v>
      </c>
      <c r="AN273" s="9">
        <v>16.249974999999999</v>
      </c>
      <c r="AO273" s="9">
        <v>32.499949999999998</v>
      </c>
      <c r="AP273" s="9">
        <v>0</v>
      </c>
      <c r="AQ273" s="25">
        <v>0</v>
      </c>
      <c r="AR273" s="9">
        <f t="shared" si="121"/>
        <v>0</v>
      </c>
      <c r="AS273" s="25">
        <v>0</v>
      </c>
      <c r="AT273" s="9">
        <f t="shared" si="122"/>
        <v>0</v>
      </c>
      <c r="AU273" s="9">
        <v>0</v>
      </c>
      <c r="AV273" s="25">
        <v>0</v>
      </c>
      <c r="AW273" s="9">
        <f t="shared" si="123"/>
        <v>0</v>
      </c>
      <c r="AX273" s="25">
        <v>0</v>
      </c>
      <c r="AY273" s="9">
        <f t="shared" si="124"/>
        <v>0</v>
      </c>
      <c r="AZ273" s="9">
        <v>0</v>
      </c>
      <c r="BA273" s="25">
        <v>0</v>
      </c>
      <c r="BB273" s="9">
        <f t="shared" si="125"/>
        <v>0</v>
      </c>
      <c r="BC273" s="25">
        <v>0</v>
      </c>
      <c r="BD273" s="9">
        <f t="shared" si="126"/>
        <v>0</v>
      </c>
      <c r="BE273" s="9">
        <v>0</v>
      </c>
      <c r="BF273" s="9">
        <v>0</v>
      </c>
      <c r="BG273" s="9">
        <f t="shared" si="127"/>
        <v>0</v>
      </c>
      <c r="BH273" s="9">
        <v>0</v>
      </c>
      <c r="BI273" s="9">
        <f t="shared" si="128"/>
        <v>0</v>
      </c>
      <c r="BJ273" s="9">
        <v>0</v>
      </c>
      <c r="BK273" s="9">
        <v>0</v>
      </c>
      <c r="BL273" s="9">
        <f t="shared" si="129"/>
        <v>0</v>
      </c>
      <c r="BM273" s="9">
        <v>0</v>
      </c>
      <c r="BN273" s="9">
        <f t="shared" si="130"/>
        <v>0</v>
      </c>
      <c r="BO273" s="9">
        <v>0</v>
      </c>
      <c r="BP273" s="9">
        <v>0</v>
      </c>
      <c r="BQ273" s="9">
        <f t="shared" si="131"/>
        <v>0</v>
      </c>
      <c r="BR273" s="9">
        <v>0</v>
      </c>
      <c r="BS273" s="9">
        <f t="shared" si="132"/>
        <v>0</v>
      </c>
      <c r="BT273" s="9">
        <f t="shared" si="133"/>
        <v>0</v>
      </c>
      <c r="BU273" s="9">
        <f t="shared" si="134"/>
        <v>0</v>
      </c>
      <c r="BV273" s="9">
        <f t="shared" si="135"/>
        <v>137.73456666666667</v>
      </c>
      <c r="BW273">
        <f t="shared" si="136"/>
        <v>137.73456666666667</v>
      </c>
      <c r="BX273">
        <v>0</v>
      </c>
      <c r="BY273">
        <f t="shared" si="137"/>
        <v>696.58226166666668</v>
      </c>
      <c r="BZ273">
        <v>271.88529600000004</v>
      </c>
      <c r="CA273">
        <f t="shared" si="138"/>
        <v>1406.6601373333333</v>
      </c>
      <c r="CB273">
        <f t="shared" si="139"/>
        <v>2512.8622616666667</v>
      </c>
      <c r="CC273">
        <v>0</v>
      </c>
      <c r="CD273">
        <v>0</v>
      </c>
      <c r="CE273">
        <f t="shared" si="140"/>
        <v>0</v>
      </c>
      <c r="CF273">
        <f t="shared" si="141"/>
        <v>1816.28</v>
      </c>
      <c r="CG273">
        <f t="shared" si="142"/>
        <v>1406.6601373333333</v>
      </c>
      <c r="CH273">
        <f t="shared" si="143"/>
        <v>0</v>
      </c>
      <c r="CJ273" t="s">
        <v>278</v>
      </c>
      <c r="CL273" t="str">
        <f t="shared" si="144"/>
        <v/>
      </c>
    </row>
    <row r="274" spans="1:90" x14ac:dyDescent="0.25">
      <c r="A274" t="s">
        <v>132</v>
      </c>
      <c r="B274" t="s">
        <v>179</v>
      </c>
      <c r="C274" s="1">
        <v>46143</v>
      </c>
      <c r="D274" t="s">
        <v>174</v>
      </c>
      <c r="E274" t="s">
        <v>175</v>
      </c>
      <c r="F274" s="4">
        <v>1</v>
      </c>
      <c r="G274" s="4">
        <v>0</v>
      </c>
      <c r="H274" s="9">
        <v>1816.28</v>
      </c>
      <c r="I274" s="9">
        <v>302.71333333333331</v>
      </c>
      <c r="J274" s="9">
        <f t="shared" si="116"/>
        <v>2118.9933333333333</v>
      </c>
      <c r="K274" s="9">
        <v>0</v>
      </c>
      <c r="L274" s="9">
        <f t="shared" si="117"/>
        <v>0</v>
      </c>
      <c r="M274">
        <v>0</v>
      </c>
      <c r="N274" s="4">
        <f t="shared" si="118"/>
        <v>0</v>
      </c>
      <c r="O274" s="9">
        <v>1816.28</v>
      </c>
      <c r="P274" s="9">
        <v>0</v>
      </c>
      <c r="Q274" s="9">
        <v>0</v>
      </c>
      <c r="R274" s="9">
        <v>0</v>
      </c>
      <c r="S274" s="9">
        <v>0</v>
      </c>
      <c r="T274" s="9">
        <v>0</v>
      </c>
      <c r="U274" s="9">
        <v>0</v>
      </c>
      <c r="V274" s="9">
        <v>0</v>
      </c>
      <c r="W274" s="9">
        <f t="shared" si="119"/>
        <v>1816.28</v>
      </c>
      <c r="X274" s="9">
        <v>302.71333333333331</v>
      </c>
      <c r="Y274" s="9">
        <v>0</v>
      </c>
      <c r="Z274" s="9">
        <v>2118.9933333333333</v>
      </c>
      <c r="AA274" s="9">
        <v>0</v>
      </c>
      <c r="AB274" s="9">
        <f t="shared" si="120"/>
        <v>2118.9933333333333</v>
      </c>
      <c r="AC274" s="9">
        <v>2118.9933333333333</v>
      </c>
      <c r="AD274" s="9">
        <v>0</v>
      </c>
      <c r="AE274" s="9">
        <v>1816.28</v>
      </c>
      <c r="AF274" s="9">
        <v>99.592686666666665</v>
      </c>
      <c r="AG274" s="9">
        <v>511.33254666666664</v>
      </c>
      <c r="AH274" s="9">
        <v>32.844396666666668</v>
      </c>
      <c r="AI274" s="9">
        <v>119.16648333333333</v>
      </c>
      <c r="AJ274" s="9">
        <v>4.3333266666666672</v>
      </c>
      <c r="AK274" s="9">
        <v>2.1189933333333335</v>
      </c>
      <c r="AL274" s="9">
        <v>12.999980000000001</v>
      </c>
      <c r="AM274" s="9">
        <v>3.17849</v>
      </c>
      <c r="AN274" s="9">
        <v>16.249974999999999</v>
      </c>
      <c r="AO274" s="9">
        <v>32.499949999999998</v>
      </c>
      <c r="AP274" s="9">
        <v>0</v>
      </c>
      <c r="AQ274" s="25">
        <v>0</v>
      </c>
      <c r="AR274" s="9">
        <f t="shared" si="121"/>
        <v>0</v>
      </c>
      <c r="AS274" s="25">
        <v>0</v>
      </c>
      <c r="AT274" s="9">
        <f t="shared" si="122"/>
        <v>0</v>
      </c>
      <c r="AU274" s="9">
        <v>0</v>
      </c>
      <c r="AV274" s="25">
        <v>0</v>
      </c>
      <c r="AW274" s="9">
        <f t="shared" si="123"/>
        <v>0</v>
      </c>
      <c r="AX274" s="25">
        <v>0</v>
      </c>
      <c r="AY274" s="9">
        <f t="shared" si="124"/>
        <v>0</v>
      </c>
      <c r="AZ274" s="9">
        <v>0</v>
      </c>
      <c r="BA274" s="25">
        <v>0</v>
      </c>
      <c r="BB274" s="9">
        <f t="shared" si="125"/>
        <v>0</v>
      </c>
      <c r="BC274" s="25">
        <v>0</v>
      </c>
      <c r="BD274" s="9">
        <f t="shared" si="126"/>
        <v>0</v>
      </c>
      <c r="BE274" s="9">
        <v>0</v>
      </c>
      <c r="BF274" s="9">
        <v>0</v>
      </c>
      <c r="BG274" s="9">
        <f t="shared" si="127"/>
        <v>0</v>
      </c>
      <c r="BH274" s="9">
        <v>0</v>
      </c>
      <c r="BI274" s="9">
        <f t="shared" si="128"/>
        <v>0</v>
      </c>
      <c r="BJ274" s="9">
        <v>0</v>
      </c>
      <c r="BK274" s="9">
        <v>0</v>
      </c>
      <c r="BL274" s="9">
        <f t="shared" si="129"/>
        <v>0</v>
      </c>
      <c r="BM274" s="9">
        <v>0</v>
      </c>
      <c r="BN274" s="9">
        <f t="shared" si="130"/>
        <v>0</v>
      </c>
      <c r="BO274" s="9">
        <v>0</v>
      </c>
      <c r="BP274" s="9">
        <v>0</v>
      </c>
      <c r="BQ274" s="9">
        <f t="shared" si="131"/>
        <v>0</v>
      </c>
      <c r="BR274" s="9">
        <v>0</v>
      </c>
      <c r="BS274" s="9">
        <f t="shared" si="132"/>
        <v>0</v>
      </c>
      <c r="BT274" s="9">
        <f t="shared" si="133"/>
        <v>0</v>
      </c>
      <c r="BU274" s="9">
        <f t="shared" si="134"/>
        <v>0</v>
      </c>
      <c r="BV274" s="9">
        <f t="shared" si="135"/>
        <v>137.73456666666667</v>
      </c>
      <c r="BW274">
        <f t="shared" si="136"/>
        <v>137.73456666666667</v>
      </c>
      <c r="BX274">
        <v>0</v>
      </c>
      <c r="BY274">
        <f t="shared" si="137"/>
        <v>696.58226166666668</v>
      </c>
      <c r="BZ274">
        <v>271.88529600000004</v>
      </c>
      <c r="CA274">
        <f t="shared" si="138"/>
        <v>1406.6601373333333</v>
      </c>
      <c r="CB274">
        <f t="shared" si="139"/>
        <v>2512.8622616666667</v>
      </c>
      <c r="CC274">
        <v>0</v>
      </c>
      <c r="CD274">
        <v>0</v>
      </c>
      <c r="CE274">
        <f t="shared" si="140"/>
        <v>0</v>
      </c>
      <c r="CF274">
        <f t="shared" si="141"/>
        <v>1816.28</v>
      </c>
      <c r="CG274">
        <f t="shared" si="142"/>
        <v>1406.6601373333333</v>
      </c>
      <c r="CH274">
        <f t="shared" si="143"/>
        <v>0</v>
      </c>
      <c r="CJ274" t="s">
        <v>278</v>
      </c>
      <c r="CL274" t="str">
        <f t="shared" si="144"/>
        <v/>
      </c>
    </row>
    <row r="275" spans="1:90" x14ac:dyDescent="0.25">
      <c r="A275" t="s">
        <v>132</v>
      </c>
      <c r="B275" t="s">
        <v>180</v>
      </c>
      <c r="C275" s="1">
        <v>46174</v>
      </c>
      <c r="D275" t="s">
        <v>174</v>
      </c>
      <c r="E275" t="s">
        <v>175</v>
      </c>
      <c r="F275" s="4">
        <v>1</v>
      </c>
      <c r="G275" s="4">
        <v>0</v>
      </c>
      <c r="H275" s="9">
        <v>1816.28</v>
      </c>
      <c r="I275" s="9">
        <v>302.71333333333331</v>
      </c>
      <c r="J275" s="9">
        <f t="shared" si="116"/>
        <v>2118.9933333333333</v>
      </c>
      <c r="K275" s="9">
        <v>0</v>
      </c>
      <c r="L275" s="9">
        <f t="shared" si="117"/>
        <v>0</v>
      </c>
      <c r="M275">
        <v>0</v>
      </c>
      <c r="N275" s="4">
        <f t="shared" si="118"/>
        <v>0</v>
      </c>
      <c r="O275" s="9">
        <v>1816.28</v>
      </c>
      <c r="P275" s="9">
        <v>0</v>
      </c>
      <c r="Q275" s="9">
        <v>0</v>
      </c>
      <c r="R275" s="9">
        <v>0</v>
      </c>
      <c r="S275" s="9">
        <v>0</v>
      </c>
      <c r="T275" s="9">
        <v>0</v>
      </c>
      <c r="U275" s="9">
        <v>0</v>
      </c>
      <c r="V275" s="9">
        <v>0</v>
      </c>
      <c r="W275" s="9">
        <f t="shared" si="119"/>
        <v>1816.28</v>
      </c>
      <c r="X275" s="9">
        <v>302.71333333333331</v>
      </c>
      <c r="Y275" s="9">
        <v>0</v>
      </c>
      <c r="Z275" s="9">
        <v>2118.9933333333333</v>
      </c>
      <c r="AA275" s="9">
        <v>0</v>
      </c>
      <c r="AB275" s="9">
        <f t="shared" si="120"/>
        <v>2118.9933333333333</v>
      </c>
      <c r="AC275" s="9">
        <v>2118.9933333333333</v>
      </c>
      <c r="AD275" s="9">
        <v>0</v>
      </c>
      <c r="AE275" s="9">
        <v>1816.28</v>
      </c>
      <c r="AF275" s="9">
        <v>99.592686666666665</v>
      </c>
      <c r="AG275" s="9">
        <v>511.33254666666664</v>
      </c>
      <c r="AH275" s="9">
        <v>32.844396666666668</v>
      </c>
      <c r="AI275" s="9">
        <v>119.16648333333333</v>
      </c>
      <c r="AJ275" s="9">
        <v>4.3333266666666672</v>
      </c>
      <c r="AK275" s="9">
        <v>2.1189933333333335</v>
      </c>
      <c r="AL275" s="9">
        <v>12.999980000000001</v>
      </c>
      <c r="AM275" s="9">
        <v>3.17849</v>
      </c>
      <c r="AN275" s="9">
        <v>16.249974999999999</v>
      </c>
      <c r="AO275" s="9">
        <v>32.499949999999998</v>
      </c>
      <c r="AP275" s="9">
        <v>0</v>
      </c>
      <c r="AQ275" s="25">
        <v>0</v>
      </c>
      <c r="AR275" s="9">
        <f t="shared" si="121"/>
        <v>0</v>
      </c>
      <c r="AS275" s="25">
        <v>0</v>
      </c>
      <c r="AT275" s="9">
        <f t="shared" si="122"/>
        <v>0</v>
      </c>
      <c r="AU275" s="9">
        <v>0</v>
      </c>
      <c r="AV275" s="25">
        <v>0</v>
      </c>
      <c r="AW275" s="9">
        <f t="shared" si="123"/>
        <v>0</v>
      </c>
      <c r="AX275" s="25">
        <v>0</v>
      </c>
      <c r="AY275" s="9">
        <f t="shared" si="124"/>
        <v>0</v>
      </c>
      <c r="AZ275" s="9">
        <v>0</v>
      </c>
      <c r="BA275" s="25">
        <v>0</v>
      </c>
      <c r="BB275" s="9">
        <f t="shared" si="125"/>
        <v>0</v>
      </c>
      <c r="BC275" s="25">
        <v>0</v>
      </c>
      <c r="BD275" s="9">
        <f t="shared" si="126"/>
        <v>0</v>
      </c>
      <c r="BE275" s="9">
        <v>0</v>
      </c>
      <c r="BF275" s="9">
        <v>0</v>
      </c>
      <c r="BG275" s="9">
        <f t="shared" si="127"/>
        <v>0</v>
      </c>
      <c r="BH275" s="9">
        <v>0</v>
      </c>
      <c r="BI275" s="9">
        <f t="shared" si="128"/>
        <v>0</v>
      </c>
      <c r="BJ275" s="9">
        <v>0</v>
      </c>
      <c r="BK275" s="9">
        <v>0</v>
      </c>
      <c r="BL275" s="9">
        <f t="shared" si="129"/>
        <v>0</v>
      </c>
      <c r="BM275" s="9">
        <v>0</v>
      </c>
      <c r="BN275" s="9">
        <f t="shared" si="130"/>
        <v>0</v>
      </c>
      <c r="BO275" s="9">
        <v>0</v>
      </c>
      <c r="BP275" s="9">
        <v>0</v>
      </c>
      <c r="BQ275" s="9">
        <f t="shared" si="131"/>
        <v>0</v>
      </c>
      <c r="BR275" s="9">
        <v>0</v>
      </c>
      <c r="BS275" s="9">
        <f t="shared" si="132"/>
        <v>0</v>
      </c>
      <c r="BT275" s="9">
        <f t="shared" si="133"/>
        <v>0</v>
      </c>
      <c r="BU275" s="9">
        <f t="shared" si="134"/>
        <v>0</v>
      </c>
      <c r="BV275" s="9">
        <f t="shared" si="135"/>
        <v>137.73456666666667</v>
      </c>
      <c r="BW275">
        <f t="shared" si="136"/>
        <v>137.73456666666667</v>
      </c>
      <c r="BX275">
        <v>0</v>
      </c>
      <c r="BY275">
        <f t="shared" si="137"/>
        <v>696.58226166666668</v>
      </c>
      <c r="BZ275">
        <v>271.88529600000004</v>
      </c>
      <c r="CA275">
        <f t="shared" si="138"/>
        <v>1406.6601373333333</v>
      </c>
      <c r="CB275">
        <f t="shared" si="139"/>
        <v>2512.8622616666667</v>
      </c>
      <c r="CC275">
        <v>0</v>
      </c>
      <c r="CD275">
        <v>0</v>
      </c>
      <c r="CE275">
        <f t="shared" si="140"/>
        <v>0</v>
      </c>
      <c r="CF275">
        <f t="shared" si="141"/>
        <v>1816.28</v>
      </c>
      <c r="CG275">
        <f t="shared" si="142"/>
        <v>1406.6601373333333</v>
      </c>
      <c r="CH275">
        <f t="shared" si="143"/>
        <v>0</v>
      </c>
      <c r="CJ275" t="s">
        <v>278</v>
      </c>
      <c r="CL275" t="str">
        <f t="shared" si="144"/>
        <v/>
      </c>
    </row>
    <row r="276" spans="1:90" x14ac:dyDescent="0.25">
      <c r="A276" t="s">
        <v>132</v>
      </c>
      <c r="B276" t="s">
        <v>181</v>
      </c>
      <c r="C276" s="1">
        <v>46204</v>
      </c>
      <c r="D276" t="s">
        <v>182</v>
      </c>
      <c r="E276" t="s">
        <v>175</v>
      </c>
      <c r="F276" s="4">
        <v>1</v>
      </c>
      <c r="G276" s="4">
        <v>0</v>
      </c>
      <c r="H276" s="9">
        <v>1816.28</v>
      </c>
      <c r="I276" s="9">
        <v>302.71333333333331</v>
      </c>
      <c r="J276" s="9">
        <f t="shared" si="116"/>
        <v>2118.9933333333333</v>
      </c>
      <c r="K276" s="9">
        <v>0</v>
      </c>
      <c r="L276" s="9">
        <f t="shared" si="117"/>
        <v>0</v>
      </c>
      <c r="M276">
        <v>0</v>
      </c>
      <c r="N276" s="4">
        <f t="shared" si="118"/>
        <v>0</v>
      </c>
      <c r="O276" s="9">
        <v>1816.28</v>
      </c>
      <c r="P276" s="9">
        <v>0</v>
      </c>
      <c r="Q276" s="9">
        <v>0</v>
      </c>
      <c r="R276" s="9">
        <v>0</v>
      </c>
      <c r="S276" s="9">
        <v>0</v>
      </c>
      <c r="T276" s="9">
        <v>0</v>
      </c>
      <c r="U276" s="9">
        <v>0</v>
      </c>
      <c r="V276" s="9">
        <v>0</v>
      </c>
      <c r="W276" s="9">
        <f t="shared" si="119"/>
        <v>1816.28</v>
      </c>
      <c r="X276" s="9">
        <v>0</v>
      </c>
      <c r="Y276" s="9">
        <v>0</v>
      </c>
      <c r="Z276" s="9">
        <v>0</v>
      </c>
      <c r="AA276" s="9">
        <v>0</v>
      </c>
      <c r="AB276" s="9">
        <f t="shared" si="120"/>
        <v>0</v>
      </c>
      <c r="AC276" s="9">
        <v>0</v>
      </c>
      <c r="AD276" s="9">
        <v>0</v>
      </c>
      <c r="AE276" s="9">
        <v>1816.28</v>
      </c>
      <c r="AF276" s="9">
        <v>0</v>
      </c>
      <c r="AG276" s="9">
        <v>0</v>
      </c>
      <c r="AH276" s="9">
        <v>0</v>
      </c>
      <c r="AI276" s="9">
        <v>0</v>
      </c>
      <c r="AJ276" s="9">
        <v>0</v>
      </c>
      <c r="AK276" s="9">
        <v>0</v>
      </c>
      <c r="AL276" s="9">
        <v>0</v>
      </c>
      <c r="AM276" s="9">
        <v>0</v>
      </c>
      <c r="AN276" s="9">
        <v>0</v>
      </c>
      <c r="AO276" s="9">
        <v>0</v>
      </c>
      <c r="AP276" s="9">
        <v>0</v>
      </c>
      <c r="AQ276" s="25">
        <v>0</v>
      </c>
      <c r="AR276" s="9">
        <f t="shared" si="121"/>
        <v>0</v>
      </c>
      <c r="AS276" s="25">
        <v>0</v>
      </c>
      <c r="AT276" s="9">
        <f t="shared" si="122"/>
        <v>0</v>
      </c>
      <c r="AU276" s="9">
        <v>0</v>
      </c>
      <c r="AV276" s="25">
        <v>0</v>
      </c>
      <c r="AW276" s="9">
        <f t="shared" si="123"/>
        <v>0</v>
      </c>
      <c r="AX276" s="25">
        <v>0</v>
      </c>
      <c r="AY276" s="9">
        <f t="shared" si="124"/>
        <v>0</v>
      </c>
      <c r="AZ276" s="9">
        <v>0</v>
      </c>
      <c r="BA276" s="25">
        <v>0</v>
      </c>
      <c r="BB276" s="9">
        <f t="shared" si="125"/>
        <v>0</v>
      </c>
      <c r="BC276" s="25">
        <v>0</v>
      </c>
      <c r="BD276" s="9">
        <f t="shared" si="126"/>
        <v>0</v>
      </c>
      <c r="BE276" s="9">
        <v>0</v>
      </c>
      <c r="BF276" s="9">
        <v>0</v>
      </c>
      <c r="BG276" s="9">
        <f t="shared" si="127"/>
        <v>0</v>
      </c>
      <c r="BH276" s="9">
        <v>0</v>
      </c>
      <c r="BI276" s="9">
        <f t="shared" si="128"/>
        <v>0</v>
      </c>
      <c r="BJ276" s="9">
        <v>0</v>
      </c>
      <c r="BK276" s="9">
        <v>0</v>
      </c>
      <c r="BL276" s="9">
        <f t="shared" si="129"/>
        <v>0</v>
      </c>
      <c r="BM276" s="9">
        <v>0</v>
      </c>
      <c r="BN276" s="9">
        <f t="shared" si="130"/>
        <v>0</v>
      </c>
      <c r="BO276" s="9">
        <v>0</v>
      </c>
      <c r="BP276" s="9">
        <v>0</v>
      </c>
      <c r="BQ276" s="9">
        <f t="shared" si="131"/>
        <v>0</v>
      </c>
      <c r="BR276" s="9">
        <v>0</v>
      </c>
      <c r="BS276" s="9">
        <f t="shared" si="132"/>
        <v>0</v>
      </c>
      <c r="BT276" s="9">
        <f t="shared" si="133"/>
        <v>0</v>
      </c>
      <c r="BU276" s="9">
        <f t="shared" si="134"/>
        <v>0</v>
      </c>
      <c r="BV276" s="9">
        <f t="shared" si="135"/>
        <v>0</v>
      </c>
      <c r="BW276">
        <f t="shared" si="136"/>
        <v>0</v>
      </c>
      <c r="BX276">
        <v>0</v>
      </c>
      <c r="BY276">
        <f t="shared" si="137"/>
        <v>0</v>
      </c>
      <c r="BZ276">
        <v>271.88529600000004</v>
      </c>
      <c r="CA276">
        <f t="shared" si="138"/>
        <v>1544.3947039999998</v>
      </c>
      <c r="CB276">
        <f t="shared" si="139"/>
        <v>1816.28</v>
      </c>
      <c r="CC276">
        <v>0</v>
      </c>
      <c r="CD276">
        <v>0</v>
      </c>
      <c r="CE276">
        <f t="shared" si="140"/>
        <v>0</v>
      </c>
      <c r="CF276">
        <f t="shared" si="141"/>
        <v>1816.28</v>
      </c>
      <c r="CG276">
        <f t="shared" si="142"/>
        <v>1544.3947039999998</v>
      </c>
      <c r="CH276">
        <f t="shared" si="143"/>
        <v>0</v>
      </c>
      <c r="CJ276" t="s">
        <v>278</v>
      </c>
      <c r="CL276" t="str">
        <f t="shared" si="144"/>
        <v/>
      </c>
    </row>
    <row r="277" spans="1:90" x14ac:dyDescent="0.25">
      <c r="A277" t="s">
        <v>132</v>
      </c>
      <c r="B277" t="s">
        <v>183</v>
      </c>
      <c r="C277" s="1">
        <v>46204</v>
      </c>
      <c r="D277" t="s">
        <v>174</v>
      </c>
      <c r="E277" t="s">
        <v>175</v>
      </c>
      <c r="F277" s="4">
        <v>1</v>
      </c>
      <c r="G277" s="4">
        <v>0</v>
      </c>
      <c r="H277" s="9">
        <v>1816.28</v>
      </c>
      <c r="I277" s="9">
        <v>302.71333333333331</v>
      </c>
      <c r="J277" s="9">
        <f t="shared" si="116"/>
        <v>2118.9933333333333</v>
      </c>
      <c r="K277" s="9">
        <v>0</v>
      </c>
      <c r="L277" s="9">
        <f t="shared" si="117"/>
        <v>0</v>
      </c>
      <c r="M277">
        <v>0</v>
      </c>
      <c r="N277" s="4">
        <f t="shared" si="118"/>
        <v>0</v>
      </c>
      <c r="O277" s="9">
        <v>1816.28</v>
      </c>
      <c r="P277" s="9">
        <v>0</v>
      </c>
      <c r="Q277" s="9">
        <v>0</v>
      </c>
      <c r="R277" s="9">
        <v>0</v>
      </c>
      <c r="S277" s="9">
        <v>0</v>
      </c>
      <c r="T277" s="9">
        <v>0</v>
      </c>
      <c r="U277" s="9">
        <v>0</v>
      </c>
      <c r="V277" s="9">
        <v>0</v>
      </c>
      <c r="W277" s="9">
        <f t="shared" si="119"/>
        <v>1816.28</v>
      </c>
      <c r="X277" s="9">
        <v>302.71333333333331</v>
      </c>
      <c r="Y277" s="9">
        <v>0</v>
      </c>
      <c r="Z277" s="9">
        <v>2118.9933333333333</v>
      </c>
      <c r="AA277" s="9">
        <v>0</v>
      </c>
      <c r="AB277" s="9">
        <f t="shared" si="120"/>
        <v>2118.9933333333333</v>
      </c>
      <c r="AC277" s="9">
        <v>2118.9933333333333</v>
      </c>
      <c r="AD277" s="9">
        <v>0</v>
      </c>
      <c r="AE277" s="9">
        <v>1816.28</v>
      </c>
      <c r="AF277" s="9">
        <v>99.592686666666665</v>
      </c>
      <c r="AG277" s="9">
        <v>511.33254666666664</v>
      </c>
      <c r="AH277" s="9">
        <v>32.844396666666668</v>
      </c>
      <c r="AI277" s="9">
        <v>119.16648333333333</v>
      </c>
      <c r="AJ277" s="9">
        <v>4.3333266666666672</v>
      </c>
      <c r="AK277" s="9">
        <v>2.1189933333333335</v>
      </c>
      <c r="AL277" s="9">
        <v>12.999980000000001</v>
      </c>
      <c r="AM277" s="9">
        <v>3.17849</v>
      </c>
      <c r="AN277" s="9">
        <v>16.249974999999999</v>
      </c>
      <c r="AO277" s="9">
        <v>32.499949999999998</v>
      </c>
      <c r="AP277" s="9">
        <v>0</v>
      </c>
      <c r="AQ277" s="25">
        <v>0</v>
      </c>
      <c r="AR277" s="9">
        <f t="shared" si="121"/>
        <v>0</v>
      </c>
      <c r="AS277" s="25">
        <v>0</v>
      </c>
      <c r="AT277" s="9">
        <f t="shared" si="122"/>
        <v>0</v>
      </c>
      <c r="AU277" s="9">
        <v>0</v>
      </c>
      <c r="AV277" s="25">
        <v>0</v>
      </c>
      <c r="AW277" s="9">
        <f t="shared" si="123"/>
        <v>0</v>
      </c>
      <c r="AX277" s="25">
        <v>0</v>
      </c>
      <c r="AY277" s="9">
        <f t="shared" si="124"/>
        <v>0</v>
      </c>
      <c r="AZ277" s="9">
        <v>0</v>
      </c>
      <c r="BA277" s="25">
        <v>0</v>
      </c>
      <c r="BB277" s="9">
        <f t="shared" si="125"/>
        <v>0</v>
      </c>
      <c r="BC277" s="25">
        <v>0</v>
      </c>
      <c r="BD277" s="9">
        <f t="shared" si="126"/>
        <v>0</v>
      </c>
      <c r="BE277" s="9">
        <v>0</v>
      </c>
      <c r="BF277" s="9">
        <v>0</v>
      </c>
      <c r="BG277" s="9">
        <f t="shared" si="127"/>
        <v>0</v>
      </c>
      <c r="BH277" s="9">
        <v>0</v>
      </c>
      <c r="BI277" s="9">
        <f t="shared" si="128"/>
        <v>0</v>
      </c>
      <c r="BJ277" s="9">
        <v>0</v>
      </c>
      <c r="BK277" s="9">
        <v>0</v>
      </c>
      <c r="BL277" s="9">
        <f t="shared" si="129"/>
        <v>0</v>
      </c>
      <c r="BM277" s="9">
        <v>0</v>
      </c>
      <c r="BN277" s="9">
        <f t="shared" si="130"/>
        <v>0</v>
      </c>
      <c r="BO277" s="9">
        <v>0</v>
      </c>
      <c r="BP277" s="9">
        <v>0</v>
      </c>
      <c r="BQ277" s="9">
        <f t="shared" si="131"/>
        <v>0</v>
      </c>
      <c r="BR277" s="9">
        <v>0</v>
      </c>
      <c r="BS277" s="9">
        <f t="shared" si="132"/>
        <v>0</v>
      </c>
      <c r="BT277" s="9">
        <f t="shared" si="133"/>
        <v>0</v>
      </c>
      <c r="BU277" s="9">
        <f t="shared" si="134"/>
        <v>0</v>
      </c>
      <c r="BV277" s="9">
        <f t="shared" si="135"/>
        <v>137.73456666666667</v>
      </c>
      <c r="BW277">
        <f t="shared" si="136"/>
        <v>137.73456666666667</v>
      </c>
      <c r="BX277">
        <v>0</v>
      </c>
      <c r="BY277">
        <f t="shared" si="137"/>
        <v>696.58226166666668</v>
      </c>
      <c r="BZ277">
        <v>271.88529600000004</v>
      </c>
      <c r="CA277">
        <f t="shared" si="138"/>
        <v>1406.6601373333333</v>
      </c>
      <c r="CB277">
        <f t="shared" si="139"/>
        <v>2512.8622616666667</v>
      </c>
      <c r="CC277">
        <v>0</v>
      </c>
      <c r="CD277">
        <v>0</v>
      </c>
      <c r="CE277">
        <f t="shared" si="140"/>
        <v>0</v>
      </c>
      <c r="CF277">
        <f t="shared" si="141"/>
        <v>1816.28</v>
      </c>
      <c r="CG277">
        <f t="shared" si="142"/>
        <v>1406.6601373333333</v>
      </c>
      <c r="CH277">
        <f t="shared" si="143"/>
        <v>0</v>
      </c>
      <c r="CJ277" t="s">
        <v>278</v>
      </c>
      <c r="CL277" t="str">
        <f t="shared" si="144"/>
        <v/>
      </c>
    </row>
    <row r="278" spans="1:90" x14ac:dyDescent="0.25">
      <c r="A278" t="s">
        <v>132</v>
      </c>
      <c r="B278" t="s">
        <v>184</v>
      </c>
      <c r="C278" s="1">
        <v>46235</v>
      </c>
      <c r="D278" t="s">
        <v>174</v>
      </c>
      <c r="E278" t="s">
        <v>175</v>
      </c>
      <c r="F278" s="4">
        <v>1</v>
      </c>
      <c r="G278" s="4">
        <v>0</v>
      </c>
      <c r="H278" s="9">
        <v>1816.28</v>
      </c>
      <c r="I278" s="9">
        <v>302.71333333333331</v>
      </c>
      <c r="J278" s="9">
        <f t="shared" si="116"/>
        <v>2118.9933333333333</v>
      </c>
      <c r="K278" s="9">
        <v>0</v>
      </c>
      <c r="L278" s="9">
        <f t="shared" si="117"/>
        <v>0</v>
      </c>
      <c r="M278">
        <v>0</v>
      </c>
      <c r="N278" s="4">
        <f t="shared" si="118"/>
        <v>0</v>
      </c>
      <c r="O278" s="9">
        <v>1816.28</v>
      </c>
      <c r="P278" s="9">
        <v>0</v>
      </c>
      <c r="Q278" s="9">
        <v>0</v>
      </c>
      <c r="R278" s="9">
        <v>0</v>
      </c>
      <c r="S278" s="9">
        <v>0</v>
      </c>
      <c r="T278" s="9">
        <v>0</v>
      </c>
      <c r="U278" s="9">
        <v>0</v>
      </c>
      <c r="V278" s="9">
        <v>0</v>
      </c>
      <c r="W278" s="9">
        <f t="shared" si="119"/>
        <v>1816.28</v>
      </c>
      <c r="X278" s="9">
        <v>302.71333333333331</v>
      </c>
      <c r="Y278" s="9">
        <v>0</v>
      </c>
      <c r="Z278" s="9">
        <v>2118.9933333333333</v>
      </c>
      <c r="AA278" s="9">
        <v>0</v>
      </c>
      <c r="AB278" s="9">
        <f t="shared" si="120"/>
        <v>2118.9933333333333</v>
      </c>
      <c r="AC278" s="9">
        <v>2118.9933333333333</v>
      </c>
      <c r="AD278" s="9">
        <v>0</v>
      </c>
      <c r="AE278" s="9">
        <v>1816.28</v>
      </c>
      <c r="AF278" s="9">
        <v>99.592686666666665</v>
      </c>
      <c r="AG278" s="9">
        <v>511.33254666666664</v>
      </c>
      <c r="AH278" s="9">
        <v>32.844396666666668</v>
      </c>
      <c r="AI278" s="9">
        <v>119.16648333333333</v>
      </c>
      <c r="AJ278" s="9">
        <v>4.3333266666666672</v>
      </c>
      <c r="AK278" s="9">
        <v>2.1189933333333335</v>
      </c>
      <c r="AL278" s="9">
        <v>12.999980000000001</v>
      </c>
      <c r="AM278" s="9">
        <v>3.17849</v>
      </c>
      <c r="AN278" s="9">
        <v>16.249974999999999</v>
      </c>
      <c r="AO278" s="9">
        <v>32.499949999999998</v>
      </c>
      <c r="AP278" s="9">
        <v>0</v>
      </c>
      <c r="AQ278" s="25">
        <v>0</v>
      </c>
      <c r="AR278" s="9">
        <f t="shared" si="121"/>
        <v>0</v>
      </c>
      <c r="AS278" s="25">
        <v>0</v>
      </c>
      <c r="AT278" s="9">
        <f t="shared" si="122"/>
        <v>0</v>
      </c>
      <c r="AU278" s="9">
        <v>0</v>
      </c>
      <c r="AV278" s="25">
        <v>0</v>
      </c>
      <c r="AW278" s="9">
        <f t="shared" si="123"/>
        <v>0</v>
      </c>
      <c r="AX278" s="25">
        <v>0</v>
      </c>
      <c r="AY278" s="9">
        <f t="shared" si="124"/>
        <v>0</v>
      </c>
      <c r="AZ278" s="9">
        <v>0</v>
      </c>
      <c r="BA278" s="25">
        <v>0</v>
      </c>
      <c r="BB278" s="9">
        <f t="shared" si="125"/>
        <v>0</v>
      </c>
      <c r="BC278" s="25">
        <v>0</v>
      </c>
      <c r="BD278" s="9">
        <f t="shared" si="126"/>
        <v>0</v>
      </c>
      <c r="BE278" s="9">
        <v>0</v>
      </c>
      <c r="BF278" s="9">
        <v>0</v>
      </c>
      <c r="BG278" s="9">
        <f t="shared" si="127"/>
        <v>0</v>
      </c>
      <c r="BH278" s="9">
        <v>0</v>
      </c>
      <c r="BI278" s="9">
        <f t="shared" si="128"/>
        <v>0</v>
      </c>
      <c r="BJ278" s="9">
        <v>0</v>
      </c>
      <c r="BK278" s="9">
        <v>0</v>
      </c>
      <c r="BL278" s="9">
        <f t="shared" si="129"/>
        <v>0</v>
      </c>
      <c r="BM278" s="9">
        <v>0</v>
      </c>
      <c r="BN278" s="9">
        <f t="shared" si="130"/>
        <v>0</v>
      </c>
      <c r="BO278" s="9">
        <v>0</v>
      </c>
      <c r="BP278" s="9">
        <v>0</v>
      </c>
      <c r="BQ278" s="9">
        <f t="shared" si="131"/>
        <v>0</v>
      </c>
      <c r="BR278" s="9">
        <v>0</v>
      </c>
      <c r="BS278" s="9">
        <f t="shared" si="132"/>
        <v>0</v>
      </c>
      <c r="BT278" s="9">
        <f t="shared" si="133"/>
        <v>0</v>
      </c>
      <c r="BU278" s="9">
        <f t="shared" si="134"/>
        <v>0</v>
      </c>
      <c r="BV278" s="9">
        <f t="shared" si="135"/>
        <v>137.73456666666667</v>
      </c>
      <c r="BW278">
        <f t="shared" si="136"/>
        <v>137.73456666666667</v>
      </c>
      <c r="BX278">
        <v>0</v>
      </c>
      <c r="BY278">
        <f t="shared" si="137"/>
        <v>696.58226166666668</v>
      </c>
      <c r="BZ278">
        <v>271.88529600000004</v>
      </c>
      <c r="CA278">
        <f t="shared" si="138"/>
        <v>1406.6601373333333</v>
      </c>
      <c r="CB278">
        <f t="shared" si="139"/>
        <v>2512.8622616666667</v>
      </c>
      <c r="CC278">
        <v>0</v>
      </c>
      <c r="CD278">
        <v>0</v>
      </c>
      <c r="CE278">
        <f t="shared" si="140"/>
        <v>0</v>
      </c>
      <c r="CF278">
        <f t="shared" si="141"/>
        <v>1816.28</v>
      </c>
      <c r="CG278">
        <f t="shared" si="142"/>
        <v>1406.6601373333333</v>
      </c>
      <c r="CH278">
        <f t="shared" si="143"/>
        <v>0</v>
      </c>
      <c r="CJ278" t="s">
        <v>278</v>
      </c>
      <c r="CL278" t="str">
        <f t="shared" si="144"/>
        <v/>
      </c>
    </row>
    <row r="279" spans="1:90" x14ac:dyDescent="0.25">
      <c r="A279" t="s">
        <v>132</v>
      </c>
      <c r="B279" t="s">
        <v>185</v>
      </c>
      <c r="C279" s="1">
        <v>46266</v>
      </c>
      <c r="D279" t="s">
        <v>174</v>
      </c>
      <c r="E279" t="s">
        <v>175</v>
      </c>
      <c r="F279" s="4">
        <v>1</v>
      </c>
      <c r="G279" s="4">
        <v>0</v>
      </c>
      <c r="H279" s="9">
        <v>1816.28</v>
      </c>
      <c r="I279" s="9">
        <v>302.71333333333331</v>
      </c>
      <c r="J279" s="9">
        <f t="shared" si="116"/>
        <v>2118.9933333333333</v>
      </c>
      <c r="K279" s="9">
        <v>0</v>
      </c>
      <c r="L279" s="9">
        <f t="shared" si="117"/>
        <v>0</v>
      </c>
      <c r="M279">
        <v>0</v>
      </c>
      <c r="N279" s="4">
        <f t="shared" si="118"/>
        <v>0</v>
      </c>
      <c r="O279" s="9">
        <v>1816.28</v>
      </c>
      <c r="P279" s="9">
        <v>0</v>
      </c>
      <c r="Q279" s="9">
        <v>0</v>
      </c>
      <c r="R279" s="9">
        <v>0</v>
      </c>
      <c r="S279" s="9">
        <v>0</v>
      </c>
      <c r="T279" s="9">
        <v>0</v>
      </c>
      <c r="U279" s="9">
        <v>0</v>
      </c>
      <c r="V279" s="9">
        <v>0</v>
      </c>
      <c r="W279" s="9">
        <f t="shared" si="119"/>
        <v>1816.28</v>
      </c>
      <c r="X279" s="9">
        <v>302.71333333333331</v>
      </c>
      <c r="Y279" s="9">
        <v>0</v>
      </c>
      <c r="Z279" s="9">
        <v>2118.9933333333333</v>
      </c>
      <c r="AA279" s="9">
        <v>0</v>
      </c>
      <c r="AB279" s="9">
        <f t="shared" si="120"/>
        <v>2118.9933333333333</v>
      </c>
      <c r="AC279" s="9">
        <v>2118.9933333333333</v>
      </c>
      <c r="AD279" s="9">
        <v>0</v>
      </c>
      <c r="AE279" s="9">
        <v>1816.28</v>
      </c>
      <c r="AF279" s="9">
        <v>99.592686666666665</v>
      </c>
      <c r="AG279" s="9">
        <v>511.33254666666664</v>
      </c>
      <c r="AH279" s="9">
        <v>32.844396666666668</v>
      </c>
      <c r="AI279" s="9">
        <v>119.16648333333333</v>
      </c>
      <c r="AJ279" s="9">
        <v>4.3333266666666672</v>
      </c>
      <c r="AK279" s="9">
        <v>2.1189933333333335</v>
      </c>
      <c r="AL279" s="9">
        <v>12.999980000000001</v>
      </c>
      <c r="AM279" s="9">
        <v>3.17849</v>
      </c>
      <c r="AN279" s="9">
        <v>16.249974999999999</v>
      </c>
      <c r="AO279" s="9">
        <v>32.499949999999998</v>
      </c>
      <c r="AP279" s="9">
        <v>0</v>
      </c>
      <c r="AQ279" s="25">
        <v>0</v>
      </c>
      <c r="AR279" s="9">
        <f t="shared" si="121"/>
        <v>0</v>
      </c>
      <c r="AS279" s="25">
        <v>0</v>
      </c>
      <c r="AT279" s="9">
        <f t="shared" si="122"/>
        <v>0</v>
      </c>
      <c r="AU279" s="9">
        <v>0</v>
      </c>
      <c r="AV279" s="25">
        <v>0</v>
      </c>
      <c r="AW279" s="9">
        <f t="shared" si="123"/>
        <v>0</v>
      </c>
      <c r="AX279" s="25">
        <v>0</v>
      </c>
      <c r="AY279" s="9">
        <f t="shared" si="124"/>
        <v>0</v>
      </c>
      <c r="AZ279" s="9">
        <v>0</v>
      </c>
      <c r="BA279" s="25">
        <v>0</v>
      </c>
      <c r="BB279" s="9">
        <f t="shared" si="125"/>
        <v>0</v>
      </c>
      <c r="BC279" s="25">
        <v>0</v>
      </c>
      <c r="BD279" s="9">
        <f t="shared" si="126"/>
        <v>0</v>
      </c>
      <c r="BE279" s="9">
        <v>0</v>
      </c>
      <c r="BF279" s="9">
        <v>0</v>
      </c>
      <c r="BG279" s="9">
        <f t="shared" si="127"/>
        <v>0</v>
      </c>
      <c r="BH279" s="9">
        <v>0</v>
      </c>
      <c r="BI279" s="9">
        <f t="shared" si="128"/>
        <v>0</v>
      </c>
      <c r="BJ279" s="9">
        <v>0</v>
      </c>
      <c r="BK279" s="9">
        <v>0</v>
      </c>
      <c r="BL279" s="9">
        <f t="shared" si="129"/>
        <v>0</v>
      </c>
      <c r="BM279" s="9">
        <v>0</v>
      </c>
      <c r="BN279" s="9">
        <f t="shared" si="130"/>
        <v>0</v>
      </c>
      <c r="BO279" s="9">
        <v>0</v>
      </c>
      <c r="BP279" s="9">
        <v>0</v>
      </c>
      <c r="BQ279" s="9">
        <f t="shared" si="131"/>
        <v>0</v>
      </c>
      <c r="BR279" s="9">
        <v>0</v>
      </c>
      <c r="BS279" s="9">
        <f t="shared" si="132"/>
        <v>0</v>
      </c>
      <c r="BT279" s="9">
        <f t="shared" si="133"/>
        <v>0</v>
      </c>
      <c r="BU279" s="9">
        <f t="shared" si="134"/>
        <v>0</v>
      </c>
      <c r="BV279" s="9">
        <f t="shared" si="135"/>
        <v>137.73456666666667</v>
      </c>
      <c r="BW279">
        <f t="shared" si="136"/>
        <v>137.73456666666667</v>
      </c>
      <c r="BX279">
        <v>0</v>
      </c>
      <c r="BY279">
        <f t="shared" si="137"/>
        <v>696.58226166666668</v>
      </c>
      <c r="BZ279">
        <v>271.88529600000004</v>
      </c>
      <c r="CA279">
        <f t="shared" si="138"/>
        <v>1406.6601373333333</v>
      </c>
      <c r="CB279">
        <f t="shared" si="139"/>
        <v>2512.8622616666667</v>
      </c>
      <c r="CC279">
        <v>0</v>
      </c>
      <c r="CD279">
        <v>0</v>
      </c>
      <c r="CE279">
        <f t="shared" si="140"/>
        <v>0</v>
      </c>
      <c r="CF279">
        <f t="shared" si="141"/>
        <v>1816.28</v>
      </c>
      <c r="CG279">
        <f t="shared" si="142"/>
        <v>1406.6601373333333</v>
      </c>
      <c r="CH279">
        <f t="shared" si="143"/>
        <v>0</v>
      </c>
      <c r="CJ279" t="s">
        <v>278</v>
      </c>
      <c r="CL279" t="str">
        <f t="shared" si="144"/>
        <v/>
      </c>
    </row>
    <row r="280" spans="1:90" x14ac:dyDescent="0.25">
      <c r="A280" t="s">
        <v>132</v>
      </c>
      <c r="B280" t="s">
        <v>186</v>
      </c>
      <c r="C280" s="1">
        <v>46296</v>
      </c>
      <c r="D280" t="s">
        <v>174</v>
      </c>
      <c r="E280" t="s">
        <v>175</v>
      </c>
      <c r="F280" s="4">
        <v>1</v>
      </c>
      <c r="G280" s="4">
        <v>0</v>
      </c>
      <c r="H280" s="9">
        <v>1816.28</v>
      </c>
      <c r="I280" s="9">
        <v>302.71333333333331</v>
      </c>
      <c r="J280" s="9">
        <f t="shared" si="116"/>
        <v>2118.9933333333333</v>
      </c>
      <c r="K280" s="9">
        <v>0</v>
      </c>
      <c r="L280" s="9">
        <f t="shared" si="117"/>
        <v>0</v>
      </c>
      <c r="M280">
        <v>0</v>
      </c>
      <c r="N280" s="4">
        <f t="shared" si="118"/>
        <v>0</v>
      </c>
      <c r="O280" s="9">
        <v>1816.28</v>
      </c>
      <c r="P280" s="9">
        <v>0</v>
      </c>
      <c r="Q280" s="9">
        <v>0</v>
      </c>
      <c r="R280" s="9">
        <v>0</v>
      </c>
      <c r="S280" s="9">
        <v>0</v>
      </c>
      <c r="T280" s="9">
        <v>0</v>
      </c>
      <c r="U280" s="9">
        <v>0</v>
      </c>
      <c r="V280" s="9">
        <v>0</v>
      </c>
      <c r="W280" s="9">
        <f t="shared" si="119"/>
        <v>1816.28</v>
      </c>
      <c r="X280" s="9">
        <v>302.71333333333331</v>
      </c>
      <c r="Y280" s="9">
        <v>0</v>
      </c>
      <c r="Z280" s="9">
        <v>2118.9933333333333</v>
      </c>
      <c r="AA280" s="9">
        <v>0</v>
      </c>
      <c r="AB280" s="9">
        <f t="shared" si="120"/>
        <v>2118.9933333333333</v>
      </c>
      <c r="AC280" s="9">
        <v>2118.9933333333333</v>
      </c>
      <c r="AD280" s="9">
        <v>0</v>
      </c>
      <c r="AE280" s="9">
        <v>1816.28</v>
      </c>
      <c r="AF280" s="9">
        <v>99.592686666666665</v>
      </c>
      <c r="AG280" s="9">
        <v>511.33254666666664</v>
      </c>
      <c r="AH280" s="9">
        <v>32.844396666666668</v>
      </c>
      <c r="AI280" s="9">
        <v>119.16648333333333</v>
      </c>
      <c r="AJ280" s="9">
        <v>4.3333266666666672</v>
      </c>
      <c r="AK280" s="9">
        <v>2.1189933333333335</v>
      </c>
      <c r="AL280" s="9">
        <v>12.999980000000001</v>
      </c>
      <c r="AM280" s="9">
        <v>3.17849</v>
      </c>
      <c r="AN280" s="9">
        <v>16.249974999999999</v>
      </c>
      <c r="AO280" s="9">
        <v>32.499949999999998</v>
      </c>
      <c r="AP280" s="9">
        <v>0</v>
      </c>
      <c r="AQ280" s="25">
        <v>0</v>
      </c>
      <c r="AR280" s="9">
        <f t="shared" si="121"/>
        <v>0</v>
      </c>
      <c r="AS280" s="25">
        <v>0</v>
      </c>
      <c r="AT280" s="9">
        <f t="shared" si="122"/>
        <v>0</v>
      </c>
      <c r="AU280" s="9">
        <v>0</v>
      </c>
      <c r="AV280" s="25">
        <v>0</v>
      </c>
      <c r="AW280" s="9">
        <f t="shared" si="123"/>
        <v>0</v>
      </c>
      <c r="AX280" s="25">
        <v>0</v>
      </c>
      <c r="AY280" s="9">
        <f t="shared" si="124"/>
        <v>0</v>
      </c>
      <c r="AZ280" s="9">
        <v>0</v>
      </c>
      <c r="BA280" s="25">
        <v>0</v>
      </c>
      <c r="BB280" s="9">
        <f t="shared" si="125"/>
        <v>0</v>
      </c>
      <c r="BC280" s="25">
        <v>0</v>
      </c>
      <c r="BD280" s="9">
        <f t="shared" si="126"/>
        <v>0</v>
      </c>
      <c r="BE280" s="9">
        <v>0</v>
      </c>
      <c r="BF280" s="9">
        <v>0</v>
      </c>
      <c r="BG280" s="9">
        <f t="shared" si="127"/>
        <v>0</v>
      </c>
      <c r="BH280" s="9">
        <v>0</v>
      </c>
      <c r="BI280" s="9">
        <f t="shared" si="128"/>
        <v>0</v>
      </c>
      <c r="BJ280" s="9">
        <v>0</v>
      </c>
      <c r="BK280" s="9">
        <v>0</v>
      </c>
      <c r="BL280" s="9">
        <f t="shared" si="129"/>
        <v>0</v>
      </c>
      <c r="BM280" s="9">
        <v>0</v>
      </c>
      <c r="BN280" s="9">
        <f t="shared" si="130"/>
        <v>0</v>
      </c>
      <c r="BO280" s="9">
        <v>0</v>
      </c>
      <c r="BP280" s="9">
        <v>0</v>
      </c>
      <c r="BQ280" s="9">
        <f t="shared" si="131"/>
        <v>0</v>
      </c>
      <c r="BR280" s="9">
        <v>0</v>
      </c>
      <c r="BS280" s="9">
        <f t="shared" si="132"/>
        <v>0</v>
      </c>
      <c r="BT280" s="9">
        <f t="shared" si="133"/>
        <v>0</v>
      </c>
      <c r="BU280" s="9">
        <f t="shared" si="134"/>
        <v>0</v>
      </c>
      <c r="BV280" s="9">
        <f t="shared" si="135"/>
        <v>137.73456666666667</v>
      </c>
      <c r="BW280">
        <f t="shared" si="136"/>
        <v>137.73456666666667</v>
      </c>
      <c r="BX280">
        <v>0</v>
      </c>
      <c r="BY280">
        <f t="shared" si="137"/>
        <v>696.58226166666668</v>
      </c>
      <c r="BZ280">
        <v>271.88529600000004</v>
      </c>
      <c r="CA280">
        <f t="shared" si="138"/>
        <v>1406.6601373333333</v>
      </c>
      <c r="CB280">
        <f t="shared" si="139"/>
        <v>2512.8622616666667</v>
      </c>
      <c r="CC280">
        <v>0</v>
      </c>
      <c r="CD280">
        <v>0</v>
      </c>
      <c r="CE280">
        <f t="shared" si="140"/>
        <v>0</v>
      </c>
      <c r="CF280">
        <f t="shared" si="141"/>
        <v>1816.28</v>
      </c>
      <c r="CG280">
        <f t="shared" si="142"/>
        <v>1406.6601373333333</v>
      </c>
      <c r="CH280">
        <f t="shared" si="143"/>
        <v>0</v>
      </c>
      <c r="CJ280" t="s">
        <v>278</v>
      </c>
      <c r="CL280" t="str">
        <f t="shared" si="144"/>
        <v/>
      </c>
    </row>
    <row r="281" spans="1:90" x14ac:dyDescent="0.25">
      <c r="A281" t="s">
        <v>132</v>
      </c>
      <c r="B281" t="s">
        <v>187</v>
      </c>
      <c r="C281" s="1">
        <v>46327</v>
      </c>
      <c r="D281" t="s">
        <v>174</v>
      </c>
      <c r="E281" t="s">
        <v>175</v>
      </c>
      <c r="F281" s="4">
        <v>1</v>
      </c>
      <c r="G281" s="4">
        <v>0</v>
      </c>
      <c r="H281" s="9">
        <v>1816.28</v>
      </c>
      <c r="I281" s="9">
        <v>302.71333333333331</v>
      </c>
      <c r="J281" s="9">
        <f t="shared" si="116"/>
        <v>2118.9933333333333</v>
      </c>
      <c r="K281" s="9">
        <v>0</v>
      </c>
      <c r="L281" s="9">
        <f t="shared" si="117"/>
        <v>0</v>
      </c>
      <c r="M281">
        <v>0</v>
      </c>
      <c r="N281" s="4">
        <f t="shared" si="118"/>
        <v>0</v>
      </c>
      <c r="O281" s="9">
        <v>1816.28</v>
      </c>
      <c r="P281" s="9">
        <v>0</v>
      </c>
      <c r="Q281" s="9">
        <v>0</v>
      </c>
      <c r="R281" s="9">
        <v>0</v>
      </c>
      <c r="S281" s="9">
        <v>0</v>
      </c>
      <c r="T281" s="9">
        <v>0</v>
      </c>
      <c r="U281" s="9">
        <v>0</v>
      </c>
      <c r="V281" s="9">
        <v>0</v>
      </c>
      <c r="W281" s="9">
        <f t="shared" si="119"/>
        <v>1816.28</v>
      </c>
      <c r="X281" s="9">
        <v>302.71333333333331</v>
      </c>
      <c r="Y281" s="9">
        <v>0</v>
      </c>
      <c r="Z281" s="9">
        <v>2118.9933333333333</v>
      </c>
      <c r="AA281" s="9">
        <v>0</v>
      </c>
      <c r="AB281" s="9">
        <f t="shared" si="120"/>
        <v>2118.9933333333333</v>
      </c>
      <c r="AC281" s="9">
        <v>2118.9933333333333</v>
      </c>
      <c r="AD281" s="9">
        <v>0</v>
      </c>
      <c r="AE281" s="9">
        <v>1816.28</v>
      </c>
      <c r="AF281" s="9">
        <v>99.592686666666665</v>
      </c>
      <c r="AG281" s="9">
        <v>511.33254666666664</v>
      </c>
      <c r="AH281" s="9">
        <v>32.844396666666668</v>
      </c>
      <c r="AI281" s="9">
        <v>119.16648333333333</v>
      </c>
      <c r="AJ281" s="9">
        <v>4.3333266666666672</v>
      </c>
      <c r="AK281" s="9">
        <v>2.1189933333333335</v>
      </c>
      <c r="AL281" s="9">
        <v>12.999980000000001</v>
      </c>
      <c r="AM281" s="9">
        <v>3.17849</v>
      </c>
      <c r="AN281" s="9">
        <v>16.249974999999999</v>
      </c>
      <c r="AO281" s="9">
        <v>32.499949999999998</v>
      </c>
      <c r="AP281" s="9">
        <v>0</v>
      </c>
      <c r="AQ281" s="25">
        <v>0</v>
      </c>
      <c r="AR281" s="9">
        <f t="shared" si="121"/>
        <v>0</v>
      </c>
      <c r="AS281" s="25">
        <v>0</v>
      </c>
      <c r="AT281" s="9">
        <f t="shared" si="122"/>
        <v>0</v>
      </c>
      <c r="AU281" s="9">
        <v>0</v>
      </c>
      <c r="AV281" s="25">
        <v>0</v>
      </c>
      <c r="AW281" s="9">
        <f t="shared" si="123"/>
        <v>0</v>
      </c>
      <c r="AX281" s="25">
        <v>0</v>
      </c>
      <c r="AY281" s="9">
        <f t="shared" si="124"/>
        <v>0</v>
      </c>
      <c r="AZ281" s="9">
        <v>0</v>
      </c>
      <c r="BA281" s="25">
        <v>0</v>
      </c>
      <c r="BB281" s="9">
        <f t="shared" si="125"/>
        <v>0</v>
      </c>
      <c r="BC281" s="25">
        <v>0</v>
      </c>
      <c r="BD281" s="9">
        <f t="shared" si="126"/>
        <v>0</v>
      </c>
      <c r="BE281" s="9">
        <v>0</v>
      </c>
      <c r="BF281" s="9">
        <v>0</v>
      </c>
      <c r="BG281" s="9">
        <f t="shared" si="127"/>
        <v>0</v>
      </c>
      <c r="BH281" s="9">
        <v>0</v>
      </c>
      <c r="BI281" s="9">
        <f t="shared" si="128"/>
        <v>0</v>
      </c>
      <c r="BJ281" s="9">
        <v>0</v>
      </c>
      <c r="BK281" s="9">
        <v>0</v>
      </c>
      <c r="BL281" s="9">
        <f t="shared" si="129"/>
        <v>0</v>
      </c>
      <c r="BM281" s="9">
        <v>0</v>
      </c>
      <c r="BN281" s="9">
        <f t="shared" si="130"/>
        <v>0</v>
      </c>
      <c r="BO281" s="9">
        <v>0</v>
      </c>
      <c r="BP281" s="9">
        <v>0</v>
      </c>
      <c r="BQ281" s="9">
        <f t="shared" si="131"/>
        <v>0</v>
      </c>
      <c r="BR281" s="9">
        <v>0</v>
      </c>
      <c r="BS281" s="9">
        <f t="shared" si="132"/>
        <v>0</v>
      </c>
      <c r="BT281" s="9">
        <f t="shared" si="133"/>
        <v>0</v>
      </c>
      <c r="BU281" s="9">
        <f t="shared" si="134"/>
        <v>0</v>
      </c>
      <c r="BV281" s="9">
        <f t="shared" si="135"/>
        <v>137.73456666666667</v>
      </c>
      <c r="BW281">
        <f t="shared" si="136"/>
        <v>137.73456666666667</v>
      </c>
      <c r="BX281">
        <v>0</v>
      </c>
      <c r="BY281">
        <f t="shared" si="137"/>
        <v>696.58226166666668</v>
      </c>
      <c r="BZ281">
        <v>271.88529600000004</v>
      </c>
      <c r="CA281">
        <f t="shared" si="138"/>
        <v>1406.6601373333333</v>
      </c>
      <c r="CB281">
        <f t="shared" si="139"/>
        <v>2512.8622616666667</v>
      </c>
      <c r="CC281">
        <v>0</v>
      </c>
      <c r="CD281">
        <v>0</v>
      </c>
      <c r="CE281">
        <f t="shared" si="140"/>
        <v>0</v>
      </c>
      <c r="CF281">
        <f t="shared" si="141"/>
        <v>1816.28</v>
      </c>
      <c r="CG281">
        <f t="shared" si="142"/>
        <v>1406.6601373333333</v>
      </c>
      <c r="CH281">
        <f t="shared" si="143"/>
        <v>0</v>
      </c>
      <c r="CJ281" t="s">
        <v>278</v>
      </c>
      <c r="CL281" t="str">
        <f t="shared" si="144"/>
        <v/>
      </c>
    </row>
    <row r="282" spans="1:90" x14ac:dyDescent="0.25">
      <c r="A282" t="s">
        <v>132</v>
      </c>
      <c r="B282" t="s">
        <v>188</v>
      </c>
      <c r="C282" s="1">
        <v>46357</v>
      </c>
      <c r="D282" t="s">
        <v>182</v>
      </c>
      <c r="E282" t="s">
        <v>175</v>
      </c>
      <c r="F282" s="4">
        <v>1</v>
      </c>
      <c r="G282" s="4">
        <v>0</v>
      </c>
      <c r="H282" s="9">
        <v>1816.28</v>
      </c>
      <c r="I282" s="9">
        <v>302.71333333333331</v>
      </c>
      <c r="J282" s="9">
        <f t="shared" si="116"/>
        <v>2118.9933333333333</v>
      </c>
      <c r="K282" s="9">
        <v>0</v>
      </c>
      <c r="L282" s="9">
        <f t="shared" si="117"/>
        <v>0</v>
      </c>
      <c r="M282">
        <v>0</v>
      </c>
      <c r="N282" s="4">
        <f t="shared" si="118"/>
        <v>0</v>
      </c>
      <c r="O282" s="9">
        <v>1816.28</v>
      </c>
      <c r="P282" s="9">
        <v>0</v>
      </c>
      <c r="Q282" s="9">
        <v>0</v>
      </c>
      <c r="R282" s="9">
        <v>0</v>
      </c>
      <c r="S282" s="9">
        <v>0</v>
      </c>
      <c r="T282" s="9">
        <v>0</v>
      </c>
      <c r="U282" s="9">
        <v>0</v>
      </c>
      <c r="V282" s="9">
        <v>0</v>
      </c>
      <c r="W282" s="9">
        <f t="shared" si="119"/>
        <v>1816.28</v>
      </c>
      <c r="X282" s="9">
        <v>0</v>
      </c>
      <c r="Y282" s="9">
        <v>0</v>
      </c>
      <c r="Z282" s="9">
        <v>0</v>
      </c>
      <c r="AA282" s="9">
        <v>0</v>
      </c>
      <c r="AB282" s="9">
        <f t="shared" si="120"/>
        <v>0</v>
      </c>
      <c r="AC282" s="9">
        <v>0</v>
      </c>
      <c r="AD282" s="9">
        <v>0</v>
      </c>
      <c r="AE282" s="9">
        <v>1816.28</v>
      </c>
      <c r="AF282" s="9">
        <v>0</v>
      </c>
      <c r="AG282" s="9">
        <v>0</v>
      </c>
      <c r="AH282" s="9">
        <v>0</v>
      </c>
      <c r="AI282" s="9">
        <v>0</v>
      </c>
      <c r="AJ282" s="9">
        <v>0</v>
      </c>
      <c r="AK282" s="9">
        <v>0</v>
      </c>
      <c r="AL282" s="9">
        <v>0</v>
      </c>
      <c r="AM282" s="9">
        <v>0</v>
      </c>
      <c r="AN282" s="9">
        <v>0</v>
      </c>
      <c r="AO282" s="9">
        <v>0</v>
      </c>
      <c r="AP282" s="9">
        <v>0</v>
      </c>
      <c r="AQ282" s="25">
        <v>0</v>
      </c>
      <c r="AR282" s="9">
        <f t="shared" si="121"/>
        <v>0</v>
      </c>
      <c r="AS282" s="25">
        <v>0</v>
      </c>
      <c r="AT282" s="9">
        <f t="shared" si="122"/>
        <v>0</v>
      </c>
      <c r="AU282" s="9">
        <v>0</v>
      </c>
      <c r="AV282" s="25">
        <v>0</v>
      </c>
      <c r="AW282" s="9">
        <f t="shared" si="123"/>
        <v>0</v>
      </c>
      <c r="AX282" s="25">
        <v>0</v>
      </c>
      <c r="AY282" s="9">
        <f t="shared" si="124"/>
        <v>0</v>
      </c>
      <c r="AZ282" s="9">
        <v>0</v>
      </c>
      <c r="BA282" s="25">
        <v>0</v>
      </c>
      <c r="BB282" s="9">
        <f t="shared" si="125"/>
        <v>0</v>
      </c>
      <c r="BC282" s="25">
        <v>0</v>
      </c>
      <c r="BD282" s="9">
        <f t="shared" si="126"/>
        <v>0</v>
      </c>
      <c r="BE282" s="9">
        <v>0</v>
      </c>
      <c r="BF282" s="9">
        <v>0</v>
      </c>
      <c r="BG282" s="9">
        <f t="shared" si="127"/>
        <v>0</v>
      </c>
      <c r="BH282" s="9">
        <v>0</v>
      </c>
      <c r="BI282" s="9">
        <f t="shared" si="128"/>
        <v>0</v>
      </c>
      <c r="BJ282" s="9">
        <v>0</v>
      </c>
      <c r="BK282" s="9">
        <v>0</v>
      </c>
      <c r="BL282" s="9">
        <f t="shared" si="129"/>
        <v>0</v>
      </c>
      <c r="BM282" s="9">
        <v>0</v>
      </c>
      <c r="BN282" s="9">
        <f t="shared" si="130"/>
        <v>0</v>
      </c>
      <c r="BO282" s="9">
        <v>0</v>
      </c>
      <c r="BP282" s="9">
        <v>0</v>
      </c>
      <c r="BQ282" s="9">
        <f t="shared" si="131"/>
        <v>0</v>
      </c>
      <c r="BR282" s="9">
        <v>0</v>
      </c>
      <c r="BS282" s="9">
        <f t="shared" si="132"/>
        <v>0</v>
      </c>
      <c r="BT282" s="9">
        <f t="shared" si="133"/>
        <v>0</v>
      </c>
      <c r="BU282" s="9">
        <f t="shared" si="134"/>
        <v>0</v>
      </c>
      <c r="BV282" s="9">
        <f t="shared" si="135"/>
        <v>0</v>
      </c>
      <c r="BW282">
        <f t="shared" si="136"/>
        <v>0</v>
      </c>
      <c r="BX282">
        <v>0</v>
      </c>
      <c r="BY282">
        <f t="shared" si="137"/>
        <v>0</v>
      </c>
      <c r="BZ282">
        <v>271.88529600000004</v>
      </c>
      <c r="CA282">
        <f t="shared" si="138"/>
        <v>1544.3947039999998</v>
      </c>
      <c r="CB282">
        <f t="shared" si="139"/>
        <v>1816.28</v>
      </c>
      <c r="CC282">
        <v>0</v>
      </c>
      <c r="CD282">
        <v>0</v>
      </c>
      <c r="CE282">
        <f t="shared" si="140"/>
        <v>0</v>
      </c>
      <c r="CF282">
        <f t="shared" si="141"/>
        <v>1816.28</v>
      </c>
      <c r="CG282">
        <f t="shared" si="142"/>
        <v>1544.3947039999998</v>
      </c>
      <c r="CH282">
        <f t="shared" si="143"/>
        <v>0</v>
      </c>
      <c r="CJ282" t="s">
        <v>278</v>
      </c>
      <c r="CL282" t="str">
        <f t="shared" si="144"/>
        <v/>
      </c>
    </row>
    <row r="283" spans="1:90" x14ac:dyDescent="0.25">
      <c r="A283" t="s">
        <v>132</v>
      </c>
      <c r="B283" t="s">
        <v>189</v>
      </c>
      <c r="C283" s="1">
        <v>46357</v>
      </c>
      <c r="D283" t="s">
        <v>174</v>
      </c>
      <c r="E283" t="s">
        <v>175</v>
      </c>
      <c r="F283" s="4">
        <v>1</v>
      </c>
      <c r="G283" s="4">
        <v>0</v>
      </c>
      <c r="H283" s="9">
        <v>1816.28</v>
      </c>
      <c r="I283" s="9">
        <v>302.71333333333331</v>
      </c>
      <c r="J283" s="9">
        <f t="shared" si="116"/>
        <v>2118.9933333333333</v>
      </c>
      <c r="K283" s="9">
        <v>0</v>
      </c>
      <c r="L283" s="9">
        <f t="shared" si="117"/>
        <v>0</v>
      </c>
      <c r="M283">
        <v>0</v>
      </c>
      <c r="N283" s="4">
        <f t="shared" si="118"/>
        <v>0</v>
      </c>
      <c r="O283" s="9">
        <v>1816.28</v>
      </c>
      <c r="P283" s="9">
        <v>0</v>
      </c>
      <c r="Q283" s="9">
        <v>0</v>
      </c>
      <c r="R283" s="9">
        <v>0</v>
      </c>
      <c r="S283" s="9">
        <v>0</v>
      </c>
      <c r="T283" s="9">
        <v>0</v>
      </c>
      <c r="U283" s="9">
        <v>0</v>
      </c>
      <c r="V283" s="9">
        <v>0</v>
      </c>
      <c r="W283" s="9">
        <f t="shared" si="119"/>
        <v>1816.28</v>
      </c>
      <c r="X283" s="9">
        <v>302.71333333333331</v>
      </c>
      <c r="Y283" s="9">
        <v>0</v>
      </c>
      <c r="Z283" s="9">
        <v>2118.9933333333333</v>
      </c>
      <c r="AA283" s="9">
        <v>0</v>
      </c>
      <c r="AB283" s="9">
        <f t="shared" si="120"/>
        <v>2118.9933333333333</v>
      </c>
      <c r="AC283" s="9">
        <v>2118.9933333333333</v>
      </c>
      <c r="AD283" s="9">
        <v>0</v>
      </c>
      <c r="AE283" s="9">
        <v>1816.28</v>
      </c>
      <c r="AF283" s="9">
        <v>99.592686666666665</v>
      </c>
      <c r="AG283" s="9">
        <v>511.33254666666664</v>
      </c>
      <c r="AH283" s="9">
        <v>32.844396666666668</v>
      </c>
      <c r="AI283" s="9">
        <v>119.16648333333333</v>
      </c>
      <c r="AJ283" s="9">
        <v>4.3333266666666672</v>
      </c>
      <c r="AK283" s="9">
        <v>2.1189933333333335</v>
      </c>
      <c r="AL283" s="9">
        <v>12.999980000000001</v>
      </c>
      <c r="AM283" s="9">
        <v>3.17849</v>
      </c>
      <c r="AN283" s="9">
        <v>16.249974999999999</v>
      </c>
      <c r="AO283" s="9">
        <v>32.499949999999998</v>
      </c>
      <c r="AP283" s="9">
        <v>0</v>
      </c>
      <c r="AQ283" s="25">
        <v>0</v>
      </c>
      <c r="AR283" s="9">
        <f t="shared" si="121"/>
        <v>0</v>
      </c>
      <c r="AS283" s="25">
        <v>0</v>
      </c>
      <c r="AT283" s="9">
        <f t="shared" si="122"/>
        <v>0</v>
      </c>
      <c r="AU283" s="9">
        <v>0</v>
      </c>
      <c r="AV283" s="25">
        <v>0</v>
      </c>
      <c r="AW283" s="9">
        <f t="shared" si="123"/>
        <v>0</v>
      </c>
      <c r="AX283" s="25">
        <v>0</v>
      </c>
      <c r="AY283" s="9">
        <f t="shared" si="124"/>
        <v>0</v>
      </c>
      <c r="AZ283" s="9">
        <v>0</v>
      </c>
      <c r="BA283" s="25">
        <v>0</v>
      </c>
      <c r="BB283" s="9">
        <f t="shared" si="125"/>
        <v>0</v>
      </c>
      <c r="BC283" s="25">
        <v>0</v>
      </c>
      <c r="BD283" s="9">
        <f t="shared" si="126"/>
        <v>0</v>
      </c>
      <c r="BE283" s="9">
        <v>0</v>
      </c>
      <c r="BF283" s="9">
        <v>0</v>
      </c>
      <c r="BG283" s="9">
        <f t="shared" si="127"/>
        <v>0</v>
      </c>
      <c r="BH283" s="9">
        <v>0</v>
      </c>
      <c r="BI283" s="9">
        <f t="shared" si="128"/>
        <v>0</v>
      </c>
      <c r="BJ283" s="9">
        <v>0</v>
      </c>
      <c r="BK283" s="9">
        <v>0</v>
      </c>
      <c r="BL283" s="9">
        <f t="shared" si="129"/>
        <v>0</v>
      </c>
      <c r="BM283" s="9">
        <v>0</v>
      </c>
      <c r="BN283" s="9">
        <f t="shared" si="130"/>
        <v>0</v>
      </c>
      <c r="BO283" s="9">
        <v>0</v>
      </c>
      <c r="BP283" s="9">
        <v>0</v>
      </c>
      <c r="BQ283" s="9">
        <f t="shared" si="131"/>
        <v>0</v>
      </c>
      <c r="BR283" s="9">
        <v>0</v>
      </c>
      <c r="BS283" s="9">
        <f t="shared" si="132"/>
        <v>0</v>
      </c>
      <c r="BT283" s="9">
        <f t="shared" si="133"/>
        <v>0</v>
      </c>
      <c r="BU283" s="9">
        <f t="shared" si="134"/>
        <v>0</v>
      </c>
      <c r="BV283" s="9">
        <f t="shared" si="135"/>
        <v>137.73456666666667</v>
      </c>
      <c r="BW283">
        <f t="shared" si="136"/>
        <v>137.73456666666667</v>
      </c>
      <c r="BX283">
        <v>0</v>
      </c>
      <c r="BY283">
        <f t="shared" si="137"/>
        <v>696.58226166666668</v>
      </c>
      <c r="BZ283">
        <v>271.88529600000004</v>
      </c>
      <c r="CA283">
        <f t="shared" si="138"/>
        <v>1406.6601373333333</v>
      </c>
      <c r="CB283">
        <f t="shared" si="139"/>
        <v>2512.8622616666667</v>
      </c>
      <c r="CC283">
        <v>0</v>
      </c>
      <c r="CD283">
        <v>0</v>
      </c>
      <c r="CE283">
        <f t="shared" si="140"/>
        <v>0</v>
      </c>
      <c r="CF283">
        <f t="shared" si="141"/>
        <v>1816.28</v>
      </c>
      <c r="CG283">
        <f t="shared" si="142"/>
        <v>1406.6601373333333</v>
      </c>
      <c r="CH283">
        <f t="shared" si="143"/>
        <v>0</v>
      </c>
      <c r="CJ283" t="s">
        <v>278</v>
      </c>
      <c r="CL283" t="str">
        <f t="shared" si="144"/>
        <v/>
      </c>
    </row>
    <row r="284" spans="1:90" x14ac:dyDescent="0.25">
      <c r="A284" t="s">
        <v>134</v>
      </c>
      <c r="B284" t="s">
        <v>173</v>
      </c>
      <c r="C284" s="1">
        <v>46023</v>
      </c>
      <c r="D284" t="s">
        <v>174</v>
      </c>
      <c r="E284" t="s">
        <v>175</v>
      </c>
      <c r="F284" s="4">
        <v>1</v>
      </c>
      <c r="G284" s="4">
        <v>0.6</v>
      </c>
      <c r="H284" s="9">
        <v>7266.2560000000003</v>
      </c>
      <c r="I284" s="9">
        <v>1211.0426666666667</v>
      </c>
      <c r="J284" s="9">
        <f t="shared" si="116"/>
        <v>8477.2986666666675</v>
      </c>
      <c r="K284" s="9">
        <v>0</v>
      </c>
      <c r="L284" s="9">
        <f t="shared" si="117"/>
        <v>0</v>
      </c>
      <c r="M284">
        <v>0</v>
      </c>
      <c r="N284" s="4">
        <f t="shared" si="118"/>
        <v>0</v>
      </c>
      <c r="O284" s="9">
        <v>4541.41</v>
      </c>
      <c r="P284" s="9">
        <v>2724.846</v>
      </c>
      <c r="Q284" s="9">
        <v>0</v>
      </c>
      <c r="R284" s="9">
        <v>0</v>
      </c>
      <c r="S284" s="9">
        <v>0</v>
      </c>
      <c r="T284" s="9">
        <v>0</v>
      </c>
      <c r="U284" s="9">
        <v>0</v>
      </c>
      <c r="V284" s="9">
        <v>0</v>
      </c>
      <c r="W284" s="9">
        <f t="shared" si="119"/>
        <v>7266.2559999999994</v>
      </c>
      <c r="X284" s="9">
        <v>1211.0426666666667</v>
      </c>
      <c r="Y284" s="9">
        <v>0</v>
      </c>
      <c r="Z284" s="9">
        <v>8477.2986666666657</v>
      </c>
      <c r="AA284" s="9">
        <v>0</v>
      </c>
      <c r="AB284" s="9">
        <f t="shared" si="120"/>
        <v>8477.2986666666657</v>
      </c>
      <c r="AC284" s="9">
        <v>5101.2</v>
      </c>
      <c r="AD284" s="9">
        <v>0</v>
      </c>
      <c r="AE284" s="9">
        <v>7266.2559999999994</v>
      </c>
      <c r="AF284" s="9">
        <v>239.75639999999999</v>
      </c>
      <c r="AG284" s="9">
        <v>1203.8832</v>
      </c>
      <c r="AH284" s="9">
        <v>79.068600000000004</v>
      </c>
      <c r="AI284" s="9">
        <v>280.56599999999997</v>
      </c>
      <c r="AJ284" s="9">
        <v>10.202399999999999</v>
      </c>
      <c r="AK284" s="9">
        <v>5.1011999999999995</v>
      </c>
      <c r="AL284" s="9">
        <v>30.607199999999999</v>
      </c>
      <c r="AM284" s="9">
        <v>7.6517999999999997</v>
      </c>
      <c r="AN284" s="9">
        <v>38.259</v>
      </c>
      <c r="AO284" s="9">
        <v>76.518000000000001</v>
      </c>
      <c r="AP284" s="9">
        <v>510.11999999999989</v>
      </c>
      <c r="AQ284" s="25">
        <v>1.9E-3</v>
      </c>
      <c r="AR284" s="9">
        <f t="shared" si="121"/>
        <v>0.96922799999999976</v>
      </c>
      <c r="AS284" s="25">
        <v>9.5999999999999992E-3</v>
      </c>
      <c r="AT284" s="9">
        <f t="shared" si="122"/>
        <v>4.8971519999999984</v>
      </c>
      <c r="AU284" s="9">
        <v>2040.4800000000005</v>
      </c>
      <c r="AV284" s="25">
        <v>2.0999999999999999E-3</v>
      </c>
      <c r="AW284" s="9">
        <f t="shared" si="123"/>
        <v>4.2850080000000004</v>
      </c>
      <c r="AX284" s="25">
        <v>1.04E-2</v>
      </c>
      <c r="AY284" s="9">
        <f t="shared" si="124"/>
        <v>21.220992000000003</v>
      </c>
      <c r="AZ284" s="9">
        <v>825.49866666666549</v>
      </c>
      <c r="BA284" s="25">
        <v>2.3999999999999998E-3</v>
      </c>
      <c r="BB284" s="9">
        <f t="shared" si="125"/>
        <v>1.9811967999999971</v>
      </c>
      <c r="BC284" s="25">
        <v>1.2200000000000001E-2</v>
      </c>
      <c r="BD284" s="9">
        <f t="shared" si="126"/>
        <v>10.071083733333319</v>
      </c>
      <c r="BE284" s="9">
        <v>510.11999999999989</v>
      </c>
      <c r="BF284" s="9">
        <v>1.9E-3</v>
      </c>
      <c r="BG284" s="9">
        <f t="shared" si="127"/>
        <v>0.96922799999999976</v>
      </c>
      <c r="BH284" s="9">
        <v>9.5999999999999992E-3</v>
      </c>
      <c r="BI284" s="9">
        <f t="shared" si="128"/>
        <v>4.8971519999999984</v>
      </c>
      <c r="BJ284" s="9">
        <v>2040.4800000000005</v>
      </c>
      <c r="BK284" s="9">
        <v>2.0999999999999999E-3</v>
      </c>
      <c r="BL284" s="9">
        <f t="shared" si="129"/>
        <v>4.2850080000000004</v>
      </c>
      <c r="BM284" s="9">
        <v>1.04E-2</v>
      </c>
      <c r="BN284" s="9">
        <f t="shared" si="130"/>
        <v>21.220992000000003</v>
      </c>
      <c r="BO284" s="9">
        <v>683.79999999999836</v>
      </c>
      <c r="BP284" s="9">
        <v>2.3999999999999998E-3</v>
      </c>
      <c r="BQ284" s="9">
        <f t="shared" si="131"/>
        <v>1.6411199999999959</v>
      </c>
      <c r="BR284" s="9">
        <v>1.2200000000000001E-2</v>
      </c>
      <c r="BS284" s="9">
        <f t="shared" si="132"/>
        <v>8.3423599999999798</v>
      </c>
      <c r="BT284" s="9">
        <f t="shared" si="133"/>
        <v>7.2354327999999981</v>
      </c>
      <c r="BU284" s="9">
        <f t="shared" si="134"/>
        <v>36.189227733333318</v>
      </c>
      <c r="BV284" s="9">
        <f t="shared" si="135"/>
        <v>338.81343279999999</v>
      </c>
      <c r="BW284">
        <f t="shared" si="136"/>
        <v>338.81343279999999</v>
      </c>
      <c r="BX284">
        <v>0</v>
      </c>
      <c r="BY284">
        <f t="shared" si="137"/>
        <v>1676.2250277333333</v>
      </c>
      <c r="BZ284">
        <v>2152.7282399999999</v>
      </c>
      <c r="CA284">
        <f t="shared" si="138"/>
        <v>4774.7143271999994</v>
      </c>
      <c r="CB284">
        <f t="shared" si="139"/>
        <v>8942.4810277333327</v>
      </c>
      <c r="CC284">
        <v>0</v>
      </c>
      <c r="CD284">
        <v>0</v>
      </c>
      <c r="CE284">
        <f t="shared" si="140"/>
        <v>0</v>
      </c>
      <c r="CF284">
        <f t="shared" si="141"/>
        <v>7266.2559999999994</v>
      </c>
      <c r="CG284">
        <f t="shared" si="142"/>
        <v>4774.7143271999994</v>
      </c>
      <c r="CH284">
        <f t="shared" si="143"/>
        <v>0</v>
      </c>
      <c r="CJ284" t="s">
        <v>278</v>
      </c>
      <c r="CL284" t="str">
        <f t="shared" si="144"/>
        <v/>
      </c>
    </row>
    <row r="285" spans="1:90" x14ac:dyDescent="0.25">
      <c r="A285" t="s">
        <v>134</v>
      </c>
      <c r="B285" t="s">
        <v>176</v>
      </c>
      <c r="C285" s="1">
        <v>46054</v>
      </c>
      <c r="D285" t="s">
        <v>174</v>
      </c>
      <c r="E285" t="s">
        <v>175</v>
      </c>
      <c r="F285" s="4">
        <v>1</v>
      </c>
      <c r="G285" s="4">
        <v>0.6</v>
      </c>
      <c r="H285" s="9">
        <v>7266.2560000000003</v>
      </c>
      <c r="I285" s="9">
        <v>1211.0426666666667</v>
      </c>
      <c r="J285" s="9">
        <f t="shared" si="116"/>
        <v>8477.2986666666675</v>
      </c>
      <c r="K285" s="9">
        <v>0</v>
      </c>
      <c r="L285" s="9">
        <f t="shared" si="117"/>
        <v>0</v>
      </c>
      <c r="M285">
        <v>0</v>
      </c>
      <c r="N285" s="4">
        <f t="shared" si="118"/>
        <v>0</v>
      </c>
      <c r="O285" s="9">
        <v>4541.41</v>
      </c>
      <c r="P285" s="9">
        <v>2724.846</v>
      </c>
      <c r="Q285" s="9">
        <v>0</v>
      </c>
      <c r="R285" s="9">
        <v>0</v>
      </c>
      <c r="S285" s="9">
        <v>0</v>
      </c>
      <c r="T285" s="9">
        <v>0</v>
      </c>
      <c r="U285" s="9">
        <v>0</v>
      </c>
      <c r="V285" s="9">
        <v>0</v>
      </c>
      <c r="W285" s="9">
        <f t="shared" si="119"/>
        <v>7266.2559999999994</v>
      </c>
      <c r="X285" s="9">
        <v>1211.0426666666667</v>
      </c>
      <c r="Y285" s="9">
        <v>0</v>
      </c>
      <c r="Z285" s="9">
        <v>8477.2986666666657</v>
      </c>
      <c r="AA285" s="9">
        <v>0</v>
      </c>
      <c r="AB285" s="9">
        <f t="shared" si="120"/>
        <v>8477.2986666666657</v>
      </c>
      <c r="AC285" s="9">
        <v>5101.2</v>
      </c>
      <c r="AD285" s="9">
        <v>0</v>
      </c>
      <c r="AE285" s="9">
        <v>7266.2559999999994</v>
      </c>
      <c r="AF285" s="9">
        <v>239.75639999999999</v>
      </c>
      <c r="AG285" s="9">
        <v>1203.8832</v>
      </c>
      <c r="AH285" s="9">
        <v>79.068600000000004</v>
      </c>
      <c r="AI285" s="9">
        <v>280.56599999999997</v>
      </c>
      <c r="AJ285" s="9">
        <v>10.202399999999999</v>
      </c>
      <c r="AK285" s="9">
        <v>5.1011999999999995</v>
      </c>
      <c r="AL285" s="9">
        <v>30.607199999999999</v>
      </c>
      <c r="AM285" s="9">
        <v>7.6517999999999997</v>
      </c>
      <c r="AN285" s="9">
        <v>38.259</v>
      </c>
      <c r="AO285" s="9">
        <v>76.518000000000001</v>
      </c>
      <c r="AP285" s="9">
        <v>510.11999999999989</v>
      </c>
      <c r="AQ285" s="25">
        <v>1.9E-3</v>
      </c>
      <c r="AR285" s="9">
        <f t="shared" si="121"/>
        <v>0.96922799999999976</v>
      </c>
      <c r="AS285" s="25">
        <v>9.5999999999999992E-3</v>
      </c>
      <c r="AT285" s="9">
        <f t="shared" si="122"/>
        <v>4.8971519999999984</v>
      </c>
      <c r="AU285" s="9">
        <v>2040.4800000000005</v>
      </c>
      <c r="AV285" s="25">
        <v>2.0999999999999999E-3</v>
      </c>
      <c r="AW285" s="9">
        <f t="shared" si="123"/>
        <v>4.2850080000000004</v>
      </c>
      <c r="AX285" s="25">
        <v>1.04E-2</v>
      </c>
      <c r="AY285" s="9">
        <f t="shared" si="124"/>
        <v>21.220992000000003</v>
      </c>
      <c r="AZ285" s="9">
        <v>825.49866666666549</v>
      </c>
      <c r="BA285" s="25">
        <v>2.3999999999999998E-3</v>
      </c>
      <c r="BB285" s="9">
        <f t="shared" si="125"/>
        <v>1.9811967999999971</v>
      </c>
      <c r="BC285" s="25">
        <v>1.2200000000000001E-2</v>
      </c>
      <c r="BD285" s="9">
        <f t="shared" si="126"/>
        <v>10.071083733333319</v>
      </c>
      <c r="BE285" s="9">
        <v>510.11999999999989</v>
      </c>
      <c r="BF285" s="9">
        <v>1.9E-3</v>
      </c>
      <c r="BG285" s="9">
        <f t="shared" si="127"/>
        <v>0.96922799999999976</v>
      </c>
      <c r="BH285" s="9">
        <v>9.5999999999999992E-3</v>
      </c>
      <c r="BI285" s="9">
        <f t="shared" si="128"/>
        <v>4.8971519999999984</v>
      </c>
      <c r="BJ285" s="9">
        <v>2040.4800000000005</v>
      </c>
      <c r="BK285" s="9">
        <v>2.0999999999999999E-3</v>
      </c>
      <c r="BL285" s="9">
        <f t="shared" si="129"/>
        <v>4.2850080000000004</v>
      </c>
      <c r="BM285" s="9">
        <v>1.04E-2</v>
      </c>
      <c r="BN285" s="9">
        <f t="shared" si="130"/>
        <v>21.220992000000003</v>
      </c>
      <c r="BO285" s="9">
        <v>683.79999999999836</v>
      </c>
      <c r="BP285" s="9">
        <v>2.3999999999999998E-3</v>
      </c>
      <c r="BQ285" s="9">
        <f t="shared" si="131"/>
        <v>1.6411199999999959</v>
      </c>
      <c r="BR285" s="9">
        <v>1.2200000000000001E-2</v>
      </c>
      <c r="BS285" s="9">
        <f t="shared" si="132"/>
        <v>8.3423599999999798</v>
      </c>
      <c r="BT285" s="9">
        <f t="shared" si="133"/>
        <v>7.2354327999999981</v>
      </c>
      <c r="BU285" s="9">
        <f t="shared" si="134"/>
        <v>36.189227733333318</v>
      </c>
      <c r="BV285" s="9">
        <f t="shared" si="135"/>
        <v>338.81343279999999</v>
      </c>
      <c r="BW285">
        <f t="shared" si="136"/>
        <v>338.81343279999999</v>
      </c>
      <c r="BX285">
        <v>0</v>
      </c>
      <c r="BY285">
        <f t="shared" si="137"/>
        <v>1676.2250277333333</v>
      </c>
      <c r="BZ285">
        <v>2152.7282399999999</v>
      </c>
      <c r="CA285">
        <f t="shared" si="138"/>
        <v>4774.7143271999994</v>
      </c>
      <c r="CB285">
        <f t="shared" si="139"/>
        <v>8942.4810277333327</v>
      </c>
      <c r="CC285">
        <v>0</v>
      </c>
      <c r="CD285">
        <v>0</v>
      </c>
      <c r="CE285">
        <f t="shared" si="140"/>
        <v>0</v>
      </c>
      <c r="CF285">
        <f t="shared" si="141"/>
        <v>7266.2559999999994</v>
      </c>
      <c r="CG285">
        <f t="shared" si="142"/>
        <v>4774.7143271999994</v>
      </c>
      <c r="CH285">
        <f t="shared" si="143"/>
        <v>0</v>
      </c>
      <c r="CJ285" t="s">
        <v>278</v>
      </c>
      <c r="CL285" t="str">
        <f t="shared" si="144"/>
        <v/>
      </c>
    </row>
    <row r="286" spans="1:90" x14ac:dyDescent="0.25">
      <c r="A286" t="s">
        <v>134</v>
      </c>
      <c r="B286" t="s">
        <v>177</v>
      </c>
      <c r="C286" s="1">
        <v>46082</v>
      </c>
      <c r="D286" t="s">
        <v>174</v>
      </c>
      <c r="E286" t="s">
        <v>175</v>
      </c>
      <c r="F286" s="4">
        <v>1</v>
      </c>
      <c r="G286" s="4">
        <v>0.6</v>
      </c>
      <c r="H286" s="9">
        <v>7266.2560000000003</v>
      </c>
      <c r="I286" s="9">
        <v>1211.0426666666667</v>
      </c>
      <c r="J286" s="9">
        <f t="shared" si="116"/>
        <v>8477.2986666666675</v>
      </c>
      <c r="K286" s="9">
        <v>0</v>
      </c>
      <c r="L286" s="9">
        <f t="shared" si="117"/>
        <v>0</v>
      </c>
      <c r="M286">
        <v>0</v>
      </c>
      <c r="N286" s="4">
        <f t="shared" si="118"/>
        <v>0</v>
      </c>
      <c r="O286" s="9">
        <v>4541.41</v>
      </c>
      <c r="P286" s="9">
        <v>2724.846</v>
      </c>
      <c r="Q286" s="9">
        <v>0</v>
      </c>
      <c r="R286" s="9">
        <v>0</v>
      </c>
      <c r="S286" s="9">
        <v>0</v>
      </c>
      <c r="T286" s="9">
        <v>0</v>
      </c>
      <c r="U286" s="9">
        <v>0</v>
      </c>
      <c r="V286" s="9">
        <v>0</v>
      </c>
      <c r="W286" s="9">
        <f t="shared" si="119"/>
        <v>7266.2559999999994</v>
      </c>
      <c r="X286" s="9">
        <v>1211.0426666666667</v>
      </c>
      <c r="Y286" s="9">
        <v>0</v>
      </c>
      <c r="Z286" s="9">
        <v>8477.2986666666657</v>
      </c>
      <c r="AA286" s="9">
        <v>0</v>
      </c>
      <c r="AB286" s="9">
        <f t="shared" si="120"/>
        <v>8477.2986666666657</v>
      </c>
      <c r="AC286" s="9">
        <v>5101.2</v>
      </c>
      <c r="AD286" s="9">
        <v>0</v>
      </c>
      <c r="AE286" s="9">
        <v>7266.2559999999994</v>
      </c>
      <c r="AF286" s="9">
        <v>239.75639999999999</v>
      </c>
      <c r="AG286" s="9">
        <v>1203.8832</v>
      </c>
      <c r="AH286" s="9">
        <v>79.068600000000004</v>
      </c>
      <c r="AI286" s="9">
        <v>280.56599999999997</v>
      </c>
      <c r="AJ286" s="9">
        <v>10.202399999999999</v>
      </c>
      <c r="AK286" s="9">
        <v>5.1011999999999995</v>
      </c>
      <c r="AL286" s="9">
        <v>30.607199999999999</v>
      </c>
      <c r="AM286" s="9">
        <v>7.6517999999999997</v>
      </c>
      <c r="AN286" s="9">
        <v>38.259</v>
      </c>
      <c r="AO286" s="9">
        <v>76.518000000000001</v>
      </c>
      <c r="AP286" s="9">
        <v>510.11999999999989</v>
      </c>
      <c r="AQ286" s="25">
        <v>1.9E-3</v>
      </c>
      <c r="AR286" s="9">
        <f t="shared" si="121"/>
        <v>0.96922799999999976</v>
      </c>
      <c r="AS286" s="25">
        <v>9.5999999999999992E-3</v>
      </c>
      <c r="AT286" s="9">
        <f t="shared" si="122"/>
        <v>4.8971519999999984</v>
      </c>
      <c r="AU286" s="9">
        <v>2040.4800000000005</v>
      </c>
      <c r="AV286" s="25">
        <v>2.0999999999999999E-3</v>
      </c>
      <c r="AW286" s="9">
        <f t="shared" si="123"/>
        <v>4.2850080000000004</v>
      </c>
      <c r="AX286" s="25">
        <v>1.04E-2</v>
      </c>
      <c r="AY286" s="9">
        <f t="shared" si="124"/>
        <v>21.220992000000003</v>
      </c>
      <c r="AZ286" s="9">
        <v>825.49866666666549</v>
      </c>
      <c r="BA286" s="25">
        <v>2.3999999999999998E-3</v>
      </c>
      <c r="BB286" s="9">
        <f t="shared" si="125"/>
        <v>1.9811967999999971</v>
      </c>
      <c r="BC286" s="25">
        <v>1.2200000000000001E-2</v>
      </c>
      <c r="BD286" s="9">
        <f t="shared" si="126"/>
        <v>10.071083733333319</v>
      </c>
      <c r="BE286" s="9">
        <v>510.11999999999989</v>
      </c>
      <c r="BF286" s="9">
        <v>1.9E-3</v>
      </c>
      <c r="BG286" s="9">
        <f t="shared" si="127"/>
        <v>0.96922799999999976</v>
      </c>
      <c r="BH286" s="9">
        <v>9.5999999999999992E-3</v>
      </c>
      <c r="BI286" s="9">
        <f t="shared" si="128"/>
        <v>4.8971519999999984</v>
      </c>
      <c r="BJ286" s="9">
        <v>2040.4800000000005</v>
      </c>
      <c r="BK286" s="9">
        <v>2.0999999999999999E-3</v>
      </c>
      <c r="BL286" s="9">
        <f t="shared" si="129"/>
        <v>4.2850080000000004</v>
      </c>
      <c r="BM286" s="9">
        <v>1.04E-2</v>
      </c>
      <c r="BN286" s="9">
        <f t="shared" si="130"/>
        <v>21.220992000000003</v>
      </c>
      <c r="BO286" s="9">
        <v>683.79999999999836</v>
      </c>
      <c r="BP286" s="9">
        <v>2.3999999999999998E-3</v>
      </c>
      <c r="BQ286" s="9">
        <f t="shared" si="131"/>
        <v>1.6411199999999959</v>
      </c>
      <c r="BR286" s="9">
        <v>1.2200000000000001E-2</v>
      </c>
      <c r="BS286" s="9">
        <f t="shared" si="132"/>
        <v>8.3423599999999798</v>
      </c>
      <c r="BT286" s="9">
        <f t="shared" si="133"/>
        <v>7.2354327999999981</v>
      </c>
      <c r="BU286" s="9">
        <f t="shared" si="134"/>
        <v>36.189227733333318</v>
      </c>
      <c r="BV286" s="9">
        <f t="shared" si="135"/>
        <v>338.81343279999999</v>
      </c>
      <c r="BW286">
        <f t="shared" si="136"/>
        <v>338.81343279999999</v>
      </c>
      <c r="BX286">
        <v>0</v>
      </c>
      <c r="BY286">
        <f t="shared" si="137"/>
        <v>1676.2250277333333</v>
      </c>
      <c r="BZ286">
        <v>2152.7282399999999</v>
      </c>
      <c r="CA286">
        <f t="shared" si="138"/>
        <v>4774.7143271999994</v>
      </c>
      <c r="CB286">
        <f t="shared" si="139"/>
        <v>8942.4810277333327</v>
      </c>
      <c r="CC286">
        <v>0</v>
      </c>
      <c r="CD286">
        <v>0</v>
      </c>
      <c r="CE286">
        <f t="shared" si="140"/>
        <v>0</v>
      </c>
      <c r="CF286">
        <f t="shared" si="141"/>
        <v>7266.2559999999994</v>
      </c>
      <c r="CG286">
        <f t="shared" si="142"/>
        <v>4774.7143271999994</v>
      </c>
      <c r="CH286">
        <f t="shared" si="143"/>
        <v>0</v>
      </c>
      <c r="CJ286" t="s">
        <v>278</v>
      </c>
      <c r="CL286" t="str">
        <f t="shared" si="144"/>
        <v/>
      </c>
    </row>
    <row r="287" spans="1:90" x14ac:dyDescent="0.25">
      <c r="A287" t="s">
        <v>134</v>
      </c>
      <c r="B287" t="s">
        <v>178</v>
      </c>
      <c r="C287" s="1">
        <v>46113</v>
      </c>
      <c r="D287" t="s">
        <v>174</v>
      </c>
      <c r="E287" t="s">
        <v>175</v>
      </c>
      <c r="F287" s="4">
        <v>1</v>
      </c>
      <c r="G287" s="4">
        <v>0.6</v>
      </c>
      <c r="H287" s="9">
        <v>7266.2560000000003</v>
      </c>
      <c r="I287" s="9">
        <v>1211.0426666666667</v>
      </c>
      <c r="J287" s="9">
        <f t="shared" si="116"/>
        <v>8477.2986666666675</v>
      </c>
      <c r="K287" s="9">
        <v>0</v>
      </c>
      <c r="L287" s="9">
        <f t="shared" si="117"/>
        <v>0</v>
      </c>
      <c r="M287">
        <v>0</v>
      </c>
      <c r="N287" s="4">
        <f t="shared" si="118"/>
        <v>0</v>
      </c>
      <c r="O287" s="9">
        <v>4541.41</v>
      </c>
      <c r="P287" s="9">
        <v>2724.846</v>
      </c>
      <c r="Q287" s="9">
        <v>0</v>
      </c>
      <c r="R287" s="9">
        <v>0</v>
      </c>
      <c r="S287" s="9">
        <v>0</v>
      </c>
      <c r="T287" s="9">
        <v>0</v>
      </c>
      <c r="U287" s="9">
        <v>0</v>
      </c>
      <c r="V287" s="9">
        <v>0</v>
      </c>
      <c r="W287" s="9">
        <f t="shared" si="119"/>
        <v>7266.2559999999994</v>
      </c>
      <c r="X287" s="9">
        <v>1211.0426666666667</v>
      </c>
      <c r="Y287" s="9">
        <v>0</v>
      </c>
      <c r="Z287" s="9">
        <v>8477.2986666666657</v>
      </c>
      <c r="AA287" s="9">
        <v>0</v>
      </c>
      <c r="AB287" s="9">
        <f t="shared" si="120"/>
        <v>8477.2986666666657</v>
      </c>
      <c r="AC287" s="9">
        <v>5101.2</v>
      </c>
      <c r="AD287" s="9">
        <v>0</v>
      </c>
      <c r="AE287" s="9">
        <v>7266.2559999999994</v>
      </c>
      <c r="AF287" s="9">
        <v>239.75639999999999</v>
      </c>
      <c r="AG287" s="9">
        <v>1203.8832</v>
      </c>
      <c r="AH287" s="9">
        <v>79.068600000000004</v>
      </c>
      <c r="AI287" s="9">
        <v>280.56599999999997</v>
      </c>
      <c r="AJ287" s="9">
        <v>10.202399999999999</v>
      </c>
      <c r="AK287" s="9">
        <v>5.1011999999999995</v>
      </c>
      <c r="AL287" s="9">
        <v>30.607199999999999</v>
      </c>
      <c r="AM287" s="9">
        <v>7.6517999999999997</v>
      </c>
      <c r="AN287" s="9">
        <v>38.259</v>
      </c>
      <c r="AO287" s="9">
        <v>76.518000000000001</v>
      </c>
      <c r="AP287" s="9">
        <v>510.11999999999989</v>
      </c>
      <c r="AQ287" s="25">
        <v>1.9E-3</v>
      </c>
      <c r="AR287" s="9">
        <f t="shared" si="121"/>
        <v>0.96922799999999976</v>
      </c>
      <c r="AS287" s="25">
        <v>9.5999999999999992E-3</v>
      </c>
      <c r="AT287" s="9">
        <f t="shared" si="122"/>
        <v>4.8971519999999984</v>
      </c>
      <c r="AU287" s="9">
        <v>2040.4800000000005</v>
      </c>
      <c r="AV287" s="25">
        <v>2.0999999999999999E-3</v>
      </c>
      <c r="AW287" s="9">
        <f t="shared" si="123"/>
        <v>4.2850080000000004</v>
      </c>
      <c r="AX287" s="25">
        <v>1.04E-2</v>
      </c>
      <c r="AY287" s="9">
        <f t="shared" si="124"/>
        <v>21.220992000000003</v>
      </c>
      <c r="AZ287" s="9">
        <v>825.49866666666549</v>
      </c>
      <c r="BA287" s="25">
        <v>2.3999999999999998E-3</v>
      </c>
      <c r="BB287" s="9">
        <f t="shared" si="125"/>
        <v>1.9811967999999971</v>
      </c>
      <c r="BC287" s="25">
        <v>1.2200000000000001E-2</v>
      </c>
      <c r="BD287" s="9">
        <f t="shared" si="126"/>
        <v>10.071083733333319</v>
      </c>
      <c r="BE287" s="9">
        <v>510.11999999999989</v>
      </c>
      <c r="BF287" s="9">
        <v>1.9E-3</v>
      </c>
      <c r="BG287" s="9">
        <f t="shared" si="127"/>
        <v>0.96922799999999976</v>
      </c>
      <c r="BH287" s="9">
        <v>9.5999999999999992E-3</v>
      </c>
      <c r="BI287" s="9">
        <f t="shared" si="128"/>
        <v>4.8971519999999984</v>
      </c>
      <c r="BJ287" s="9">
        <v>2040.4800000000005</v>
      </c>
      <c r="BK287" s="9">
        <v>2.0999999999999999E-3</v>
      </c>
      <c r="BL287" s="9">
        <f t="shared" si="129"/>
        <v>4.2850080000000004</v>
      </c>
      <c r="BM287" s="9">
        <v>1.04E-2</v>
      </c>
      <c r="BN287" s="9">
        <f t="shared" si="130"/>
        <v>21.220992000000003</v>
      </c>
      <c r="BO287" s="9">
        <v>683.79999999999836</v>
      </c>
      <c r="BP287" s="9">
        <v>2.3999999999999998E-3</v>
      </c>
      <c r="BQ287" s="9">
        <f t="shared" si="131"/>
        <v>1.6411199999999959</v>
      </c>
      <c r="BR287" s="9">
        <v>1.2200000000000001E-2</v>
      </c>
      <c r="BS287" s="9">
        <f t="shared" si="132"/>
        <v>8.3423599999999798</v>
      </c>
      <c r="BT287" s="9">
        <f t="shared" si="133"/>
        <v>7.2354327999999981</v>
      </c>
      <c r="BU287" s="9">
        <f t="shared" si="134"/>
        <v>36.189227733333318</v>
      </c>
      <c r="BV287" s="9">
        <f t="shared" si="135"/>
        <v>338.81343279999999</v>
      </c>
      <c r="BW287">
        <f t="shared" si="136"/>
        <v>338.81343279999999</v>
      </c>
      <c r="BX287">
        <v>0</v>
      </c>
      <c r="BY287">
        <f t="shared" si="137"/>
        <v>1676.2250277333333</v>
      </c>
      <c r="BZ287">
        <v>2152.7282399999999</v>
      </c>
      <c r="CA287">
        <f t="shared" si="138"/>
        <v>4774.7143271999994</v>
      </c>
      <c r="CB287">
        <f t="shared" si="139"/>
        <v>8942.4810277333327</v>
      </c>
      <c r="CC287">
        <v>0</v>
      </c>
      <c r="CD287">
        <v>0</v>
      </c>
      <c r="CE287">
        <f t="shared" si="140"/>
        <v>0</v>
      </c>
      <c r="CF287">
        <f t="shared" si="141"/>
        <v>7266.2559999999994</v>
      </c>
      <c r="CG287">
        <f t="shared" si="142"/>
        <v>4774.7143271999994</v>
      </c>
      <c r="CH287">
        <f t="shared" si="143"/>
        <v>0</v>
      </c>
      <c r="CJ287" t="s">
        <v>278</v>
      </c>
      <c r="CL287" t="str">
        <f t="shared" si="144"/>
        <v/>
      </c>
    </row>
    <row r="288" spans="1:90" x14ac:dyDescent="0.25">
      <c r="A288" t="s">
        <v>134</v>
      </c>
      <c r="B288" t="s">
        <v>179</v>
      </c>
      <c r="C288" s="1">
        <v>46143</v>
      </c>
      <c r="D288" t="s">
        <v>174</v>
      </c>
      <c r="E288" t="s">
        <v>175</v>
      </c>
      <c r="F288" s="4">
        <v>1</v>
      </c>
      <c r="G288" s="4">
        <v>0.6</v>
      </c>
      <c r="H288" s="9">
        <v>7266.2560000000003</v>
      </c>
      <c r="I288" s="9">
        <v>1211.0426666666667</v>
      </c>
      <c r="J288" s="9">
        <f t="shared" si="116"/>
        <v>8477.2986666666675</v>
      </c>
      <c r="K288" s="9">
        <v>0</v>
      </c>
      <c r="L288" s="9">
        <f t="shared" si="117"/>
        <v>0</v>
      </c>
      <c r="M288">
        <v>0</v>
      </c>
      <c r="N288" s="4">
        <f t="shared" si="118"/>
        <v>0</v>
      </c>
      <c r="O288" s="9">
        <v>4541.41</v>
      </c>
      <c r="P288" s="9">
        <v>2724.846</v>
      </c>
      <c r="Q288" s="9">
        <v>0</v>
      </c>
      <c r="R288" s="9">
        <v>0</v>
      </c>
      <c r="S288" s="9">
        <v>0</v>
      </c>
      <c r="T288" s="9">
        <v>0</v>
      </c>
      <c r="U288" s="9">
        <v>0</v>
      </c>
      <c r="V288" s="9">
        <v>0</v>
      </c>
      <c r="W288" s="9">
        <f t="shared" si="119"/>
        <v>7266.2559999999994</v>
      </c>
      <c r="X288" s="9">
        <v>1211.0426666666667</v>
      </c>
      <c r="Y288" s="9">
        <v>0</v>
      </c>
      <c r="Z288" s="9">
        <v>8477.2986666666657</v>
      </c>
      <c r="AA288" s="9">
        <v>0</v>
      </c>
      <c r="AB288" s="9">
        <f t="shared" si="120"/>
        <v>8477.2986666666657</v>
      </c>
      <c r="AC288" s="9">
        <v>5101.2</v>
      </c>
      <c r="AD288" s="9">
        <v>0</v>
      </c>
      <c r="AE288" s="9">
        <v>7266.2559999999994</v>
      </c>
      <c r="AF288" s="9">
        <v>239.75639999999999</v>
      </c>
      <c r="AG288" s="9">
        <v>1203.8832</v>
      </c>
      <c r="AH288" s="9">
        <v>79.068600000000004</v>
      </c>
      <c r="AI288" s="9">
        <v>280.56599999999997</v>
      </c>
      <c r="AJ288" s="9">
        <v>10.202399999999999</v>
      </c>
      <c r="AK288" s="9">
        <v>5.1011999999999995</v>
      </c>
      <c r="AL288" s="9">
        <v>30.607199999999999</v>
      </c>
      <c r="AM288" s="9">
        <v>7.6517999999999997</v>
      </c>
      <c r="AN288" s="9">
        <v>38.259</v>
      </c>
      <c r="AO288" s="9">
        <v>76.518000000000001</v>
      </c>
      <c r="AP288" s="9">
        <v>510.11999999999989</v>
      </c>
      <c r="AQ288" s="25">
        <v>1.9E-3</v>
      </c>
      <c r="AR288" s="9">
        <f t="shared" si="121"/>
        <v>0.96922799999999976</v>
      </c>
      <c r="AS288" s="25">
        <v>9.5999999999999992E-3</v>
      </c>
      <c r="AT288" s="9">
        <f t="shared" si="122"/>
        <v>4.8971519999999984</v>
      </c>
      <c r="AU288" s="9">
        <v>2040.4800000000005</v>
      </c>
      <c r="AV288" s="25">
        <v>2.0999999999999999E-3</v>
      </c>
      <c r="AW288" s="9">
        <f t="shared" si="123"/>
        <v>4.2850080000000004</v>
      </c>
      <c r="AX288" s="25">
        <v>1.04E-2</v>
      </c>
      <c r="AY288" s="9">
        <f t="shared" si="124"/>
        <v>21.220992000000003</v>
      </c>
      <c r="AZ288" s="9">
        <v>825.49866666666549</v>
      </c>
      <c r="BA288" s="25">
        <v>2.3999999999999998E-3</v>
      </c>
      <c r="BB288" s="9">
        <f t="shared" si="125"/>
        <v>1.9811967999999971</v>
      </c>
      <c r="BC288" s="25">
        <v>1.2200000000000001E-2</v>
      </c>
      <c r="BD288" s="9">
        <f t="shared" si="126"/>
        <v>10.071083733333319</v>
      </c>
      <c r="BE288" s="9">
        <v>510.11999999999989</v>
      </c>
      <c r="BF288" s="9">
        <v>1.9E-3</v>
      </c>
      <c r="BG288" s="9">
        <f t="shared" si="127"/>
        <v>0.96922799999999976</v>
      </c>
      <c r="BH288" s="9">
        <v>9.5999999999999992E-3</v>
      </c>
      <c r="BI288" s="9">
        <f t="shared" si="128"/>
        <v>4.8971519999999984</v>
      </c>
      <c r="BJ288" s="9">
        <v>2040.4800000000005</v>
      </c>
      <c r="BK288" s="9">
        <v>2.0999999999999999E-3</v>
      </c>
      <c r="BL288" s="9">
        <f t="shared" si="129"/>
        <v>4.2850080000000004</v>
      </c>
      <c r="BM288" s="9">
        <v>1.04E-2</v>
      </c>
      <c r="BN288" s="9">
        <f t="shared" si="130"/>
        <v>21.220992000000003</v>
      </c>
      <c r="BO288" s="9">
        <v>683.79999999999836</v>
      </c>
      <c r="BP288" s="9">
        <v>2.3999999999999998E-3</v>
      </c>
      <c r="BQ288" s="9">
        <f t="shared" si="131"/>
        <v>1.6411199999999959</v>
      </c>
      <c r="BR288" s="9">
        <v>1.2200000000000001E-2</v>
      </c>
      <c r="BS288" s="9">
        <f t="shared" si="132"/>
        <v>8.3423599999999798</v>
      </c>
      <c r="BT288" s="9">
        <f t="shared" si="133"/>
        <v>7.2354327999999981</v>
      </c>
      <c r="BU288" s="9">
        <f t="shared" si="134"/>
        <v>36.189227733333318</v>
      </c>
      <c r="BV288" s="9">
        <f t="shared" si="135"/>
        <v>338.81343279999999</v>
      </c>
      <c r="BW288">
        <f t="shared" si="136"/>
        <v>338.81343279999999</v>
      </c>
      <c r="BX288">
        <v>0</v>
      </c>
      <c r="BY288">
        <f t="shared" si="137"/>
        <v>1676.2250277333333</v>
      </c>
      <c r="BZ288">
        <v>2152.7282399999999</v>
      </c>
      <c r="CA288">
        <f t="shared" si="138"/>
        <v>4774.7143271999994</v>
      </c>
      <c r="CB288">
        <f t="shared" si="139"/>
        <v>8942.4810277333327</v>
      </c>
      <c r="CC288">
        <v>0</v>
      </c>
      <c r="CD288">
        <v>0</v>
      </c>
      <c r="CE288">
        <f t="shared" si="140"/>
        <v>0</v>
      </c>
      <c r="CF288">
        <f t="shared" si="141"/>
        <v>7266.2559999999994</v>
      </c>
      <c r="CG288">
        <f t="shared" si="142"/>
        <v>4774.7143271999994</v>
      </c>
      <c r="CH288">
        <f t="shared" si="143"/>
        <v>0</v>
      </c>
      <c r="CJ288" t="s">
        <v>278</v>
      </c>
      <c r="CL288" t="str">
        <f t="shared" si="144"/>
        <v/>
      </c>
    </row>
    <row r="289" spans="1:90" x14ac:dyDescent="0.25">
      <c r="A289" t="s">
        <v>134</v>
      </c>
      <c r="B289" t="s">
        <v>180</v>
      </c>
      <c r="C289" s="1">
        <v>46174</v>
      </c>
      <c r="D289" t="s">
        <v>174</v>
      </c>
      <c r="E289" t="s">
        <v>175</v>
      </c>
      <c r="F289" s="4">
        <v>1</v>
      </c>
      <c r="G289" s="4">
        <v>0.6</v>
      </c>
      <c r="H289" s="9">
        <v>7266.2560000000003</v>
      </c>
      <c r="I289" s="9">
        <v>1211.0426666666667</v>
      </c>
      <c r="J289" s="9">
        <f t="shared" si="116"/>
        <v>8477.2986666666675</v>
      </c>
      <c r="K289" s="9">
        <v>0</v>
      </c>
      <c r="L289" s="9">
        <f t="shared" si="117"/>
        <v>0</v>
      </c>
      <c r="M289">
        <v>0</v>
      </c>
      <c r="N289" s="4">
        <f t="shared" si="118"/>
        <v>0</v>
      </c>
      <c r="O289" s="9">
        <v>4541.41</v>
      </c>
      <c r="P289" s="9">
        <v>2724.846</v>
      </c>
      <c r="Q289" s="9">
        <v>0</v>
      </c>
      <c r="R289" s="9">
        <v>0</v>
      </c>
      <c r="S289" s="9">
        <v>0</v>
      </c>
      <c r="T289" s="9">
        <v>0</v>
      </c>
      <c r="U289" s="9">
        <v>0</v>
      </c>
      <c r="V289" s="9">
        <v>0</v>
      </c>
      <c r="W289" s="9">
        <f t="shared" si="119"/>
        <v>7266.2559999999994</v>
      </c>
      <c r="X289" s="9">
        <v>1211.0426666666667</v>
      </c>
      <c r="Y289" s="9">
        <v>0</v>
      </c>
      <c r="Z289" s="9">
        <v>8477.2986666666657</v>
      </c>
      <c r="AA289" s="9">
        <v>0</v>
      </c>
      <c r="AB289" s="9">
        <f t="shared" si="120"/>
        <v>8477.2986666666657</v>
      </c>
      <c r="AC289" s="9">
        <v>5101.2</v>
      </c>
      <c r="AD289" s="9">
        <v>0</v>
      </c>
      <c r="AE289" s="9">
        <v>7266.2559999999994</v>
      </c>
      <c r="AF289" s="9">
        <v>239.75639999999999</v>
      </c>
      <c r="AG289" s="9">
        <v>1203.8832</v>
      </c>
      <c r="AH289" s="9">
        <v>79.068600000000004</v>
      </c>
      <c r="AI289" s="9">
        <v>280.56599999999997</v>
      </c>
      <c r="AJ289" s="9">
        <v>10.202399999999999</v>
      </c>
      <c r="AK289" s="9">
        <v>5.1011999999999995</v>
      </c>
      <c r="AL289" s="9">
        <v>30.607199999999999</v>
      </c>
      <c r="AM289" s="9">
        <v>7.6517999999999997</v>
      </c>
      <c r="AN289" s="9">
        <v>38.259</v>
      </c>
      <c r="AO289" s="9">
        <v>76.518000000000001</v>
      </c>
      <c r="AP289" s="9">
        <v>510.11999999999989</v>
      </c>
      <c r="AQ289" s="25">
        <v>1.9E-3</v>
      </c>
      <c r="AR289" s="9">
        <f t="shared" si="121"/>
        <v>0.96922799999999976</v>
      </c>
      <c r="AS289" s="25">
        <v>9.5999999999999992E-3</v>
      </c>
      <c r="AT289" s="9">
        <f t="shared" si="122"/>
        <v>4.8971519999999984</v>
      </c>
      <c r="AU289" s="9">
        <v>2040.4800000000005</v>
      </c>
      <c r="AV289" s="25">
        <v>2.0999999999999999E-3</v>
      </c>
      <c r="AW289" s="9">
        <f t="shared" si="123"/>
        <v>4.2850080000000004</v>
      </c>
      <c r="AX289" s="25">
        <v>1.04E-2</v>
      </c>
      <c r="AY289" s="9">
        <f t="shared" si="124"/>
        <v>21.220992000000003</v>
      </c>
      <c r="AZ289" s="9">
        <v>825.49866666666549</v>
      </c>
      <c r="BA289" s="25">
        <v>2.3999999999999998E-3</v>
      </c>
      <c r="BB289" s="9">
        <f t="shared" si="125"/>
        <v>1.9811967999999971</v>
      </c>
      <c r="BC289" s="25">
        <v>1.2200000000000001E-2</v>
      </c>
      <c r="BD289" s="9">
        <f t="shared" si="126"/>
        <v>10.071083733333319</v>
      </c>
      <c r="BE289" s="9">
        <v>510.11999999999989</v>
      </c>
      <c r="BF289" s="9">
        <v>1.9E-3</v>
      </c>
      <c r="BG289" s="9">
        <f t="shared" si="127"/>
        <v>0.96922799999999976</v>
      </c>
      <c r="BH289" s="9">
        <v>9.5999999999999992E-3</v>
      </c>
      <c r="BI289" s="9">
        <f t="shared" si="128"/>
        <v>4.8971519999999984</v>
      </c>
      <c r="BJ289" s="9">
        <v>2040.4800000000005</v>
      </c>
      <c r="BK289" s="9">
        <v>2.0999999999999999E-3</v>
      </c>
      <c r="BL289" s="9">
        <f t="shared" si="129"/>
        <v>4.2850080000000004</v>
      </c>
      <c r="BM289" s="9">
        <v>1.04E-2</v>
      </c>
      <c r="BN289" s="9">
        <f t="shared" si="130"/>
        <v>21.220992000000003</v>
      </c>
      <c r="BO289" s="9">
        <v>683.79999999999836</v>
      </c>
      <c r="BP289" s="9">
        <v>2.3999999999999998E-3</v>
      </c>
      <c r="BQ289" s="9">
        <f t="shared" si="131"/>
        <v>1.6411199999999959</v>
      </c>
      <c r="BR289" s="9">
        <v>1.2200000000000001E-2</v>
      </c>
      <c r="BS289" s="9">
        <f t="shared" si="132"/>
        <v>8.3423599999999798</v>
      </c>
      <c r="BT289" s="9">
        <f t="shared" si="133"/>
        <v>7.2354327999999981</v>
      </c>
      <c r="BU289" s="9">
        <f t="shared" si="134"/>
        <v>36.189227733333318</v>
      </c>
      <c r="BV289" s="9">
        <f t="shared" si="135"/>
        <v>338.81343279999999</v>
      </c>
      <c r="BW289">
        <f t="shared" si="136"/>
        <v>338.81343279999999</v>
      </c>
      <c r="BX289">
        <v>0</v>
      </c>
      <c r="BY289">
        <f t="shared" si="137"/>
        <v>1676.2250277333333</v>
      </c>
      <c r="BZ289">
        <v>2152.7282399999999</v>
      </c>
      <c r="CA289">
        <f t="shared" si="138"/>
        <v>4774.7143271999994</v>
      </c>
      <c r="CB289">
        <f t="shared" si="139"/>
        <v>8942.4810277333327</v>
      </c>
      <c r="CC289">
        <v>0</v>
      </c>
      <c r="CD289">
        <v>0</v>
      </c>
      <c r="CE289">
        <f t="shared" si="140"/>
        <v>0</v>
      </c>
      <c r="CF289">
        <f t="shared" si="141"/>
        <v>7266.2559999999994</v>
      </c>
      <c r="CG289">
        <f t="shared" si="142"/>
        <v>4774.7143271999994</v>
      </c>
      <c r="CH289">
        <f t="shared" si="143"/>
        <v>0</v>
      </c>
      <c r="CJ289" t="s">
        <v>278</v>
      </c>
      <c r="CL289" t="str">
        <f t="shared" si="144"/>
        <v/>
      </c>
    </row>
    <row r="290" spans="1:90" x14ac:dyDescent="0.25">
      <c r="A290" t="s">
        <v>134</v>
      </c>
      <c r="B290" t="s">
        <v>181</v>
      </c>
      <c r="C290" s="1">
        <v>46204</v>
      </c>
      <c r="D290" t="s">
        <v>182</v>
      </c>
      <c r="E290" t="s">
        <v>175</v>
      </c>
      <c r="F290" s="4">
        <v>1</v>
      </c>
      <c r="G290" s="4">
        <v>0.6</v>
      </c>
      <c r="H290" s="9">
        <v>7266.2560000000003</v>
      </c>
      <c r="I290" s="9">
        <v>1211.0426666666667</v>
      </c>
      <c r="J290" s="9">
        <f t="shared" si="116"/>
        <v>8477.2986666666675</v>
      </c>
      <c r="K290" s="9">
        <v>0</v>
      </c>
      <c r="L290" s="9">
        <f t="shared" si="117"/>
        <v>0</v>
      </c>
      <c r="M290">
        <v>0</v>
      </c>
      <c r="N290" s="4">
        <f t="shared" si="118"/>
        <v>0</v>
      </c>
      <c r="O290" s="9">
        <v>4541.41</v>
      </c>
      <c r="P290" s="9">
        <v>2724.846</v>
      </c>
      <c r="Q290" s="9">
        <v>0</v>
      </c>
      <c r="R290" s="9">
        <v>0</v>
      </c>
      <c r="S290" s="9">
        <v>0</v>
      </c>
      <c r="T290" s="9">
        <v>0</v>
      </c>
      <c r="U290" s="9">
        <v>0</v>
      </c>
      <c r="V290" s="9">
        <v>0</v>
      </c>
      <c r="W290" s="9">
        <f t="shared" si="119"/>
        <v>7266.2559999999994</v>
      </c>
      <c r="X290" s="9">
        <v>0</v>
      </c>
      <c r="Y290" s="9">
        <v>0</v>
      </c>
      <c r="Z290" s="9">
        <v>0</v>
      </c>
      <c r="AA290" s="9">
        <v>0</v>
      </c>
      <c r="AB290" s="9">
        <f t="shared" si="120"/>
        <v>0</v>
      </c>
      <c r="AC290" s="9">
        <v>0</v>
      </c>
      <c r="AD290" s="9">
        <v>0</v>
      </c>
      <c r="AE290" s="9">
        <v>7266.2559999999994</v>
      </c>
      <c r="AF290" s="9">
        <v>0</v>
      </c>
      <c r="AG290" s="9">
        <v>0</v>
      </c>
      <c r="AH290" s="9">
        <v>0</v>
      </c>
      <c r="AI290" s="9">
        <v>0</v>
      </c>
      <c r="AJ290" s="9">
        <v>0</v>
      </c>
      <c r="AK290" s="9">
        <v>0</v>
      </c>
      <c r="AL290" s="9">
        <v>0</v>
      </c>
      <c r="AM290" s="9">
        <v>0</v>
      </c>
      <c r="AN290" s="9">
        <v>0</v>
      </c>
      <c r="AO290" s="9">
        <v>0</v>
      </c>
      <c r="AP290" s="9">
        <v>0</v>
      </c>
      <c r="AQ290" s="25">
        <v>0</v>
      </c>
      <c r="AR290" s="9">
        <f t="shared" si="121"/>
        <v>0</v>
      </c>
      <c r="AS290" s="25">
        <v>0</v>
      </c>
      <c r="AT290" s="9">
        <f t="shared" si="122"/>
        <v>0</v>
      </c>
      <c r="AU290" s="9">
        <v>0</v>
      </c>
      <c r="AV290" s="25">
        <v>0</v>
      </c>
      <c r="AW290" s="9">
        <f t="shared" si="123"/>
        <v>0</v>
      </c>
      <c r="AX290" s="25">
        <v>0</v>
      </c>
      <c r="AY290" s="9">
        <f t="shared" si="124"/>
        <v>0</v>
      </c>
      <c r="AZ290" s="9">
        <v>0</v>
      </c>
      <c r="BA290" s="25">
        <v>0</v>
      </c>
      <c r="BB290" s="9">
        <f t="shared" si="125"/>
        <v>0</v>
      </c>
      <c r="BC290" s="25">
        <v>0</v>
      </c>
      <c r="BD290" s="9">
        <f t="shared" si="126"/>
        <v>0</v>
      </c>
      <c r="BE290" s="9">
        <v>0</v>
      </c>
      <c r="BF290" s="9">
        <v>0</v>
      </c>
      <c r="BG290" s="9">
        <f t="shared" si="127"/>
        <v>0</v>
      </c>
      <c r="BH290" s="9">
        <v>0</v>
      </c>
      <c r="BI290" s="9">
        <f t="shared" si="128"/>
        <v>0</v>
      </c>
      <c r="BJ290" s="9">
        <v>0</v>
      </c>
      <c r="BK290" s="9">
        <v>0</v>
      </c>
      <c r="BL290" s="9">
        <f t="shared" si="129"/>
        <v>0</v>
      </c>
      <c r="BM290" s="9">
        <v>0</v>
      </c>
      <c r="BN290" s="9">
        <f t="shared" si="130"/>
        <v>0</v>
      </c>
      <c r="BO290" s="9">
        <v>0</v>
      </c>
      <c r="BP290" s="9">
        <v>0</v>
      </c>
      <c r="BQ290" s="9">
        <f t="shared" si="131"/>
        <v>0</v>
      </c>
      <c r="BR290" s="9">
        <v>0</v>
      </c>
      <c r="BS290" s="9">
        <f t="shared" si="132"/>
        <v>0</v>
      </c>
      <c r="BT290" s="9">
        <f t="shared" si="133"/>
        <v>0</v>
      </c>
      <c r="BU290" s="9">
        <f t="shared" si="134"/>
        <v>0</v>
      </c>
      <c r="BV290" s="9">
        <f t="shared" si="135"/>
        <v>0</v>
      </c>
      <c r="BW290">
        <f t="shared" si="136"/>
        <v>0</v>
      </c>
      <c r="BX290">
        <v>0</v>
      </c>
      <c r="BY290">
        <f t="shared" si="137"/>
        <v>0</v>
      </c>
      <c r="BZ290">
        <v>2152.7282400000004</v>
      </c>
      <c r="CA290">
        <f t="shared" si="138"/>
        <v>5113.527759999999</v>
      </c>
      <c r="CB290">
        <f t="shared" si="139"/>
        <v>7266.2559999999994</v>
      </c>
      <c r="CC290">
        <v>0</v>
      </c>
      <c r="CD290">
        <v>0</v>
      </c>
      <c r="CE290">
        <f t="shared" si="140"/>
        <v>0</v>
      </c>
      <c r="CF290">
        <f t="shared" si="141"/>
        <v>7266.2559999999994</v>
      </c>
      <c r="CG290">
        <f t="shared" si="142"/>
        <v>5113.527759999999</v>
      </c>
      <c r="CH290">
        <f t="shared" si="143"/>
        <v>0</v>
      </c>
      <c r="CJ290" t="s">
        <v>278</v>
      </c>
      <c r="CL290" t="str">
        <f t="shared" si="144"/>
        <v/>
      </c>
    </row>
    <row r="291" spans="1:90" x14ac:dyDescent="0.25">
      <c r="A291" t="s">
        <v>134</v>
      </c>
      <c r="B291" t="s">
        <v>183</v>
      </c>
      <c r="C291" s="1">
        <v>46204</v>
      </c>
      <c r="D291" t="s">
        <v>174</v>
      </c>
      <c r="E291" t="s">
        <v>175</v>
      </c>
      <c r="F291" s="4">
        <v>1</v>
      </c>
      <c r="G291" s="4">
        <v>0.6</v>
      </c>
      <c r="H291" s="9">
        <v>7266.2560000000003</v>
      </c>
      <c r="I291" s="9">
        <v>1211.0426666666667</v>
      </c>
      <c r="J291" s="9">
        <f t="shared" si="116"/>
        <v>8477.2986666666675</v>
      </c>
      <c r="K291" s="9">
        <v>0</v>
      </c>
      <c r="L291" s="9">
        <f t="shared" si="117"/>
        <v>0</v>
      </c>
      <c r="M291">
        <v>0</v>
      </c>
      <c r="N291" s="4">
        <f t="shared" si="118"/>
        <v>0</v>
      </c>
      <c r="O291" s="9">
        <v>4541.41</v>
      </c>
      <c r="P291" s="9">
        <v>2724.846</v>
      </c>
      <c r="Q291" s="9">
        <v>0</v>
      </c>
      <c r="R291" s="9">
        <v>0</v>
      </c>
      <c r="S291" s="9">
        <v>0</v>
      </c>
      <c r="T291" s="9">
        <v>0</v>
      </c>
      <c r="U291" s="9">
        <v>0</v>
      </c>
      <c r="V291" s="9">
        <v>0</v>
      </c>
      <c r="W291" s="9">
        <f t="shared" si="119"/>
        <v>7266.2559999999994</v>
      </c>
      <c r="X291" s="9">
        <v>1211.0426666666667</v>
      </c>
      <c r="Y291" s="9">
        <v>0</v>
      </c>
      <c r="Z291" s="9">
        <v>8477.2986666666657</v>
      </c>
      <c r="AA291" s="9">
        <v>0</v>
      </c>
      <c r="AB291" s="9">
        <f t="shared" si="120"/>
        <v>8477.2986666666657</v>
      </c>
      <c r="AC291" s="9">
        <v>5101.2</v>
      </c>
      <c r="AD291" s="9">
        <v>0</v>
      </c>
      <c r="AE291" s="9">
        <v>7266.2559999999994</v>
      </c>
      <c r="AF291" s="9">
        <v>239.75639999999999</v>
      </c>
      <c r="AG291" s="9">
        <v>1203.8832</v>
      </c>
      <c r="AH291" s="9">
        <v>79.068600000000004</v>
      </c>
      <c r="AI291" s="9">
        <v>280.56599999999997</v>
      </c>
      <c r="AJ291" s="9">
        <v>10.202399999999999</v>
      </c>
      <c r="AK291" s="9">
        <v>5.1011999999999995</v>
      </c>
      <c r="AL291" s="9">
        <v>30.607199999999999</v>
      </c>
      <c r="AM291" s="9">
        <v>7.6517999999999997</v>
      </c>
      <c r="AN291" s="9">
        <v>38.259</v>
      </c>
      <c r="AO291" s="9">
        <v>76.518000000000001</v>
      </c>
      <c r="AP291" s="9">
        <v>510.11999999999989</v>
      </c>
      <c r="AQ291" s="25">
        <v>1.9E-3</v>
      </c>
      <c r="AR291" s="9">
        <f t="shared" si="121"/>
        <v>0.96922799999999976</v>
      </c>
      <c r="AS291" s="25">
        <v>9.5999999999999992E-3</v>
      </c>
      <c r="AT291" s="9">
        <f t="shared" si="122"/>
        <v>4.8971519999999984</v>
      </c>
      <c r="AU291" s="9">
        <v>2040.4800000000005</v>
      </c>
      <c r="AV291" s="25">
        <v>2.0999999999999999E-3</v>
      </c>
      <c r="AW291" s="9">
        <f t="shared" si="123"/>
        <v>4.2850080000000004</v>
      </c>
      <c r="AX291" s="25">
        <v>1.04E-2</v>
      </c>
      <c r="AY291" s="9">
        <f t="shared" si="124"/>
        <v>21.220992000000003</v>
      </c>
      <c r="AZ291" s="9">
        <v>825.49866666666549</v>
      </c>
      <c r="BA291" s="25">
        <v>2.3999999999999998E-3</v>
      </c>
      <c r="BB291" s="9">
        <f t="shared" si="125"/>
        <v>1.9811967999999971</v>
      </c>
      <c r="BC291" s="25">
        <v>1.2200000000000001E-2</v>
      </c>
      <c r="BD291" s="9">
        <f t="shared" si="126"/>
        <v>10.071083733333319</v>
      </c>
      <c r="BE291" s="9">
        <v>510.11999999999989</v>
      </c>
      <c r="BF291" s="9">
        <v>1.9E-3</v>
      </c>
      <c r="BG291" s="9">
        <f t="shared" si="127"/>
        <v>0.96922799999999976</v>
      </c>
      <c r="BH291" s="9">
        <v>9.5999999999999992E-3</v>
      </c>
      <c r="BI291" s="9">
        <f t="shared" si="128"/>
        <v>4.8971519999999984</v>
      </c>
      <c r="BJ291" s="9">
        <v>2040.4800000000005</v>
      </c>
      <c r="BK291" s="9">
        <v>2.0999999999999999E-3</v>
      </c>
      <c r="BL291" s="9">
        <f t="shared" si="129"/>
        <v>4.2850080000000004</v>
      </c>
      <c r="BM291" s="9">
        <v>1.04E-2</v>
      </c>
      <c r="BN291" s="9">
        <f t="shared" si="130"/>
        <v>21.220992000000003</v>
      </c>
      <c r="BO291" s="9">
        <v>683.79999999999836</v>
      </c>
      <c r="BP291" s="9">
        <v>2.3999999999999998E-3</v>
      </c>
      <c r="BQ291" s="9">
        <f t="shared" si="131"/>
        <v>1.6411199999999959</v>
      </c>
      <c r="BR291" s="9">
        <v>1.2200000000000001E-2</v>
      </c>
      <c r="BS291" s="9">
        <f t="shared" si="132"/>
        <v>8.3423599999999798</v>
      </c>
      <c r="BT291" s="9">
        <f t="shared" si="133"/>
        <v>7.2354327999999981</v>
      </c>
      <c r="BU291" s="9">
        <f t="shared" si="134"/>
        <v>36.189227733333318</v>
      </c>
      <c r="BV291" s="9">
        <f t="shared" si="135"/>
        <v>338.81343279999999</v>
      </c>
      <c r="BW291">
        <f t="shared" si="136"/>
        <v>338.81343279999999</v>
      </c>
      <c r="BX291">
        <v>0</v>
      </c>
      <c r="BY291">
        <f t="shared" si="137"/>
        <v>1676.2250277333333</v>
      </c>
      <c r="BZ291">
        <v>2152.7282399999999</v>
      </c>
      <c r="CA291">
        <f t="shared" si="138"/>
        <v>4774.7143271999994</v>
      </c>
      <c r="CB291">
        <f t="shared" si="139"/>
        <v>8942.4810277333327</v>
      </c>
      <c r="CC291">
        <v>0</v>
      </c>
      <c r="CD291">
        <v>0</v>
      </c>
      <c r="CE291">
        <f t="shared" si="140"/>
        <v>0</v>
      </c>
      <c r="CF291">
        <f t="shared" si="141"/>
        <v>7266.2559999999994</v>
      </c>
      <c r="CG291">
        <f t="shared" si="142"/>
        <v>4774.7143271999994</v>
      </c>
      <c r="CH291">
        <f t="shared" si="143"/>
        <v>0</v>
      </c>
      <c r="CJ291" t="s">
        <v>278</v>
      </c>
      <c r="CL291" t="str">
        <f t="shared" si="144"/>
        <v/>
      </c>
    </row>
    <row r="292" spans="1:90" x14ac:dyDescent="0.25">
      <c r="A292" t="s">
        <v>134</v>
      </c>
      <c r="B292" t="s">
        <v>184</v>
      </c>
      <c r="C292" s="1">
        <v>46235</v>
      </c>
      <c r="D292" t="s">
        <v>174</v>
      </c>
      <c r="E292" t="s">
        <v>175</v>
      </c>
      <c r="F292" s="4">
        <v>1</v>
      </c>
      <c r="G292" s="4">
        <v>0.6</v>
      </c>
      <c r="H292" s="9">
        <v>7266.2560000000003</v>
      </c>
      <c r="I292" s="9">
        <v>1211.0426666666667</v>
      </c>
      <c r="J292" s="9">
        <f t="shared" si="116"/>
        <v>8477.2986666666675</v>
      </c>
      <c r="K292" s="9">
        <v>0</v>
      </c>
      <c r="L292" s="9">
        <f t="shared" si="117"/>
        <v>0</v>
      </c>
      <c r="M292">
        <v>0</v>
      </c>
      <c r="N292" s="4">
        <f t="shared" si="118"/>
        <v>0</v>
      </c>
      <c r="O292" s="9">
        <v>4541.41</v>
      </c>
      <c r="P292" s="9">
        <v>2724.846</v>
      </c>
      <c r="Q292" s="9">
        <v>0</v>
      </c>
      <c r="R292" s="9">
        <v>0</v>
      </c>
      <c r="S292" s="9">
        <v>0</v>
      </c>
      <c r="T292" s="9">
        <v>0</v>
      </c>
      <c r="U292" s="9">
        <v>0</v>
      </c>
      <c r="V292" s="9">
        <v>0</v>
      </c>
      <c r="W292" s="9">
        <f t="shared" si="119"/>
        <v>7266.2559999999994</v>
      </c>
      <c r="X292" s="9">
        <v>1211.0426666666667</v>
      </c>
      <c r="Y292" s="9">
        <v>0</v>
      </c>
      <c r="Z292" s="9">
        <v>8477.2986666666657</v>
      </c>
      <c r="AA292" s="9">
        <v>0</v>
      </c>
      <c r="AB292" s="9">
        <f t="shared" si="120"/>
        <v>8477.2986666666657</v>
      </c>
      <c r="AC292" s="9">
        <v>5101.2</v>
      </c>
      <c r="AD292" s="9">
        <v>0</v>
      </c>
      <c r="AE292" s="9">
        <v>7266.2559999999994</v>
      </c>
      <c r="AF292" s="9">
        <v>239.75639999999999</v>
      </c>
      <c r="AG292" s="9">
        <v>1203.8832</v>
      </c>
      <c r="AH292" s="9">
        <v>79.068600000000004</v>
      </c>
      <c r="AI292" s="9">
        <v>280.56599999999997</v>
      </c>
      <c r="AJ292" s="9">
        <v>10.202399999999999</v>
      </c>
      <c r="AK292" s="9">
        <v>5.1011999999999995</v>
      </c>
      <c r="AL292" s="9">
        <v>30.607199999999999</v>
      </c>
      <c r="AM292" s="9">
        <v>7.6517999999999997</v>
      </c>
      <c r="AN292" s="9">
        <v>38.259</v>
      </c>
      <c r="AO292" s="9">
        <v>76.518000000000001</v>
      </c>
      <c r="AP292" s="9">
        <v>510.11999999999989</v>
      </c>
      <c r="AQ292" s="25">
        <v>1.9E-3</v>
      </c>
      <c r="AR292" s="9">
        <f t="shared" si="121"/>
        <v>0.96922799999999976</v>
      </c>
      <c r="AS292" s="25">
        <v>9.5999999999999992E-3</v>
      </c>
      <c r="AT292" s="9">
        <f t="shared" si="122"/>
        <v>4.8971519999999984</v>
      </c>
      <c r="AU292" s="9">
        <v>2040.4800000000005</v>
      </c>
      <c r="AV292" s="25">
        <v>2.0999999999999999E-3</v>
      </c>
      <c r="AW292" s="9">
        <f t="shared" si="123"/>
        <v>4.2850080000000004</v>
      </c>
      <c r="AX292" s="25">
        <v>1.04E-2</v>
      </c>
      <c r="AY292" s="9">
        <f t="shared" si="124"/>
        <v>21.220992000000003</v>
      </c>
      <c r="AZ292" s="9">
        <v>825.49866666666549</v>
      </c>
      <c r="BA292" s="25">
        <v>2.3999999999999998E-3</v>
      </c>
      <c r="BB292" s="9">
        <f t="shared" si="125"/>
        <v>1.9811967999999971</v>
      </c>
      <c r="BC292" s="25">
        <v>1.2200000000000001E-2</v>
      </c>
      <c r="BD292" s="9">
        <f t="shared" si="126"/>
        <v>10.071083733333319</v>
      </c>
      <c r="BE292" s="9">
        <v>510.11999999999989</v>
      </c>
      <c r="BF292" s="9">
        <v>1.9E-3</v>
      </c>
      <c r="BG292" s="9">
        <f t="shared" si="127"/>
        <v>0.96922799999999976</v>
      </c>
      <c r="BH292" s="9">
        <v>9.5999999999999992E-3</v>
      </c>
      <c r="BI292" s="9">
        <f t="shared" si="128"/>
        <v>4.8971519999999984</v>
      </c>
      <c r="BJ292" s="9">
        <v>2040.4800000000005</v>
      </c>
      <c r="BK292" s="9">
        <v>2.0999999999999999E-3</v>
      </c>
      <c r="BL292" s="9">
        <f t="shared" si="129"/>
        <v>4.2850080000000004</v>
      </c>
      <c r="BM292" s="9">
        <v>1.04E-2</v>
      </c>
      <c r="BN292" s="9">
        <f t="shared" si="130"/>
        <v>21.220992000000003</v>
      </c>
      <c r="BO292" s="9">
        <v>683.79999999999836</v>
      </c>
      <c r="BP292" s="9">
        <v>2.3999999999999998E-3</v>
      </c>
      <c r="BQ292" s="9">
        <f t="shared" si="131"/>
        <v>1.6411199999999959</v>
      </c>
      <c r="BR292" s="9">
        <v>1.2200000000000001E-2</v>
      </c>
      <c r="BS292" s="9">
        <f t="shared" si="132"/>
        <v>8.3423599999999798</v>
      </c>
      <c r="BT292" s="9">
        <f t="shared" si="133"/>
        <v>7.2354327999999981</v>
      </c>
      <c r="BU292" s="9">
        <f t="shared" si="134"/>
        <v>36.189227733333318</v>
      </c>
      <c r="BV292" s="9">
        <f t="shared" si="135"/>
        <v>338.81343279999999</v>
      </c>
      <c r="BW292">
        <f t="shared" si="136"/>
        <v>338.81343279999999</v>
      </c>
      <c r="BX292">
        <v>0</v>
      </c>
      <c r="BY292">
        <f t="shared" si="137"/>
        <v>1676.2250277333333</v>
      </c>
      <c r="BZ292">
        <v>2152.7282399999999</v>
      </c>
      <c r="CA292">
        <f t="shared" si="138"/>
        <v>4774.7143271999994</v>
      </c>
      <c r="CB292">
        <f t="shared" si="139"/>
        <v>8942.4810277333327</v>
      </c>
      <c r="CC292">
        <v>0</v>
      </c>
      <c r="CD292">
        <v>0</v>
      </c>
      <c r="CE292">
        <f t="shared" si="140"/>
        <v>0</v>
      </c>
      <c r="CF292">
        <f t="shared" si="141"/>
        <v>7266.2559999999994</v>
      </c>
      <c r="CG292">
        <f t="shared" si="142"/>
        <v>4774.7143271999994</v>
      </c>
      <c r="CH292">
        <f t="shared" si="143"/>
        <v>0</v>
      </c>
      <c r="CJ292" t="s">
        <v>278</v>
      </c>
      <c r="CL292" t="str">
        <f t="shared" si="144"/>
        <v/>
      </c>
    </row>
    <row r="293" spans="1:90" x14ac:dyDescent="0.25">
      <c r="A293" t="s">
        <v>134</v>
      </c>
      <c r="B293" t="s">
        <v>185</v>
      </c>
      <c r="C293" s="1">
        <v>46266</v>
      </c>
      <c r="D293" t="s">
        <v>174</v>
      </c>
      <c r="E293" t="s">
        <v>175</v>
      </c>
      <c r="F293" s="4">
        <v>1</v>
      </c>
      <c r="G293" s="4">
        <v>0.6</v>
      </c>
      <c r="H293" s="9">
        <v>7266.2560000000003</v>
      </c>
      <c r="I293" s="9">
        <v>1211.0426666666667</v>
      </c>
      <c r="J293" s="9">
        <f t="shared" si="116"/>
        <v>8477.2986666666675</v>
      </c>
      <c r="K293" s="9">
        <v>0</v>
      </c>
      <c r="L293" s="9">
        <f t="shared" si="117"/>
        <v>0</v>
      </c>
      <c r="M293">
        <v>0</v>
      </c>
      <c r="N293" s="4">
        <f t="shared" si="118"/>
        <v>0</v>
      </c>
      <c r="O293" s="9">
        <v>4541.41</v>
      </c>
      <c r="P293" s="9">
        <v>2724.846</v>
      </c>
      <c r="Q293" s="9">
        <v>0</v>
      </c>
      <c r="R293" s="9">
        <v>0</v>
      </c>
      <c r="S293" s="9">
        <v>0</v>
      </c>
      <c r="T293" s="9">
        <v>0</v>
      </c>
      <c r="U293" s="9">
        <v>0</v>
      </c>
      <c r="V293" s="9">
        <v>0</v>
      </c>
      <c r="W293" s="9">
        <f t="shared" si="119"/>
        <v>7266.2559999999994</v>
      </c>
      <c r="X293" s="9">
        <v>1211.0426666666667</v>
      </c>
      <c r="Y293" s="9">
        <v>0</v>
      </c>
      <c r="Z293" s="9">
        <v>8477.2986666666657</v>
      </c>
      <c r="AA293" s="9">
        <v>0</v>
      </c>
      <c r="AB293" s="9">
        <f t="shared" si="120"/>
        <v>8477.2986666666657</v>
      </c>
      <c r="AC293" s="9">
        <v>5101.2</v>
      </c>
      <c r="AD293" s="9">
        <v>0</v>
      </c>
      <c r="AE293" s="9">
        <v>7266.2559999999994</v>
      </c>
      <c r="AF293" s="9">
        <v>239.75639999999999</v>
      </c>
      <c r="AG293" s="9">
        <v>1203.8832</v>
      </c>
      <c r="AH293" s="9">
        <v>79.068600000000004</v>
      </c>
      <c r="AI293" s="9">
        <v>280.56599999999997</v>
      </c>
      <c r="AJ293" s="9">
        <v>10.202399999999999</v>
      </c>
      <c r="AK293" s="9">
        <v>5.1011999999999995</v>
      </c>
      <c r="AL293" s="9">
        <v>30.607199999999999</v>
      </c>
      <c r="AM293" s="9">
        <v>7.6517999999999997</v>
      </c>
      <c r="AN293" s="9">
        <v>38.259</v>
      </c>
      <c r="AO293" s="9">
        <v>76.518000000000001</v>
      </c>
      <c r="AP293" s="9">
        <v>510.11999999999989</v>
      </c>
      <c r="AQ293" s="25">
        <v>1.9E-3</v>
      </c>
      <c r="AR293" s="9">
        <f t="shared" si="121"/>
        <v>0.96922799999999976</v>
      </c>
      <c r="AS293" s="25">
        <v>9.5999999999999992E-3</v>
      </c>
      <c r="AT293" s="9">
        <f t="shared" si="122"/>
        <v>4.8971519999999984</v>
      </c>
      <c r="AU293" s="9">
        <v>2040.4800000000005</v>
      </c>
      <c r="AV293" s="25">
        <v>2.0999999999999999E-3</v>
      </c>
      <c r="AW293" s="9">
        <f t="shared" si="123"/>
        <v>4.2850080000000004</v>
      </c>
      <c r="AX293" s="25">
        <v>1.04E-2</v>
      </c>
      <c r="AY293" s="9">
        <f t="shared" si="124"/>
        <v>21.220992000000003</v>
      </c>
      <c r="AZ293" s="9">
        <v>825.49866666666549</v>
      </c>
      <c r="BA293" s="25">
        <v>2.3999999999999998E-3</v>
      </c>
      <c r="BB293" s="9">
        <f t="shared" si="125"/>
        <v>1.9811967999999971</v>
      </c>
      <c r="BC293" s="25">
        <v>1.2200000000000001E-2</v>
      </c>
      <c r="BD293" s="9">
        <f t="shared" si="126"/>
        <v>10.071083733333319</v>
      </c>
      <c r="BE293" s="9">
        <v>510.11999999999989</v>
      </c>
      <c r="BF293" s="9">
        <v>1.9E-3</v>
      </c>
      <c r="BG293" s="9">
        <f t="shared" si="127"/>
        <v>0.96922799999999976</v>
      </c>
      <c r="BH293" s="9">
        <v>9.5999999999999992E-3</v>
      </c>
      <c r="BI293" s="9">
        <f t="shared" si="128"/>
        <v>4.8971519999999984</v>
      </c>
      <c r="BJ293" s="9">
        <v>2040.4800000000005</v>
      </c>
      <c r="BK293" s="9">
        <v>2.0999999999999999E-3</v>
      </c>
      <c r="BL293" s="9">
        <f t="shared" si="129"/>
        <v>4.2850080000000004</v>
      </c>
      <c r="BM293" s="9">
        <v>1.04E-2</v>
      </c>
      <c r="BN293" s="9">
        <f t="shared" si="130"/>
        <v>21.220992000000003</v>
      </c>
      <c r="BO293" s="9">
        <v>683.79999999999836</v>
      </c>
      <c r="BP293" s="9">
        <v>2.3999999999999998E-3</v>
      </c>
      <c r="BQ293" s="9">
        <f t="shared" si="131"/>
        <v>1.6411199999999959</v>
      </c>
      <c r="BR293" s="9">
        <v>1.2200000000000001E-2</v>
      </c>
      <c r="BS293" s="9">
        <f t="shared" si="132"/>
        <v>8.3423599999999798</v>
      </c>
      <c r="BT293" s="9">
        <f t="shared" si="133"/>
        <v>7.2354327999999981</v>
      </c>
      <c r="BU293" s="9">
        <f t="shared" si="134"/>
        <v>36.189227733333318</v>
      </c>
      <c r="BV293" s="9">
        <f t="shared" si="135"/>
        <v>338.81343279999999</v>
      </c>
      <c r="BW293">
        <f t="shared" si="136"/>
        <v>338.81343279999999</v>
      </c>
      <c r="BX293">
        <v>0</v>
      </c>
      <c r="BY293">
        <f t="shared" si="137"/>
        <v>1676.2250277333333</v>
      </c>
      <c r="BZ293">
        <v>2152.7282399999999</v>
      </c>
      <c r="CA293">
        <f t="shared" si="138"/>
        <v>4774.7143271999994</v>
      </c>
      <c r="CB293">
        <f t="shared" si="139"/>
        <v>8942.4810277333327</v>
      </c>
      <c r="CC293">
        <v>0</v>
      </c>
      <c r="CD293">
        <v>0</v>
      </c>
      <c r="CE293">
        <f t="shared" si="140"/>
        <v>0</v>
      </c>
      <c r="CF293">
        <f t="shared" si="141"/>
        <v>7266.2559999999994</v>
      </c>
      <c r="CG293">
        <f t="shared" si="142"/>
        <v>4774.7143271999994</v>
      </c>
      <c r="CH293">
        <f t="shared" si="143"/>
        <v>0</v>
      </c>
      <c r="CJ293" t="s">
        <v>278</v>
      </c>
      <c r="CL293" t="str">
        <f t="shared" si="144"/>
        <v/>
      </c>
    </row>
    <row r="294" spans="1:90" x14ac:dyDescent="0.25">
      <c r="A294" t="s">
        <v>134</v>
      </c>
      <c r="B294" t="s">
        <v>186</v>
      </c>
      <c r="C294" s="1">
        <v>46296</v>
      </c>
      <c r="D294" t="s">
        <v>174</v>
      </c>
      <c r="E294" t="s">
        <v>175</v>
      </c>
      <c r="F294" s="4">
        <v>1</v>
      </c>
      <c r="G294" s="4">
        <v>0.6</v>
      </c>
      <c r="H294" s="9">
        <v>7266.2560000000003</v>
      </c>
      <c r="I294" s="9">
        <v>1211.0426666666667</v>
      </c>
      <c r="J294" s="9">
        <f t="shared" si="116"/>
        <v>8477.2986666666675</v>
      </c>
      <c r="K294" s="9">
        <v>0</v>
      </c>
      <c r="L294" s="9">
        <f t="shared" si="117"/>
        <v>0</v>
      </c>
      <c r="M294">
        <v>0</v>
      </c>
      <c r="N294" s="4">
        <f t="shared" si="118"/>
        <v>0</v>
      </c>
      <c r="O294" s="9">
        <v>4541.41</v>
      </c>
      <c r="P294" s="9">
        <v>2724.846</v>
      </c>
      <c r="Q294" s="9">
        <v>0</v>
      </c>
      <c r="R294" s="9">
        <v>0</v>
      </c>
      <c r="S294" s="9">
        <v>0</v>
      </c>
      <c r="T294" s="9">
        <v>0</v>
      </c>
      <c r="U294" s="9">
        <v>0</v>
      </c>
      <c r="V294" s="9">
        <v>0</v>
      </c>
      <c r="W294" s="9">
        <f t="shared" si="119"/>
        <v>7266.2559999999994</v>
      </c>
      <c r="X294" s="9">
        <v>1211.0426666666667</v>
      </c>
      <c r="Y294" s="9">
        <v>0</v>
      </c>
      <c r="Z294" s="9">
        <v>8477.2986666666657</v>
      </c>
      <c r="AA294" s="9">
        <v>0</v>
      </c>
      <c r="AB294" s="9">
        <f t="shared" si="120"/>
        <v>8477.2986666666657</v>
      </c>
      <c r="AC294" s="9">
        <v>5101.2</v>
      </c>
      <c r="AD294" s="9">
        <v>0</v>
      </c>
      <c r="AE294" s="9">
        <v>7266.2559999999994</v>
      </c>
      <c r="AF294" s="9">
        <v>239.75639999999999</v>
      </c>
      <c r="AG294" s="9">
        <v>1203.8832</v>
      </c>
      <c r="AH294" s="9">
        <v>79.068600000000004</v>
      </c>
      <c r="AI294" s="9">
        <v>280.56599999999997</v>
      </c>
      <c r="AJ294" s="9">
        <v>10.202399999999999</v>
      </c>
      <c r="AK294" s="9">
        <v>5.1011999999999995</v>
      </c>
      <c r="AL294" s="9">
        <v>30.607199999999999</v>
      </c>
      <c r="AM294" s="9">
        <v>7.6517999999999997</v>
      </c>
      <c r="AN294" s="9">
        <v>38.259</v>
      </c>
      <c r="AO294" s="9">
        <v>76.518000000000001</v>
      </c>
      <c r="AP294" s="9">
        <v>510.11999999999989</v>
      </c>
      <c r="AQ294" s="25">
        <v>1.9E-3</v>
      </c>
      <c r="AR294" s="9">
        <f t="shared" si="121"/>
        <v>0.96922799999999976</v>
      </c>
      <c r="AS294" s="25">
        <v>9.5999999999999992E-3</v>
      </c>
      <c r="AT294" s="9">
        <f t="shared" si="122"/>
        <v>4.8971519999999984</v>
      </c>
      <c r="AU294" s="9">
        <v>2040.4800000000005</v>
      </c>
      <c r="AV294" s="25">
        <v>2.0999999999999999E-3</v>
      </c>
      <c r="AW294" s="9">
        <f t="shared" si="123"/>
        <v>4.2850080000000004</v>
      </c>
      <c r="AX294" s="25">
        <v>1.04E-2</v>
      </c>
      <c r="AY294" s="9">
        <f t="shared" si="124"/>
        <v>21.220992000000003</v>
      </c>
      <c r="AZ294" s="9">
        <v>825.49866666666549</v>
      </c>
      <c r="BA294" s="25">
        <v>2.3999999999999998E-3</v>
      </c>
      <c r="BB294" s="9">
        <f t="shared" si="125"/>
        <v>1.9811967999999971</v>
      </c>
      <c r="BC294" s="25">
        <v>1.2200000000000001E-2</v>
      </c>
      <c r="BD294" s="9">
        <f t="shared" si="126"/>
        <v>10.071083733333319</v>
      </c>
      <c r="BE294" s="9">
        <v>510.11999999999989</v>
      </c>
      <c r="BF294" s="9">
        <v>1.9E-3</v>
      </c>
      <c r="BG294" s="9">
        <f t="shared" si="127"/>
        <v>0.96922799999999976</v>
      </c>
      <c r="BH294" s="9">
        <v>9.5999999999999992E-3</v>
      </c>
      <c r="BI294" s="9">
        <f t="shared" si="128"/>
        <v>4.8971519999999984</v>
      </c>
      <c r="BJ294" s="9">
        <v>2040.4800000000005</v>
      </c>
      <c r="BK294" s="9">
        <v>2.0999999999999999E-3</v>
      </c>
      <c r="BL294" s="9">
        <f t="shared" si="129"/>
        <v>4.2850080000000004</v>
      </c>
      <c r="BM294" s="9">
        <v>1.04E-2</v>
      </c>
      <c r="BN294" s="9">
        <f t="shared" si="130"/>
        <v>21.220992000000003</v>
      </c>
      <c r="BO294" s="9">
        <v>683.79999999999836</v>
      </c>
      <c r="BP294" s="9">
        <v>2.3999999999999998E-3</v>
      </c>
      <c r="BQ294" s="9">
        <f t="shared" si="131"/>
        <v>1.6411199999999959</v>
      </c>
      <c r="BR294" s="9">
        <v>1.2200000000000001E-2</v>
      </c>
      <c r="BS294" s="9">
        <f t="shared" si="132"/>
        <v>8.3423599999999798</v>
      </c>
      <c r="BT294" s="9">
        <f t="shared" si="133"/>
        <v>7.2354327999999981</v>
      </c>
      <c r="BU294" s="9">
        <f t="shared" si="134"/>
        <v>36.189227733333318</v>
      </c>
      <c r="BV294" s="9">
        <f t="shared" si="135"/>
        <v>338.81343279999999</v>
      </c>
      <c r="BW294">
        <f t="shared" si="136"/>
        <v>338.81343279999999</v>
      </c>
      <c r="BX294">
        <v>0</v>
      </c>
      <c r="BY294">
        <f t="shared" si="137"/>
        <v>1676.2250277333333</v>
      </c>
      <c r="BZ294">
        <v>2152.7282399999999</v>
      </c>
      <c r="CA294">
        <f t="shared" si="138"/>
        <v>4774.7143271999994</v>
      </c>
      <c r="CB294">
        <f t="shared" si="139"/>
        <v>8942.4810277333327</v>
      </c>
      <c r="CC294">
        <v>0</v>
      </c>
      <c r="CD294">
        <v>0</v>
      </c>
      <c r="CE294">
        <f t="shared" si="140"/>
        <v>0</v>
      </c>
      <c r="CF294">
        <f t="shared" si="141"/>
        <v>7266.2559999999994</v>
      </c>
      <c r="CG294">
        <f t="shared" si="142"/>
        <v>4774.7143271999994</v>
      </c>
      <c r="CH294">
        <f t="shared" si="143"/>
        <v>0</v>
      </c>
      <c r="CJ294" t="s">
        <v>278</v>
      </c>
      <c r="CL294" t="str">
        <f t="shared" si="144"/>
        <v/>
      </c>
    </row>
    <row r="295" spans="1:90" x14ac:dyDescent="0.25">
      <c r="A295" t="s">
        <v>134</v>
      </c>
      <c r="B295" t="s">
        <v>187</v>
      </c>
      <c r="C295" s="1">
        <v>46327</v>
      </c>
      <c r="D295" t="s">
        <v>174</v>
      </c>
      <c r="E295" t="s">
        <v>175</v>
      </c>
      <c r="F295" s="4">
        <v>1</v>
      </c>
      <c r="G295" s="4">
        <v>0.6</v>
      </c>
      <c r="H295" s="9">
        <v>7266.2560000000003</v>
      </c>
      <c r="I295" s="9">
        <v>1211.0426666666667</v>
      </c>
      <c r="J295" s="9">
        <f t="shared" si="116"/>
        <v>8477.2986666666675</v>
      </c>
      <c r="K295" s="9">
        <v>0</v>
      </c>
      <c r="L295" s="9">
        <f t="shared" si="117"/>
        <v>0</v>
      </c>
      <c r="M295">
        <v>0</v>
      </c>
      <c r="N295" s="4">
        <f t="shared" si="118"/>
        <v>0</v>
      </c>
      <c r="O295" s="9">
        <v>4541.41</v>
      </c>
      <c r="P295" s="9">
        <v>2724.846</v>
      </c>
      <c r="Q295" s="9">
        <v>0</v>
      </c>
      <c r="R295" s="9">
        <v>0</v>
      </c>
      <c r="S295" s="9">
        <v>0</v>
      </c>
      <c r="T295" s="9">
        <v>0</v>
      </c>
      <c r="U295" s="9">
        <v>0</v>
      </c>
      <c r="V295" s="9">
        <v>0</v>
      </c>
      <c r="W295" s="9">
        <f t="shared" si="119"/>
        <v>7266.2559999999994</v>
      </c>
      <c r="X295" s="9">
        <v>1211.0426666666667</v>
      </c>
      <c r="Y295" s="9">
        <v>0</v>
      </c>
      <c r="Z295" s="9">
        <v>8477.2986666666657</v>
      </c>
      <c r="AA295" s="9">
        <v>0</v>
      </c>
      <c r="AB295" s="9">
        <f t="shared" si="120"/>
        <v>8477.2986666666657</v>
      </c>
      <c r="AC295" s="9">
        <v>5101.2</v>
      </c>
      <c r="AD295" s="9">
        <v>0</v>
      </c>
      <c r="AE295" s="9">
        <v>7266.2559999999994</v>
      </c>
      <c r="AF295" s="9">
        <v>239.75639999999999</v>
      </c>
      <c r="AG295" s="9">
        <v>1203.8832</v>
      </c>
      <c r="AH295" s="9">
        <v>79.068600000000004</v>
      </c>
      <c r="AI295" s="9">
        <v>280.56599999999997</v>
      </c>
      <c r="AJ295" s="9">
        <v>10.202399999999999</v>
      </c>
      <c r="AK295" s="9">
        <v>5.1011999999999995</v>
      </c>
      <c r="AL295" s="9">
        <v>30.607199999999999</v>
      </c>
      <c r="AM295" s="9">
        <v>7.6517999999999997</v>
      </c>
      <c r="AN295" s="9">
        <v>38.259</v>
      </c>
      <c r="AO295" s="9">
        <v>76.518000000000001</v>
      </c>
      <c r="AP295" s="9">
        <v>510.11999999999989</v>
      </c>
      <c r="AQ295" s="25">
        <v>1.9E-3</v>
      </c>
      <c r="AR295" s="9">
        <f t="shared" si="121"/>
        <v>0.96922799999999976</v>
      </c>
      <c r="AS295" s="25">
        <v>9.5999999999999992E-3</v>
      </c>
      <c r="AT295" s="9">
        <f t="shared" si="122"/>
        <v>4.8971519999999984</v>
      </c>
      <c r="AU295" s="9">
        <v>2040.4800000000005</v>
      </c>
      <c r="AV295" s="25">
        <v>2.0999999999999999E-3</v>
      </c>
      <c r="AW295" s="9">
        <f t="shared" si="123"/>
        <v>4.2850080000000004</v>
      </c>
      <c r="AX295" s="25">
        <v>1.04E-2</v>
      </c>
      <c r="AY295" s="9">
        <f t="shared" si="124"/>
        <v>21.220992000000003</v>
      </c>
      <c r="AZ295" s="9">
        <v>825.49866666666549</v>
      </c>
      <c r="BA295" s="25">
        <v>2.3999999999999998E-3</v>
      </c>
      <c r="BB295" s="9">
        <f t="shared" si="125"/>
        <v>1.9811967999999971</v>
      </c>
      <c r="BC295" s="25">
        <v>1.2200000000000001E-2</v>
      </c>
      <c r="BD295" s="9">
        <f t="shared" si="126"/>
        <v>10.071083733333319</v>
      </c>
      <c r="BE295" s="9">
        <v>510.11999999999989</v>
      </c>
      <c r="BF295" s="9">
        <v>1.9E-3</v>
      </c>
      <c r="BG295" s="9">
        <f t="shared" si="127"/>
        <v>0.96922799999999976</v>
      </c>
      <c r="BH295" s="9">
        <v>9.5999999999999992E-3</v>
      </c>
      <c r="BI295" s="9">
        <f t="shared" si="128"/>
        <v>4.8971519999999984</v>
      </c>
      <c r="BJ295" s="9">
        <v>2040.4800000000005</v>
      </c>
      <c r="BK295" s="9">
        <v>2.0999999999999999E-3</v>
      </c>
      <c r="BL295" s="9">
        <f t="shared" si="129"/>
        <v>4.2850080000000004</v>
      </c>
      <c r="BM295" s="9">
        <v>1.04E-2</v>
      </c>
      <c r="BN295" s="9">
        <f t="shared" si="130"/>
        <v>21.220992000000003</v>
      </c>
      <c r="BO295" s="9">
        <v>683.79999999999836</v>
      </c>
      <c r="BP295" s="9">
        <v>2.3999999999999998E-3</v>
      </c>
      <c r="BQ295" s="9">
        <f t="shared" si="131"/>
        <v>1.6411199999999959</v>
      </c>
      <c r="BR295" s="9">
        <v>1.2200000000000001E-2</v>
      </c>
      <c r="BS295" s="9">
        <f t="shared" si="132"/>
        <v>8.3423599999999798</v>
      </c>
      <c r="BT295" s="9">
        <f t="shared" si="133"/>
        <v>7.2354327999999981</v>
      </c>
      <c r="BU295" s="9">
        <f t="shared" si="134"/>
        <v>36.189227733333318</v>
      </c>
      <c r="BV295" s="9">
        <f t="shared" si="135"/>
        <v>338.81343279999999</v>
      </c>
      <c r="BW295">
        <f t="shared" si="136"/>
        <v>338.81343279999999</v>
      </c>
      <c r="BX295">
        <v>0</v>
      </c>
      <c r="BY295">
        <f t="shared" si="137"/>
        <v>1676.2250277333333</v>
      </c>
      <c r="BZ295">
        <v>2152.7282399999999</v>
      </c>
      <c r="CA295">
        <f t="shared" si="138"/>
        <v>4774.7143271999994</v>
      </c>
      <c r="CB295">
        <f t="shared" si="139"/>
        <v>8942.4810277333327</v>
      </c>
      <c r="CC295">
        <v>0</v>
      </c>
      <c r="CD295">
        <v>0</v>
      </c>
      <c r="CE295">
        <f t="shared" si="140"/>
        <v>0</v>
      </c>
      <c r="CF295">
        <f t="shared" si="141"/>
        <v>7266.2559999999994</v>
      </c>
      <c r="CG295">
        <f t="shared" si="142"/>
        <v>4774.7143271999994</v>
      </c>
      <c r="CH295">
        <f t="shared" si="143"/>
        <v>0</v>
      </c>
      <c r="CJ295" t="s">
        <v>278</v>
      </c>
      <c r="CL295" t="str">
        <f t="shared" si="144"/>
        <v/>
      </c>
    </row>
    <row r="296" spans="1:90" x14ac:dyDescent="0.25">
      <c r="A296" t="s">
        <v>134</v>
      </c>
      <c r="B296" t="s">
        <v>188</v>
      </c>
      <c r="C296" s="1">
        <v>46357</v>
      </c>
      <c r="D296" t="s">
        <v>182</v>
      </c>
      <c r="E296" t="s">
        <v>175</v>
      </c>
      <c r="F296" s="4">
        <v>1</v>
      </c>
      <c r="G296" s="4">
        <v>0.6</v>
      </c>
      <c r="H296" s="9">
        <v>7266.2560000000003</v>
      </c>
      <c r="I296" s="9">
        <v>1211.0426666666667</v>
      </c>
      <c r="J296" s="9">
        <f t="shared" si="116"/>
        <v>8477.2986666666675</v>
      </c>
      <c r="K296" s="9">
        <v>0</v>
      </c>
      <c r="L296" s="9">
        <f t="shared" si="117"/>
        <v>0</v>
      </c>
      <c r="M296">
        <v>0</v>
      </c>
      <c r="N296" s="4">
        <f t="shared" si="118"/>
        <v>0</v>
      </c>
      <c r="O296" s="9">
        <v>4541.41</v>
      </c>
      <c r="P296" s="9">
        <v>2724.846</v>
      </c>
      <c r="Q296" s="9">
        <v>0</v>
      </c>
      <c r="R296" s="9">
        <v>0</v>
      </c>
      <c r="S296" s="9">
        <v>0</v>
      </c>
      <c r="T296" s="9">
        <v>0</v>
      </c>
      <c r="U296" s="9">
        <v>0</v>
      </c>
      <c r="V296" s="9">
        <v>0</v>
      </c>
      <c r="W296" s="9">
        <f t="shared" si="119"/>
        <v>7266.2559999999994</v>
      </c>
      <c r="X296" s="9">
        <v>0</v>
      </c>
      <c r="Y296" s="9">
        <v>0</v>
      </c>
      <c r="Z296" s="9">
        <v>0</v>
      </c>
      <c r="AA296" s="9">
        <v>0</v>
      </c>
      <c r="AB296" s="9">
        <f t="shared" si="120"/>
        <v>0</v>
      </c>
      <c r="AC296" s="9">
        <v>0</v>
      </c>
      <c r="AD296" s="9">
        <v>0</v>
      </c>
      <c r="AE296" s="9">
        <v>7266.2559999999994</v>
      </c>
      <c r="AF296" s="9">
        <v>0</v>
      </c>
      <c r="AG296" s="9">
        <v>0</v>
      </c>
      <c r="AH296" s="9">
        <v>0</v>
      </c>
      <c r="AI296" s="9">
        <v>0</v>
      </c>
      <c r="AJ296" s="9">
        <v>0</v>
      </c>
      <c r="AK296" s="9">
        <v>0</v>
      </c>
      <c r="AL296" s="9">
        <v>0</v>
      </c>
      <c r="AM296" s="9">
        <v>0</v>
      </c>
      <c r="AN296" s="9">
        <v>0</v>
      </c>
      <c r="AO296" s="9">
        <v>0</v>
      </c>
      <c r="AP296" s="9">
        <v>0</v>
      </c>
      <c r="AQ296" s="25">
        <v>0</v>
      </c>
      <c r="AR296" s="9">
        <f t="shared" si="121"/>
        <v>0</v>
      </c>
      <c r="AS296" s="25">
        <v>0</v>
      </c>
      <c r="AT296" s="9">
        <f t="shared" si="122"/>
        <v>0</v>
      </c>
      <c r="AU296" s="9">
        <v>0</v>
      </c>
      <c r="AV296" s="25">
        <v>0</v>
      </c>
      <c r="AW296" s="9">
        <f t="shared" si="123"/>
        <v>0</v>
      </c>
      <c r="AX296" s="25">
        <v>0</v>
      </c>
      <c r="AY296" s="9">
        <f t="shared" si="124"/>
        <v>0</v>
      </c>
      <c r="AZ296" s="9">
        <v>0</v>
      </c>
      <c r="BA296" s="25">
        <v>0</v>
      </c>
      <c r="BB296" s="9">
        <f t="shared" si="125"/>
        <v>0</v>
      </c>
      <c r="BC296" s="25">
        <v>0</v>
      </c>
      <c r="BD296" s="9">
        <f t="shared" si="126"/>
        <v>0</v>
      </c>
      <c r="BE296" s="9">
        <v>0</v>
      </c>
      <c r="BF296" s="9">
        <v>0</v>
      </c>
      <c r="BG296" s="9">
        <f t="shared" si="127"/>
        <v>0</v>
      </c>
      <c r="BH296" s="9">
        <v>0</v>
      </c>
      <c r="BI296" s="9">
        <f t="shared" si="128"/>
        <v>0</v>
      </c>
      <c r="BJ296" s="9">
        <v>0</v>
      </c>
      <c r="BK296" s="9">
        <v>0</v>
      </c>
      <c r="BL296" s="9">
        <f t="shared" si="129"/>
        <v>0</v>
      </c>
      <c r="BM296" s="9">
        <v>0</v>
      </c>
      <c r="BN296" s="9">
        <f t="shared" si="130"/>
        <v>0</v>
      </c>
      <c r="BO296" s="9">
        <v>0</v>
      </c>
      <c r="BP296" s="9">
        <v>0</v>
      </c>
      <c r="BQ296" s="9">
        <f t="shared" si="131"/>
        <v>0</v>
      </c>
      <c r="BR296" s="9">
        <v>0</v>
      </c>
      <c r="BS296" s="9">
        <f t="shared" si="132"/>
        <v>0</v>
      </c>
      <c r="BT296" s="9">
        <f t="shared" si="133"/>
        <v>0</v>
      </c>
      <c r="BU296" s="9">
        <f t="shared" si="134"/>
        <v>0</v>
      </c>
      <c r="BV296" s="9">
        <f t="shared" si="135"/>
        <v>0</v>
      </c>
      <c r="BW296">
        <f t="shared" si="136"/>
        <v>0</v>
      </c>
      <c r="BX296">
        <v>0</v>
      </c>
      <c r="BY296">
        <f t="shared" si="137"/>
        <v>0</v>
      </c>
      <c r="BZ296">
        <v>2152.7282400000004</v>
      </c>
      <c r="CA296">
        <f t="shared" si="138"/>
        <v>5113.527759999999</v>
      </c>
      <c r="CB296">
        <f t="shared" si="139"/>
        <v>7266.2559999999994</v>
      </c>
      <c r="CC296">
        <v>0</v>
      </c>
      <c r="CD296">
        <v>0</v>
      </c>
      <c r="CE296">
        <f t="shared" si="140"/>
        <v>0</v>
      </c>
      <c r="CF296">
        <f t="shared" si="141"/>
        <v>7266.2559999999994</v>
      </c>
      <c r="CG296">
        <f t="shared" si="142"/>
        <v>5113.527759999999</v>
      </c>
      <c r="CH296">
        <f t="shared" si="143"/>
        <v>0</v>
      </c>
      <c r="CJ296" t="s">
        <v>278</v>
      </c>
      <c r="CL296" t="str">
        <f t="shared" si="144"/>
        <v/>
      </c>
    </row>
    <row r="297" spans="1:90" x14ac:dyDescent="0.25">
      <c r="A297" t="s">
        <v>134</v>
      </c>
      <c r="B297" t="s">
        <v>189</v>
      </c>
      <c r="C297" s="1">
        <v>46357</v>
      </c>
      <c r="D297" t="s">
        <v>174</v>
      </c>
      <c r="E297" t="s">
        <v>175</v>
      </c>
      <c r="F297" s="4">
        <v>1</v>
      </c>
      <c r="G297" s="4">
        <v>0.6</v>
      </c>
      <c r="H297" s="9">
        <v>7266.2560000000003</v>
      </c>
      <c r="I297" s="9">
        <v>1211.0426666666667</v>
      </c>
      <c r="J297" s="9">
        <f t="shared" si="116"/>
        <v>8477.2986666666675</v>
      </c>
      <c r="K297" s="9">
        <v>0</v>
      </c>
      <c r="L297" s="9">
        <f t="shared" si="117"/>
        <v>0</v>
      </c>
      <c r="M297">
        <v>0</v>
      </c>
      <c r="N297" s="4">
        <f t="shared" si="118"/>
        <v>0</v>
      </c>
      <c r="O297" s="9">
        <v>4541.41</v>
      </c>
      <c r="P297" s="9">
        <v>2724.846</v>
      </c>
      <c r="Q297" s="9">
        <v>0</v>
      </c>
      <c r="R297" s="9">
        <v>0</v>
      </c>
      <c r="S297" s="9">
        <v>0</v>
      </c>
      <c r="T297" s="9">
        <v>0</v>
      </c>
      <c r="U297" s="9">
        <v>0</v>
      </c>
      <c r="V297" s="9">
        <v>0</v>
      </c>
      <c r="W297" s="9">
        <f t="shared" si="119"/>
        <v>7266.2559999999994</v>
      </c>
      <c r="X297" s="9">
        <v>1211.0426666666667</v>
      </c>
      <c r="Y297" s="9">
        <v>0</v>
      </c>
      <c r="Z297" s="9">
        <v>8477.2986666666657</v>
      </c>
      <c r="AA297" s="9">
        <v>0</v>
      </c>
      <c r="AB297" s="9">
        <f t="shared" si="120"/>
        <v>8477.2986666666657</v>
      </c>
      <c r="AC297" s="9">
        <v>5101.2</v>
      </c>
      <c r="AD297" s="9">
        <v>0</v>
      </c>
      <c r="AE297" s="9">
        <v>7266.2559999999994</v>
      </c>
      <c r="AF297" s="9">
        <v>239.75639999999999</v>
      </c>
      <c r="AG297" s="9">
        <v>1203.8832</v>
      </c>
      <c r="AH297" s="9">
        <v>79.068600000000004</v>
      </c>
      <c r="AI297" s="9">
        <v>280.56599999999997</v>
      </c>
      <c r="AJ297" s="9">
        <v>10.202399999999999</v>
      </c>
      <c r="AK297" s="9">
        <v>5.1011999999999995</v>
      </c>
      <c r="AL297" s="9">
        <v>30.607199999999999</v>
      </c>
      <c r="AM297" s="9">
        <v>7.6517999999999997</v>
      </c>
      <c r="AN297" s="9">
        <v>38.259</v>
      </c>
      <c r="AO297" s="9">
        <v>76.518000000000001</v>
      </c>
      <c r="AP297" s="9">
        <v>510.11999999999989</v>
      </c>
      <c r="AQ297" s="25">
        <v>1.9E-3</v>
      </c>
      <c r="AR297" s="9">
        <f t="shared" si="121"/>
        <v>0.96922799999999976</v>
      </c>
      <c r="AS297" s="25">
        <v>9.5999999999999992E-3</v>
      </c>
      <c r="AT297" s="9">
        <f t="shared" si="122"/>
        <v>4.8971519999999984</v>
      </c>
      <c r="AU297" s="9">
        <v>2040.4800000000005</v>
      </c>
      <c r="AV297" s="25">
        <v>2.0999999999999999E-3</v>
      </c>
      <c r="AW297" s="9">
        <f t="shared" si="123"/>
        <v>4.2850080000000004</v>
      </c>
      <c r="AX297" s="25">
        <v>1.04E-2</v>
      </c>
      <c r="AY297" s="9">
        <f t="shared" si="124"/>
        <v>21.220992000000003</v>
      </c>
      <c r="AZ297" s="9">
        <v>825.49866666666549</v>
      </c>
      <c r="BA297" s="25">
        <v>2.3999999999999998E-3</v>
      </c>
      <c r="BB297" s="9">
        <f t="shared" si="125"/>
        <v>1.9811967999999971</v>
      </c>
      <c r="BC297" s="25">
        <v>1.2200000000000001E-2</v>
      </c>
      <c r="BD297" s="9">
        <f t="shared" si="126"/>
        <v>10.071083733333319</v>
      </c>
      <c r="BE297" s="9">
        <v>510.11999999999989</v>
      </c>
      <c r="BF297" s="9">
        <v>1.9E-3</v>
      </c>
      <c r="BG297" s="9">
        <f t="shared" si="127"/>
        <v>0.96922799999999976</v>
      </c>
      <c r="BH297" s="9">
        <v>9.5999999999999992E-3</v>
      </c>
      <c r="BI297" s="9">
        <f t="shared" si="128"/>
        <v>4.8971519999999984</v>
      </c>
      <c r="BJ297" s="9">
        <v>2040.4800000000005</v>
      </c>
      <c r="BK297" s="9">
        <v>2.0999999999999999E-3</v>
      </c>
      <c r="BL297" s="9">
        <f t="shared" si="129"/>
        <v>4.2850080000000004</v>
      </c>
      <c r="BM297" s="9">
        <v>1.04E-2</v>
      </c>
      <c r="BN297" s="9">
        <f t="shared" si="130"/>
        <v>21.220992000000003</v>
      </c>
      <c r="BO297" s="9">
        <v>683.79999999999836</v>
      </c>
      <c r="BP297" s="9">
        <v>2.3999999999999998E-3</v>
      </c>
      <c r="BQ297" s="9">
        <f t="shared" si="131"/>
        <v>1.6411199999999959</v>
      </c>
      <c r="BR297" s="9">
        <v>1.2200000000000001E-2</v>
      </c>
      <c r="BS297" s="9">
        <f t="shared" si="132"/>
        <v>8.3423599999999798</v>
      </c>
      <c r="BT297" s="9">
        <f t="shared" si="133"/>
        <v>7.2354327999999981</v>
      </c>
      <c r="BU297" s="9">
        <f t="shared" si="134"/>
        <v>36.189227733333318</v>
      </c>
      <c r="BV297" s="9">
        <f t="shared" si="135"/>
        <v>338.81343279999999</v>
      </c>
      <c r="BW297">
        <f t="shared" si="136"/>
        <v>338.81343279999999</v>
      </c>
      <c r="BX297">
        <v>0</v>
      </c>
      <c r="BY297">
        <f t="shared" si="137"/>
        <v>1676.2250277333333</v>
      </c>
      <c r="BZ297">
        <v>2152.7282399999999</v>
      </c>
      <c r="CA297">
        <f t="shared" si="138"/>
        <v>4774.7143271999994</v>
      </c>
      <c r="CB297">
        <f t="shared" si="139"/>
        <v>8942.4810277333327</v>
      </c>
      <c r="CC297">
        <v>0</v>
      </c>
      <c r="CD297">
        <v>0</v>
      </c>
      <c r="CE297">
        <f t="shared" si="140"/>
        <v>0</v>
      </c>
      <c r="CF297">
        <f t="shared" si="141"/>
        <v>7266.2559999999994</v>
      </c>
      <c r="CG297">
        <f t="shared" si="142"/>
        <v>4774.7143271999994</v>
      </c>
      <c r="CH297">
        <f t="shared" si="143"/>
        <v>0</v>
      </c>
      <c r="CJ297" t="s">
        <v>278</v>
      </c>
      <c r="CL297" t="str">
        <f t="shared" si="144"/>
        <v/>
      </c>
    </row>
    <row r="298" spans="1:90" x14ac:dyDescent="0.25">
      <c r="A298" t="s">
        <v>136</v>
      </c>
      <c r="B298" t="s">
        <v>173</v>
      </c>
      <c r="C298" s="1">
        <v>46023</v>
      </c>
      <c r="D298" t="s">
        <v>174</v>
      </c>
      <c r="E298" t="s">
        <v>175</v>
      </c>
      <c r="F298" s="4">
        <v>1</v>
      </c>
      <c r="G298" s="4">
        <v>0</v>
      </c>
      <c r="H298" s="9">
        <v>1394.66</v>
      </c>
      <c r="I298" s="9">
        <v>232.44333333333333</v>
      </c>
      <c r="J298" s="9">
        <f t="shared" si="116"/>
        <v>1627.1033333333335</v>
      </c>
      <c r="K298" s="9">
        <v>0</v>
      </c>
      <c r="L298" s="9">
        <f t="shared" si="117"/>
        <v>0</v>
      </c>
      <c r="M298">
        <v>0</v>
      </c>
      <c r="N298" s="4">
        <f t="shared" si="118"/>
        <v>0</v>
      </c>
      <c r="O298" s="9">
        <v>1394.66</v>
      </c>
      <c r="P298" s="9">
        <v>0</v>
      </c>
      <c r="Q298" s="9">
        <v>0</v>
      </c>
      <c r="R298" s="9">
        <v>0</v>
      </c>
      <c r="S298" s="9">
        <v>0</v>
      </c>
      <c r="T298" s="9">
        <v>0</v>
      </c>
      <c r="U298" s="9">
        <v>0</v>
      </c>
      <c r="V298" s="9">
        <v>0</v>
      </c>
      <c r="W298" s="9">
        <f t="shared" si="119"/>
        <v>1394.66</v>
      </c>
      <c r="X298" s="9">
        <v>232.44333333333333</v>
      </c>
      <c r="Y298" s="9">
        <v>0</v>
      </c>
      <c r="Z298" s="9">
        <v>1627.1033333333335</v>
      </c>
      <c r="AA298" s="9">
        <v>0</v>
      </c>
      <c r="AB298" s="9">
        <f t="shared" si="120"/>
        <v>1627.1033333333335</v>
      </c>
      <c r="AC298" s="9">
        <v>1627.1033333333335</v>
      </c>
      <c r="AD298" s="9">
        <v>0</v>
      </c>
      <c r="AE298" s="9">
        <v>1394.66</v>
      </c>
      <c r="AF298" s="9">
        <v>76.473856666666677</v>
      </c>
      <c r="AG298" s="9">
        <v>414.81155016000002</v>
      </c>
      <c r="AH298" s="9">
        <v>25.220101666666668</v>
      </c>
      <c r="AI298" s="9">
        <v>96.672183300000015</v>
      </c>
      <c r="AJ298" s="9">
        <v>3.5153521200000006</v>
      </c>
      <c r="AK298" s="9">
        <v>1.6271033333333336</v>
      </c>
      <c r="AL298" s="9">
        <v>10.546056360000001</v>
      </c>
      <c r="AM298" s="9">
        <v>2.4406550000000005</v>
      </c>
      <c r="AN298" s="9">
        <v>13.182570450000002</v>
      </c>
      <c r="AO298" s="9">
        <v>26.365140900000004</v>
      </c>
      <c r="AP298" s="9">
        <v>0</v>
      </c>
      <c r="AQ298" s="25">
        <v>0</v>
      </c>
      <c r="AR298" s="9">
        <f t="shared" si="121"/>
        <v>0</v>
      </c>
      <c r="AS298" s="25">
        <v>0</v>
      </c>
      <c r="AT298" s="9">
        <f t="shared" si="122"/>
        <v>0</v>
      </c>
      <c r="AU298" s="9">
        <v>0</v>
      </c>
      <c r="AV298" s="25">
        <v>0</v>
      </c>
      <c r="AW298" s="9">
        <f t="shared" si="123"/>
        <v>0</v>
      </c>
      <c r="AX298" s="25">
        <v>0</v>
      </c>
      <c r="AY298" s="9">
        <f t="shared" si="124"/>
        <v>0</v>
      </c>
      <c r="AZ298" s="9">
        <v>0</v>
      </c>
      <c r="BA298" s="25">
        <v>0</v>
      </c>
      <c r="BB298" s="9">
        <f t="shared" si="125"/>
        <v>0</v>
      </c>
      <c r="BC298" s="25">
        <v>0</v>
      </c>
      <c r="BD298" s="9">
        <f t="shared" si="126"/>
        <v>0</v>
      </c>
      <c r="BE298" s="9">
        <v>0</v>
      </c>
      <c r="BF298" s="9">
        <v>0</v>
      </c>
      <c r="BG298" s="9">
        <f t="shared" si="127"/>
        <v>0</v>
      </c>
      <c r="BH298" s="9">
        <v>0</v>
      </c>
      <c r="BI298" s="9">
        <f t="shared" si="128"/>
        <v>0</v>
      </c>
      <c r="BJ298" s="9">
        <v>0</v>
      </c>
      <c r="BK298" s="9">
        <v>0</v>
      </c>
      <c r="BL298" s="9">
        <f t="shared" si="129"/>
        <v>0</v>
      </c>
      <c r="BM298" s="9">
        <v>0</v>
      </c>
      <c r="BN298" s="9">
        <f t="shared" si="130"/>
        <v>0</v>
      </c>
      <c r="BO298" s="9">
        <v>0</v>
      </c>
      <c r="BP298" s="9">
        <v>0</v>
      </c>
      <c r="BQ298" s="9">
        <f t="shared" si="131"/>
        <v>0</v>
      </c>
      <c r="BR298" s="9">
        <v>0</v>
      </c>
      <c r="BS298" s="9">
        <f t="shared" si="132"/>
        <v>0</v>
      </c>
      <c r="BT298" s="9">
        <f t="shared" si="133"/>
        <v>0</v>
      </c>
      <c r="BU298" s="9">
        <f t="shared" si="134"/>
        <v>0</v>
      </c>
      <c r="BV298" s="9">
        <f t="shared" si="135"/>
        <v>105.76171666666669</v>
      </c>
      <c r="BW298">
        <f t="shared" si="136"/>
        <v>105.76171666666669</v>
      </c>
      <c r="BX298">
        <v>0</v>
      </c>
      <c r="BY298">
        <f t="shared" si="137"/>
        <v>565.09285328999999</v>
      </c>
      <c r="BZ298">
        <v>160.14939872400001</v>
      </c>
      <c r="CA298">
        <f t="shared" si="138"/>
        <v>1128.7488846093333</v>
      </c>
      <c r="CB298">
        <f t="shared" si="139"/>
        <v>1959.7528532900001</v>
      </c>
      <c r="CC298">
        <v>0</v>
      </c>
      <c r="CD298">
        <v>0</v>
      </c>
      <c r="CE298">
        <f t="shared" si="140"/>
        <v>0</v>
      </c>
      <c r="CF298">
        <f t="shared" si="141"/>
        <v>1394.66</v>
      </c>
      <c r="CG298">
        <f t="shared" si="142"/>
        <v>1128.7488846093333</v>
      </c>
      <c r="CH298">
        <f t="shared" si="143"/>
        <v>0</v>
      </c>
      <c r="CJ298" t="s">
        <v>278</v>
      </c>
      <c r="CL298" t="str">
        <f t="shared" si="144"/>
        <v/>
      </c>
    </row>
    <row r="299" spans="1:90" x14ac:dyDescent="0.25">
      <c r="A299" t="s">
        <v>136</v>
      </c>
      <c r="B299" t="s">
        <v>176</v>
      </c>
      <c r="C299" s="1">
        <v>46054</v>
      </c>
      <c r="D299" t="s">
        <v>174</v>
      </c>
      <c r="E299" t="s">
        <v>175</v>
      </c>
      <c r="F299" s="4">
        <v>1</v>
      </c>
      <c r="G299" s="4">
        <v>0</v>
      </c>
      <c r="H299" s="9">
        <v>1394.66</v>
      </c>
      <c r="I299" s="9">
        <v>232.44333333333333</v>
      </c>
      <c r="J299" s="9">
        <f t="shared" si="116"/>
        <v>1627.1033333333335</v>
      </c>
      <c r="K299" s="9">
        <v>0</v>
      </c>
      <c r="L299" s="9">
        <f t="shared" si="117"/>
        <v>0</v>
      </c>
      <c r="M299">
        <v>0</v>
      </c>
      <c r="N299" s="4">
        <f t="shared" si="118"/>
        <v>0</v>
      </c>
      <c r="O299" s="9">
        <v>1394.66</v>
      </c>
      <c r="P299" s="9">
        <v>0</v>
      </c>
      <c r="Q299" s="9">
        <v>0</v>
      </c>
      <c r="R299" s="9">
        <v>0</v>
      </c>
      <c r="S299" s="9">
        <v>0</v>
      </c>
      <c r="T299" s="9">
        <v>0</v>
      </c>
      <c r="U299" s="9">
        <v>0</v>
      </c>
      <c r="V299" s="9">
        <v>0</v>
      </c>
      <c r="W299" s="9">
        <f t="shared" si="119"/>
        <v>1394.66</v>
      </c>
      <c r="X299" s="9">
        <v>232.44333333333333</v>
      </c>
      <c r="Y299" s="9">
        <v>0</v>
      </c>
      <c r="Z299" s="9">
        <v>1627.1033333333335</v>
      </c>
      <c r="AA299" s="9">
        <v>0</v>
      </c>
      <c r="AB299" s="9">
        <f t="shared" si="120"/>
        <v>1627.1033333333335</v>
      </c>
      <c r="AC299" s="9">
        <v>1627.1033333333335</v>
      </c>
      <c r="AD299" s="9">
        <v>0</v>
      </c>
      <c r="AE299" s="9">
        <v>1394.66</v>
      </c>
      <c r="AF299" s="9">
        <v>76.473856666666677</v>
      </c>
      <c r="AG299" s="9">
        <v>414.81155016000002</v>
      </c>
      <c r="AH299" s="9">
        <v>25.220101666666668</v>
      </c>
      <c r="AI299" s="9">
        <v>96.672183300000015</v>
      </c>
      <c r="AJ299" s="9">
        <v>3.5153521200000006</v>
      </c>
      <c r="AK299" s="9">
        <v>1.6271033333333336</v>
      </c>
      <c r="AL299" s="9">
        <v>10.546056360000001</v>
      </c>
      <c r="AM299" s="9">
        <v>2.4406550000000005</v>
      </c>
      <c r="AN299" s="9">
        <v>13.182570450000002</v>
      </c>
      <c r="AO299" s="9">
        <v>26.365140900000004</v>
      </c>
      <c r="AP299" s="9">
        <v>0</v>
      </c>
      <c r="AQ299" s="25">
        <v>0</v>
      </c>
      <c r="AR299" s="9">
        <f t="shared" si="121"/>
        <v>0</v>
      </c>
      <c r="AS299" s="25">
        <v>0</v>
      </c>
      <c r="AT299" s="9">
        <f t="shared" si="122"/>
        <v>0</v>
      </c>
      <c r="AU299" s="9">
        <v>0</v>
      </c>
      <c r="AV299" s="25">
        <v>0</v>
      </c>
      <c r="AW299" s="9">
        <f t="shared" si="123"/>
        <v>0</v>
      </c>
      <c r="AX299" s="25">
        <v>0</v>
      </c>
      <c r="AY299" s="9">
        <f t="shared" si="124"/>
        <v>0</v>
      </c>
      <c r="AZ299" s="9">
        <v>0</v>
      </c>
      <c r="BA299" s="25">
        <v>0</v>
      </c>
      <c r="BB299" s="9">
        <f t="shared" si="125"/>
        <v>0</v>
      </c>
      <c r="BC299" s="25">
        <v>0</v>
      </c>
      <c r="BD299" s="9">
        <f t="shared" si="126"/>
        <v>0</v>
      </c>
      <c r="BE299" s="9">
        <v>0</v>
      </c>
      <c r="BF299" s="9">
        <v>0</v>
      </c>
      <c r="BG299" s="9">
        <f t="shared" si="127"/>
        <v>0</v>
      </c>
      <c r="BH299" s="9">
        <v>0</v>
      </c>
      <c r="BI299" s="9">
        <f t="shared" si="128"/>
        <v>0</v>
      </c>
      <c r="BJ299" s="9">
        <v>0</v>
      </c>
      <c r="BK299" s="9">
        <v>0</v>
      </c>
      <c r="BL299" s="9">
        <f t="shared" si="129"/>
        <v>0</v>
      </c>
      <c r="BM299" s="9">
        <v>0</v>
      </c>
      <c r="BN299" s="9">
        <f t="shared" si="130"/>
        <v>0</v>
      </c>
      <c r="BO299" s="9">
        <v>0</v>
      </c>
      <c r="BP299" s="9">
        <v>0</v>
      </c>
      <c r="BQ299" s="9">
        <f t="shared" si="131"/>
        <v>0</v>
      </c>
      <c r="BR299" s="9">
        <v>0</v>
      </c>
      <c r="BS299" s="9">
        <f t="shared" si="132"/>
        <v>0</v>
      </c>
      <c r="BT299" s="9">
        <f t="shared" si="133"/>
        <v>0</v>
      </c>
      <c r="BU299" s="9">
        <f t="shared" si="134"/>
        <v>0</v>
      </c>
      <c r="BV299" s="9">
        <f t="shared" si="135"/>
        <v>105.76171666666669</v>
      </c>
      <c r="BW299">
        <f t="shared" si="136"/>
        <v>105.76171666666669</v>
      </c>
      <c r="BX299">
        <v>0</v>
      </c>
      <c r="BY299">
        <f t="shared" si="137"/>
        <v>565.09285328999999</v>
      </c>
      <c r="BZ299">
        <v>160.14939872400001</v>
      </c>
      <c r="CA299">
        <f t="shared" si="138"/>
        <v>1128.7488846093333</v>
      </c>
      <c r="CB299">
        <f t="shared" si="139"/>
        <v>1959.7528532900001</v>
      </c>
      <c r="CC299">
        <v>0</v>
      </c>
      <c r="CD299">
        <v>0</v>
      </c>
      <c r="CE299">
        <f t="shared" si="140"/>
        <v>0</v>
      </c>
      <c r="CF299">
        <f t="shared" si="141"/>
        <v>1394.66</v>
      </c>
      <c r="CG299">
        <f t="shared" si="142"/>
        <v>1128.7488846093333</v>
      </c>
      <c r="CH299">
        <f t="shared" si="143"/>
        <v>0</v>
      </c>
      <c r="CJ299" t="s">
        <v>278</v>
      </c>
      <c r="CL299" t="str">
        <f t="shared" si="144"/>
        <v/>
      </c>
    </row>
    <row r="300" spans="1:90" x14ac:dyDescent="0.25">
      <c r="A300" t="s">
        <v>136</v>
      </c>
      <c r="B300" t="s">
        <v>177</v>
      </c>
      <c r="C300" s="1">
        <v>46082</v>
      </c>
      <c r="D300" t="s">
        <v>174</v>
      </c>
      <c r="E300" t="s">
        <v>175</v>
      </c>
      <c r="F300" s="4">
        <v>1</v>
      </c>
      <c r="G300" s="4">
        <v>0</v>
      </c>
      <c r="H300" s="9">
        <v>1394.66</v>
      </c>
      <c r="I300" s="9">
        <v>232.44333333333333</v>
      </c>
      <c r="J300" s="9">
        <f t="shared" si="116"/>
        <v>1627.1033333333335</v>
      </c>
      <c r="K300" s="9">
        <v>0</v>
      </c>
      <c r="L300" s="9">
        <f t="shared" si="117"/>
        <v>0</v>
      </c>
      <c r="M300">
        <v>0</v>
      </c>
      <c r="N300" s="4">
        <f t="shared" si="118"/>
        <v>0</v>
      </c>
      <c r="O300" s="9">
        <v>1394.66</v>
      </c>
      <c r="P300" s="9">
        <v>0</v>
      </c>
      <c r="Q300" s="9">
        <v>0</v>
      </c>
      <c r="R300" s="9">
        <v>0</v>
      </c>
      <c r="S300" s="9">
        <v>0</v>
      </c>
      <c r="T300" s="9">
        <v>0</v>
      </c>
      <c r="U300" s="9">
        <v>0</v>
      </c>
      <c r="V300" s="9">
        <v>0</v>
      </c>
      <c r="W300" s="9">
        <f t="shared" si="119"/>
        <v>1394.66</v>
      </c>
      <c r="X300" s="9">
        <v>232.44333333333333</v>
      </c>
      <c r="Y300" s="9">
        <v>0</v>
      </c>
      <c r="Z300" s="9">
        <v>1627.1033333333335</v>
      </c>
      <c r="AA300" s="9">
        <v>0</v>
      </c>
      <c r="AB300" s="9">
        <f t="shared" si="120"/>
        <v>1627.1033333333335</v>
      </c>
      <c r="AC300" s="9">
        <v>1627.1033333333335</v>
      </c>
      <c r="AD300" s="9">
        <v>0</v>
      </c>
      <c r="AE300" s="9">
        <v>1394.66</v>
      </c>
      <c r="AF300" s="9">
        <v>76.473856666666677</v>
      </c>
      <c r="AG300" s="9">
        <v>414.81155016000002</v>
      </c>
      <c r="AH300" s="9">
        <v>25.220101666666668</v>
      </c>
      <c r="AI300" s="9">
        <v>96.672183300000015</v>
      </c>
      <c r="AJ300" s="9">
        <v>3.5153521200000006</v>
      </c>
      <c r="AK300" s="9">
        <v>1.6271033333333336</v>
      </c>
      <c r="AL300" s="9">
        <v>10.546056360000001</v>
      </c>
      <c r="AM300" s="9">
        <v>2.4406550000000005</v>
      </c>
      <c r="AN300" s="9">
        <v>13.182570450000002</v>
      </c>
      <c r="AO300" s="9">
        <v>26.365140900000004</v>
      </c>
      <c r="AP300" s="9">
        <v>0</v>
      </c>
      <c r="AQ300" s="25">
        <v>0</v>
      </c>
      <c r="AR300" s="9">
        <f t="shared" si="121"/>
        <v>0</v>
      </c>
      <c r="AS300" s="25">
        <v>0</v>
      </c>
      <c r="AT300" s="9">
        <f t="shared" si="122"/>
        <v>0</v>
      </c>
      <c r="AU300" s="9">
        <v>0</v>
      </c>
      <c r="AV300" s="25">
        <v>0</v>
      </c>
      <c r="AW300" s="9">
        <f t="shared" si="123"/>
        <v>0</v>
      </c>
      <c r="AX300" s="25">
        <v>0</v>
      </c>
      <c r="AY300" s="9">
        <f t="shared" si="124"/>
        <v>0</v>
      </c>
      <c r="AZ300" s="9">
        <v>0</v>
      </c>
      <c r="BA300" s="25">
        <v>0</v>
      </c>
      <c r="BB300" s="9">
        <f t="shared" si="125"/>
        <v>0</v>
      </c>
      <c r="BC300" s="25">
        <v>0</v>
      </c>
      <c r="BD300" s="9">
        <f t="shared" si="126"/>
        <v>0</v>
      </c>
      <c r="BE300" s="9">
        <v>0</v>
      </c>
      <c r="BF300" s="9">
        <v>0</v>
      </c>
      <c r="BG300" s="9">
        <f t="shared" si="127"/>
        <v>0</v>
      </c>
      <c r="BH300" s="9">
        <v>0</v>
      </c>
      <c r="BI300" s="9">
        <f t="shared" si="128"/>
        <v>0</v>
      </c>
      <c r="BJ300" s="9">
        <v>0</v>
      </c>
      <c r="BK300" s="9">
        <v>0</v>
      </c>
      <c r="BL300" s="9">
        <f t="shared" si="129"/>
        <v>0</v>
      </c>
      <c r="BM300" s="9">
        <v>0</v>
      </c>
      <c r="BN300" s="9">
        <f t="shared" si="130"/>
        <v>0</v>
      </c>
      <c r="BO300" s="9">
        <v>0</v>
      </c>
      <c r="BP300" s="9">
        <v>0</v>
      </c>
      <c r="BQ300" s="9">
        <f t="shared" si="131"/>
        <v>0</v>
      </c>
      <c r="BR300" s="9">
        <v>0</v>
      </c>
      <c r="BS300" s="9">
        <f t="shared" si="132"/>
        <v>0</v>
      </c>
      <c r="BT300" s="9">
        <f t="shared" si="133"/>
        <v>0</v>
      </c>
      <c r="BU300" s="9">
        <f t="shared" si="134"/>
        <v>0</v>
      </c>
      <c r="BV300" s="9">
        <f t="shared" si="135"/>
        <v>105.76171666666669</v>
      </c>
      <c r="BW300">
        <f t="shared" si="136"/>
        <v>105.76171666666669</v>
      </c>
      <c r="BX300">
        <v>0</v>
      </c>
      <c r="BY300">
        <f t="shared" si="137"/>
        <v>565.09285328999999</v>
      </c>
      <c r="BZ300">
        <v>160.14939872400001</v>
      </c>
      <c r="CA300">
        <f t="shared" si="138"/>
        <v>1128.7488846093333</v>
      </c>
      <c r="CB300">
        <f t="shared" si="139"/>
        <v>1959.7528532900001</v>
      </c>
      <c r="CC300">
        <v>0</v>
      </c>
      <c r="CD300">
        <v>0</v>
      </c>
      <c r="CE300">
        <f t="shared" si="140"/>
        <v>0</v>
      </c>
      <c r="CF300">
        <f t="shared" si="141"/>
        <v>1394.66</v>
      </c>
      <c r="CG300">
        <f t="shared" si="142"/>
        <v>1128.7488846093333</v>
      </c>
      <c r="CH300">
        <f t="shared" si="143"/>
        <v>0</v>
      </c>
      <c r="CJ300" t="s">
        <v>278</v>
      </c>
      <c r="CL300" t="str">
        <f t="shared" si="144"/>
        <v/>
      </c>
    </row>
    <row r="301" spans="1:90" x14ac:dyDescent="0.25">
      <c r="A301" t="s">
        <v>136</v>
      </c>
      <c r="B301" t="s">
        <v>178</v>
      </c>
      <c r="C301" s="1">
        <v>46113</v>
      </c>
      <c r="D301" t="s">
        <v>174</v>
      </c>
      <c r="E301" t="s">
        <v>175</v>
      </c>
      <c r="F301" s="4">
        <v>1</v>
      </c>
      <c r="G301" s="4">
        <v>0.05</v>
      </c>
      <c r="H301" s="9">
        <v>1464.3930000000003</v>
      </c>
      <c r="I301" s="9">
        <v>244.06550000000004</v>
      </c>
      <c r="J301" s="9">
        <f t="shared" si="116"/>
        <v>1708.4585000000002</v>
      </c>
      <c r="K301" s="9">
        <v>0</v>
      </c>
      <c r="L301" s="9">
        <f t="shared" si="117"/>
        <v>0</v>
      </c>
      <c r="M301">
        <v>0</v>
      </c>
      <c r="N301" s="4">
        <f t="shared" si="118"/>
        <v>0</v>
      </c>
      <c r="O301" s="9">
        <v>1394.66</v>
      </c>
      <c r="P301" s="9">
        <v>69.733000000000004</v>
      </c>
      <c r="Q301" s="9">
        <v>0</v>
      </c>
      <c r="R301" s="9">
        <v>0</v>
      </c>
      <c r="S301" s="9">
        <v>0</v>
      </c>
      <c r="T301" s="9">
        <v>0</v>
      </c>
      <c r="U301" s="9">
        <v>0</v>
      </c>
      <c r="V301" s="9">
        <v>0</v>
      </c>
      <c r="W301" s="9">
        <f t="shared" si="119"/>
        <v>1464.393</v>
      </c>
      <c r="X301" s="9">
        <v>244.06550000000004</v>
      </c>
      <c r="Y301" s="9">
        <v>0</v>
      </c>
      <c r="Z301" s="9">
        <v>1708.4585000000002</v>
      </c>
      <c r="AA301" s="9">
        <v>0</v>
      </c>
      <c r="AB301" s="9">
        <f t="shared" si="120"/>
        <v>1708.4585000000002</v>
      </c>
      <c r="AC301" s="9">
        <v>1708.4585000000002</v>
      </c>
      <c r="AD301" s="9">
        <v>0</v>
      </c>
      <c r="AE301" s="9">
        <v>1464.393</v>
      </c>
      <c r="AF301" s="9">
        <v>80.297549500000002</v>
      </c>
      <c r="AG301" s="9">
        <v>414.81155016000002</v>
      </c>
      <c r="AH301" s="9">
        <v>26.481106750000002</v>
      </c>
      <c r="AI301" s="9">
        <v>96.672183300000015</v>
      </c>
      <c r="AJ301" s="9">
        <v>3.5153521200000006</v>
      </c>
      <c r="AK301" s="9">
        <v>1.7084585000000003</v>
      </c>
      <c r="AL301" s="9">
        <v>10.546056360000001</v>
      </c>
      <c r="AM301" s="9">
        <v>2.5626877500000003</v>
      </c>
      <c r="AN301" s="9">
        <v>13.182570450000002</v>
      </c>
      <c r="AO301" s="9">
        <v>26.365140900000004</v>
      </c>
      <c r="AP301" s="9">
        <v>0</v>
      </c>
      <c r="AQ301" s="25">
        <v>0</v>
      </c>
      <c r="AR301" s="9">
        <f t="shared" si="121"/>
        <v>0</v>
      </c>
      <c r="AS301" s="25">
        <v>0</v>
      </c>
      <c r="AT301" s="9">
        <f t="shared" si="122"/>
        <v>0</v>
      </c>
      <c r="AU301" s="9">
        <v>0</v>
      </c>
      <c r="AV301" s="25">
        <v>0</v>
      </c>
      <c r="AW301" s="9">
        <f t="shared" si="123"/>
        <v>0</v>
      </c>
      <c r="AX301" s="25">
        <v>0</v>
      </c>
      <c r="AY301" s="9">
        <f t="shared" si="124"/>
        <v>0</v>
      </c>
      <c r="AZ301" s="9">
        <v>0</v>
      </c>
      <c r="BA301" s="25">
        <v>0</v>
      </c>
      <c r="BB301" s="9">
        <f t="shared" si="125"/>
        <v>0</v>
      </c>
      <c r="BC301" s="25">
        <v>0</v>
      </c>
      <c r="BD301" s="9">
        <f t="shared" si="126"/>
        <v>0</v>
      </c>
      <c r="BE301" s="9">
        <v>0</v>
      </c>
      <c r="BF301" s="9">
        <v>0</v>
      </c>
      <c r="BG301" s="9">
        <f t="shared" si="127"/>
        <v>0</v>
      </c>
      <c r="BH301" s="9">
        <v>0</v>
      </c>
      <c r="BI301" s="9">
        <f t="shared" si="128"/>
        <v>0</v>
      </c>
      <c r="BJ301" s="9">
        <v>0</v>
      </c>
      <c r="BK301" s="9">
        <v>0</v>
      </c>
      <c r="BL301" s="9">
        <f t="shared" si="129"/>
        <v>0</v>
      </c>
      <c r="BM301" s="9">
        <v>0</v>
      </c>
      <c r="BN301" s="9">
        <f t="shared" si="130"/>
        <v>0</v>
      </c>
      <c r="BO301" s="9">
        <v>0</v>
      </c>
      <c r="BP301" s="9">
        <v>0</v>
      </c>
      <c r="BQ301" s="9">
        <f t="shared" si="131"/>
        <v>0</v>
      </c>
      <c r="BR301" s="9">
        <v>0</v>
      </c>
      <c r="BS301" s="9">
        <f t="shared" si="132"/>
        <v>0</v>
      </c>
      <c r="BT301" s="9">
        <f t="shared" si="133"/>
        <v>0</v>
      </c>
      <c r="BU301" s="9">
        <f t="shared" si="134"/>
        <v>0</v>
      </c>
      <c r="BV301" s="9">
        <f t="shared" si="135"/>
        <v>111.04980250000001</v>
      </c>
      <c r="BW301">
        <f t="shared" si="136"/>
        <v>111.04980250000001</v>
      </c>
      <c r="BX301">
        <v>0</v>
      </c>
      <c r="BY301">
        <f t="shared" si="137"/>
        <v>565.09285328999999</v>
      </c>
      <c r="BZ301">
        <v>160.14939872400001</v>
      </c>
      <c r="CA301">
        <f t="shared" si="138"/>
        <v>1193.193798776</v>
      </c>
      <c r="CB301">
        <f t="shared" si="139"/>
        <v>2029.48585329</v>
      </c>
      <c r="CC301">
        <v>0</v>
      </c>
      <c r="CD301">
        <v>0</v>
      </c>
      <c r="CE301">
        <f t="shared" si="140"/>
        <v>0</v>
      </c>
      <c r="CF301">
        <f t="shared" si="141"/>
        <v>1464.393</v>
      </c>
      <c r="CG301">
        <f t="shared" si="142"/>
        <v>1193.193798776</v>
      </c>
      <c r="CH301">
        <f t="shared" si="143"/>
        <v>0</v>
      </c>
      <c r="CJ301" t="s">
        <v>278</v>
      </c>
      <c r="CL301" t="str">
        <f t="shared" si="144"/>
        <v/>
      </c>
    </row>
    <row r="302" spans="1:90" x14ac:dyDescent="0.25">
      <c r="A302" t="s">
        <v>136</v>
      </c>
      <c r="B302" t="s">
        <v>179</v>
      </c>
      <c r="C302" s="1">
        <v>46143</v>
      </c>
      <c r="D302" t="s">
        <v>174</v>
      </c>
      <c r="E302" t="s">
        <v>175</v>
      </c>
      <c r="F302" s="4">
        <v>1</v>
      </c>
      <c r="G302" s="4">
        <v>0.05</v>
      </c>
      <c r="H302" s="9">
        <v>1464.3930000000003</v>
      </c>
      <c r="I302" s="9">
        <v>244.06550000000004</v>
      </c>
      <c r="J302" s="9">
        <f t="shared" si="116"/>
        <v>1708.4585000000002</v>
      </c>
      <c r="K302" s="9">
        <v>0</v>
      </c>
      <c r="L302" s="9">
        <f t="shared" si="117"/>
        <v>0</v>
      </c>
      <c r="M302">
        <v>0</v>
      </c>
      <c r="N302" s="4">
        <f t="shared" si="118"/>
        <v>0</v>
      </c>
      <c r="O302" s="9">
        <v>1394.66</v>
      </c>
      <c r="P302" s="9">
        <v>69.733000000000004</v>
      </c>
      <c r="Q302" s="9">
        <v>0</v>
      </c>
      <c r="R302" s="9">
        <v>0</v>
      </c>
      <c r="S302" s="9">
        <v>0</v>
      </c>
      <c r="T302" s="9">
        <v>0</v>
      </c>
      <c r="U302" s="9">
        <v>0</v>
      </c>
      <c r="V302" s="9">
        <v>0</v>
      </c>
      <c r="W302" s="9">
        <f t="shared" si="119"/>
        <v>1464.393</v>
      </c>
      <c r="X302" s="9">
        <v>244.06550000000004</v>
      </c>
      <c r="Y302" s="9">
        <v>0</v>
      </c>
      <c r="Z302" s="9">
        <v>1708.4585000000002</v>
      </c>
      <c r="AA302" s="9">
        <v>0</v>
      </c>
      <c r="AB302" s="9">
        <f t="shared" si="120"/>
        <v>1708.4585000000002</v>
      </c>
      <c r="AC302" s="9">
        <v>1708.4585000000002</v>
      </c>
      <c r="AD302" s="9">
        <v>0</v>
      </c>
      <c r="AE302" s="9">
        <v>1464.393</v>
      </c>
      <c r="AF302" s="9">
        <v>80.297549500000002</v>
      </c>
      <c r="AG302" s="9">
        <v>414.81155016000002</v>
      </c>
      <c r="AH302" s="9">
        <v>26.481106750000002</v>
      </c>
      <c r="AI302" s="9">
        <v>96.672183300000015</v>
      </c>
      <c r="AJ302" s="9">
        <v>3.5153521200000006</v>
      </c>
      <c r="AK302" s="9">
        <v>1.7084585000000003</v>
      </c>
      <c r="AL302" s="9">
        <v>10.546056360000001</v>
      </c>
      <c r="AM302" s="9">
        <v>2.5626877500000003</v>
      </c>
      <c r="AN302" s="9">
        <v>13.182570450000002</v>
      </c>
      <c r="AO302" s="9">
        <v>26.365140900000004</v>
      </c>
      <c r="AP302" s="9">
        <v>0</v>
      </c>
      <c r="AQ302" s="25">
        <v>0</v>
      </c>
      <c r="AR302" s="9">
        <f t="shared" si="121"/>
        <v>0</v>
      </c>
      <c r="AS302" s="25">
        <v>0</v>
      </c>
      <c r="AT302" s="9">
        <f t="shared" si="122"/>
        <v>0</v>
      </c>
      <c r="AU302" s="9">
        <v>0</v>
      </c>
      <c r="AV302" s="25">
        <v>0</v>
      </c>
      <c r="AW302" s="9">
        <f t="shared" si="123"/>
        <v>0</v>
      </c>
      <c r="AX302" s="25">
        <v>0</v>
      </c>
      <c r="AY302" s="9">
        <f t="shared" si="124"/>
        <v>0</v>
      </c>
      <c r="AZ302" s="9">
        <v>0</v>
      </c>
      <c r="BA302" s="25">
        <v>0</v>
      </c>
      <c r="BB302" s="9">
        <f t="shared" si="125"/>
        <v>0</v>
      </c>
      <c r="BC302" s="25">
        <v>0</v>
      </c>
      <c r="BD302" s="9">
        <f t="shared" si="126"/>
        <v>0</v>
      </c>
      <c r="BE302" s="9">
        <v>0</v>
      </c>
      <c r="BF302" s="9">
        <v>0</v>
      </c>
      <c r="BG302" s="9">
        <f t="shared" si="127"/>
        <v>0</v>
      </c>
      <c r="BH302" s="9">
        <v>0</v>
      </c>
      <c r="BI302" s="9">
        <f t="shared" si="128"/>
        <v>0</v>
      </c>
      <c r="BJ302" s="9">
        <v>0</v>
      </c>
      <c r="BK302" s="9">
        <v>0</v>
      </c>
      <c r="BL302" s="9">
        <f t="shared" si="129"/>
        <v>0</v>
      </c>
      <c r="BM302" s="9">
        <v>0</v>
      </c>
      <c r="BN302" s="9">
        <f t="shared" si="130"/>
        <v>0</v>
      </c>
      <c r="BO302" s="9">
        <v>0</v>
      </c>
      <c r="BP302" s="9">
        <v>0</v>
      </c>
      <c r="BQ302" s="9">
        <f t="shared" si="131"/>
        <v>0</v>
      </c>
      <c r="BR302" s="9">
        <v>0</v>
      </c>
      <c r="BS302" s="9">
        <f t="shared" si="132"/>
        <v>0</v>
      </c>
      <c r="BT302" s="9">
        <f t="shared" si="133"/>
        <v>0</v>
      </c>
      <c r="BU302" s="9">
        <f t="shared" si="134"/>
        <v>0</v>
      </c>
      <c r="BV302" s="9">
        <f t="shared" si="135"/>
        <v>111.04980250000001</v>
      </c>
      <c r="BW302">
        <f t="shared" si="136"/>
        <v>111.04980250000001</v>
      </c>
      <c r="BX302">
        <v>0</v>
      </c>
      <c r="BY302">
        <f t="shared" si="137"/>
        <v>565.09285328999999</v>
      </c>
      <c r="BZ302">
        <v>160.14939872400001</v>
      </c>
      <c r="CA302">
        <f t="shared" si="138"/>
        <v>1193.193798776</v>
      </c>
      <c r="CB302">
        <f t="shared" si="139"/>
        <v>2029.48585329</v>
      </c>
      <c r="CC302">
        <v>0</v>
      </c>
      <c r="CD302">
        <v>0</v>
      </c>
      <c r="CE302">
        <f t="shared" si="140"/>
        <v>0</v>
      </c>
      <c r="CF302">
        <f t="shared" si="141"/>
        <v>1464.393</v>
      </c>
      <c r="CG302">
        <f t="shared" si="142"/>
        <v>1193.193798776</v>
      </c>
      <c r="CH302">
        <f t="shared" si="143"/>
        <v>0</v>
      </c>
      <c r="CJ302" t="s">
        <v>278</v>
      </c>
      <c r="CL302" t="str">
        <f t="shared" si="144"/>
        <v/>
      </c>
    </row>
    <row r="303" spans="1:90" x14ac:dyDescent="0.25">
      <c r="A303" t="s">
        <v>136</v>
      </c>
      <c r="B303" t="s">
        <v>180</v>
      </c>
      <c r="C303" s="1">
        <v>46174</v>
      </c>
      <c r="D303" t="s">
        <v>174</v>
      </c>
      <c r="E303" t="s">
        <v>175</v>
      </c>
      <c r="F303" s="4">
        <v>1</v>
      </c>
      <c r="G303" s="4">
        <v>0.05</v>
      </c>
      <c r="H303" s="9">
        <v>1464.3930000000003</v>
      </c>
      <c r="I303" s="9">
        <v>244.06550000000004</v>
      </c>
      <c r="J303" s="9">
        <f t="shared" si="116"/>
        <v>1708.4585000000002</v>
      </c>
      <c r="K303" s="9">
        <v>0</v>
      </c>
      <c r="L303" s="9">
        <f t="shared" si="117"/>
        <v>0</v>
      </c>
      <c r="M303">
        <v>0</v>
      </c>
      <c r="N303" s="4">
        <f t="shared" si="118"/>
        <v>0</v>
      </c>
      <c r="O303" s="9">
        <v>1394.66</v>
      </c>
      <c r="P303" s="9">
        <v>69.733000000000004</v>
      </c>
      <c r="Q303" s="9">
        <v>0</v>
      </c>
      <c r="R303" s="9">
        <v>0</v>
      </c>
      <c r="S303" s="9">
        <v>0</v>
      </c>
      <c r="T303" s="9">
        <v>0</v>
      </c>
      <c r="U303" s="9">
        <v>0</v>
      </c>
      <c r="V303" s="9">
        <v>0</v>
      </c>
      <c r="W303" s="9">
        <f t="shared" si="119"/>
        <v>1464.393</v>
      </c>
      <c r="X303" s="9">
        <v>244.06550000000004</v>
      </c>
      <c r="Y303" s="9">
        <v>0</v>
      </c>
      <c r="Z303" s="9">
        <v>1708.4585000000002</v>
      </c>
      <c r="AA303" s="9">
        <v>0</v>
      </c>
      <c r="AB303" s="9">
        <f t="shared" si="120"/>
        <v>1708.4585000000002</v>
      </c>
      <c r="AC303" s="9">
        <v>1708.4585000000002</v>
      </c>
      <c r="AD303" s="9">
        <v>0</v>
      </c>
      <c r="AE303" s="9">
        <v>1464.393</v>
      </c>
      <c r="AF303" s="9">
        <v>80.297549500000002</v>
      </c>
      <c r="AG303" s="9">
        <v>414.81155016000002</v>
      </c>
      <c r="AH303" s="9">
        <v>26.481106750000002</v>
      </c>
      <c r="AI303" s="9">
        <v>96.672183300000015</v>
      </c>
      <c r="AJ303" s="9">
        <v>3.5153521200000006</v>
      </c>
      <c r="AK303" s="9">
        <v>1.7084585000000003</v>
      </c>
      <c r="AL303" s="9">
        <v>10.546056360000001</v>
      </c>
      <c r="AM303" s="9">
        <v>2.5626877500000003</v>
      </c>
      <c r="AN303" s="9">
        <v>13.182570450000002</v>
      </c>
      <c r="AO303" s="9">
        <v>26.365140900000004</v>
      </c>
      <c r="AP303" s="9">
        <v>0</v>
      </c>
      <c r="AQ303" s="25">
        <v>0</v>
      </c>
      <c r="AR303" s="9">
        <f t="shared" si="121"/>
        <v>0</v>
      </c>
      <c r="AS303" s="25">
        <v>0</v>
      </c>
      <c r="AT303" s="9">
        <f t="shared" si="122"/>
        <v>0</v>
      </c>
      <c r="AU303" s="9">
        <v>0</v>
      </c>
      <c r="AV303" s="25">
        <v>0</v>
      </c>
      <c r="AW303" s="9">
        <f t="shared" si="123"/>
        <v>0</v>
      </c>
      <c r="AX303" s="25">
        <v>0</v>
      </c>
      <c r="AY303" s="9">
        <f t="shared" si="124"/>
        <v>0</v>
      </c>
      <c r="AZ303" s="9">
        <v>0</v>
      </c>
      <c r="BA303" s="25">
        <v>0</v>
      </c>
      <c r="BB303" s="9">
        <f t="shared" si="125"/>
        <v>0</v>
      </c>
      <c r="BC303" s="25">
        <v>0</v>
      </c>
      <c r="BD303" s="9">
        <f t="shared" si="126"/>
        <v>0</v>
      </c>
      <c r="BE303" s="9">
        <v>0</v>
      </c>
      <c r="BF303" s="9">
        <v>0</v>
      </c>
      <c r="BG303" s="9">
        <f t="shared" si="127"/>
        <v>0</v>
      </c>
      <c r="BH303" s="9">
        <v>0</v>
      </c>
      <c r="BI303" s="9">
        <f t="shared" si="128"/>
        <v>0</v>
      </c>
      <c r="BJ303" s="9">
        <v>0</v>
      </c>
      <c r="BK303" s="9">
        <v>0</v>
      </c>
      <c r="BL303" s="9">
        <f t="shared" si="129"/>
        <v>0</v>
      </c>
      <c r="BM303" s="9">
        <v>0</v>
      </c>
      <c r="BN303" s="9">
        <f t="shared" si="130"/>
        <v>0</v>
      </c>
      <c r="BO303" s="9">
        <v>0</v>
      </c>
      <c r="BP303" s="9">
        <v>0</v>
      </c>
      <c r="BQ303" s="9">
        <f t="shared" si="131"/>
        <v>0</v>
      </c>
      <c r="BR303" s="9">
        <v>0</v>
      </c>
      <c r="BS303" s="9">
        <f t="shared" si="132"/>
        <v>0</v>
      </c>
      <c r="BT303" s="9">
        <f t="shared" si="133"/>
        <v>0</v>
      </c>
      <c r="BU303" s="9">
        <f t="shared" si="134"/>
        <v>0</v>
      </c>
      <c r="BV303" s="9">
        <f t="shared" si="135"/>
        <v>111.04980250000001</v>
      </c>
      <c r="BW303">
        <f t="shared" si="136"/>
        <v>111.04980250000001</v>
      </c>
      <c r="BX303">
        <v>0</v>
      </c>
      <c r="BY303">
        <f t="shared" si="137"/>
        <v>565.09285328999999</v>
      </c>
      <c r="BZ303">
        <v>160.14939872400001</v>
      </c>
      <c r="CA303">
        <f t="shared" si="138"/>
        <v>1193.193798776</v>
      </c>
      <c r="CB303">
        <f t="shared" si="139"/>
        <v>2029.48585329</v>
      </c>
      <c r="CC303">
        <v>0</v>
      </c>
      <c r="CD303">
        <v>0</v>
      </c>
      <c r="CE303">
        <f t="shared" si="140"/>
        <v>0</v>
      </c>
      <c r="CF303">
        <f t="shared" si="141"/>
        <v>1464.393</v>
      </c>
      <c r="CG303">
        <f t="shared" si="142"/>
        <v>1193.193798776</v>
      </c>
      <c r="CH303">
        <f t="shared" si="143"/>
        <v>0</v>
      </c>
      <c r="CJ303" t="s">
        <v>278</v>
      </c>
      <c r="CL303" t="str">
        <f t="shared" si="144"/>
        <v/>
      </c>
    </row>
    <row r="304" spans="1:90" x14ac:dyDescent="0.25">
      <c r="A304" t="s">
        <v>136</v>
      </c>
      <c r="B304" t="s">
        <v>181</v>
      </c>
      <c r="C304" s="1">
        <v>46204</v>
      </c>
      <c r="D304" t="s">
        <v>182</v>
      </c>
      <c r="E304" t="s">
        <v>175</v>
      </c>
      <c r="F304" s="4">
        <v>1</v>
      </c>
      <c r="G304" s="4">
        <v>0.05</v>
      </c>
      <c r="H304" s="9">
        <v>1464.3930000000003</v>
      </c>
      <c r="I304" s="9">
        <v>244.06550000000004</v>
      </c>
      <c r="J304" s="9">
        <f t="shared" si="116"/>
        <v>1708.4585000000002</v>
      </c>
      <c r="K304" s="9">
        <v>0</v>
      </c>
      <c r="L304" s="9">
        <f t="shared" si="117"/>
        <v>0</v>
      </c>
      <c r="M304">
        <v>0</v>
      </c>
      <c r="N304" s="4">
        <f t="shared" si="118"/>
        <v>0</v>
      </c>
      <c r="O304" s="9">
        <v>1394.66</v>
      </c>
      <c r="P304" s="9">
        <v>69.733000000000004</v>
      </c>
      <c r="Q304" s="9">
        <v>0</v>
      </c>
      <c r="R304" s="9">
        <v>0</v>
      </c>
      <c r="S304" s="9">
        <v>0</v>
      </c>
      <c r="T304" s="9">
        <v>0</v>
      </c>
      <c r="U304" s="9">
        <v>0</v>
      </c>
      <c r="V304" s="9">
        <v>0</v>
      </c>
      <c r="W304" s="9">
        <f t="shared" si="119"/>
        <v>1464.393</v>
      </c>
      <c r="X304" s="9">
        <v>0</v>
      </c>
      <c r="Y304" s="9">
        <v>0</v>
      </c>
      <c r="Z304" s="9">
        <v>0</v>
      </c>
      <c r="AA304" s="9">
        <v>0</v>
      </c>
      <c r="AB304" s="9">
        <f t="shared" si="120"/>
        <v>0</v>
      </c>
      <c r="AC304" s="9">
        <v>0</v>
      </c>
      <c r="AD304" s="9">
        <v>0</v>
      </c>
      <c r="AE304" s="9">
        <v>1464.393</v>
      </c>
      <c r="AF304" s="9">
        <v>0</v>
      </c>
      <c r="AG304" s="9">
        <v>0</v>
      </c>
      <c r="AH304" s="9">
        <v>0</v>
      </c>
      <c r="AI304" s="9">
        <v>0</v>
      </c>
      <c r="AJ304" s="9">
        <v>0</v>
      </c>
      <c r="AK304" s="9">
        <v>0</v>
      </c>
      <c r="AL304" s="9">
        <v>0</v>
      </c>
      <c r="AM304" s="9">
        <v>0</v>
      </c>
      <c r="AN304" s="9">
        <v>0</v>
      </c>
      <c r="AO304" s="9">
        <v>0</v>
      </c>
      <c r="AP304" s="9">
        <v>0</v>
      </c>
      <c r="AQ304" s="25">
        <v>0</v>
      </c>
      <c r="AR304" s="9">
        <f t="shared" si="121"/>
        <v>0</v>
      </c>
      <c r="AS304" s="25">
        <v>0</v>
      </c>
      <c r="AT304" s="9">
        <f t="shared" si="122"/>
        <v>0</v>
      </c>
      <c r="AU304" s="9">
        <v>0</v>
      </c>
      <c r="AV304" s="25">
        <v>0</v>
      </c>
      <c r="AW304" s="9">
        <f t="shared" si="123"/>
        <v>0</v>
      </c>
      <c r="AX304" s="25">
        <v>0</v>
      </c>
      <c r="AY304" s="9">
        <f t="shared" si="124"/>
        <v>0</v>
      </c>
      <c r="AZ304" s="9">
        <v>0</v>
      </c>
      <c r="BA304" s="25">
        <v>0</v>
      </c>
      <c r="BB304" s="9">
        <f t="shared" si="125"/>
        <v>0</v>
      </c>
      <c r="BC304" s="25">
        <v>0</v>
      </c>
      <c r="BD304" s="9">
        <f t="shared" si="126"/>
        <v>0</v>
      </c>
      <c r="BE304" s="9">
        <v>0</v>
      </c>
      <c r="BF304" s="9">
        <v>0</v>
      </c>
      <c r="BG304" s="9">
        <f t="shared" si="127"/>
        <v>0</v>
      </c>
      <c r="BH304" s="9">
        <v>0</v>
      </c>
      <c r="BI304" s="9">
        <f t="shared" si="128"/>
        <v>0</v>
      </c>
      <c r="BJ304" s="9">
        <v>0</v>
      </c>
      <c r="BK304" s="9">
        <v>0</v>
      </c>
      <c r="BL304" s="9">
        <f t="shared" si="129"/>
        <v>0</v>
      </c>
      <c r="BM304" s="9">
        <v>0</v>
      </c>
      <c r="BN304" s="9">
        <f t="shared" si="130"/>
        <v>0</v>
      </c>
      <c r="BO304" s="9">
        <v>0</v>
      </c>
      <c r="BP304" s="9">
        <v>0</v>
      </c>
      <c r="BQ304" s="9">
        <f t="shared" si="131"/>
        <v>0</v>
      </c>
      <c r="BR304" s="9">
        <v>0</v>
      </c>
      <c r="BS304" s="9">
        <f t="shared" si="132"/>
        <v>0</v>
      </c>
      <c r="BT304" s="9">
        <f t="shared" si="133"/>
        <v>0</v>
      </c>
      <c r="BU304" s="9">
        <f t="shared" si="134"/>
        <v>0</v>
      </c>
      <c r="BV304" s="9">
        <f t="shared" si="135"/>
        <v>0</v>
      </c>
      <c r="BW304">
        <f t="shared" si="136"/>
        <v>0</v>
      </c>
      <c r="BX304">
        <v>0</v>
      </c>
      <c r="BY304">
        <f t="shared" si="137"/>
        <v>0</v>
      </c>
      <c r="BZ304">
        <v>160.14939872400001</v>
      </c>
      <c r="CA304">
        <f t="shared" si="138"/>
        <v>1304.2436012759999</v>
      </c>
      <c r="CB304">
        <f t="shared" si="139"/>
        <v>1464.393</v>
      </c>
      <c r="CC304">
        <v>0</v>
      </c>
      <c r="CD304">
        <v>0</v>
      </c>
      <c r="CE304">
        <f t="shared" si="140"/>
        <v>0</v>
      </c>
      <c r="CF304">
        <f t="shared" si="141"/>
        <v>1464.393</v>
      </c>
      <c r="CG304">
        <f t="shared" si="142"/>
        <v>1304.2436012759999</v>
      </c>
      <c r="CH304">
        <f t="shared" si="143"/>
        <v>0</v>
      </c>
      <c r="CJ304" t="s">
        <v>278</v>
      </c>
      <c r="CL304" t="str">
        <f t="shared" si="144"/>
        <v/>
      </c>
    </row>
    <row r="305" spans="1:90" x14ac:dyDescent="0.25">
      <c r="A305" t="s">
        <v>136</v>
      </c>
      <c r="B305" t="s">
        <v>183</v>
      </c>
      <c r="C305" s="1">
        <v>46204</v>
      </c>
      <c r="D305" t="s">
        <v>174</v>
      </c>
      <c r="E305" t="s">
        <v>175</v>
      </c>
      <c r="F305" s="4">
        <v>1</v>
      </c>
      <c r="G305" s="4">
        <v>0.05</v>
      </c>
      <c r="H305" s="9">
        <v>1464.3930000000003</v>
      </c>
      <c r="I305" s="9">
        <v>244.06550000000004</v>
      </c>
      <c r="J305" s="9">
        <f t="shared" si="116"/>
        <v>1708.4585000000002</v>
      </c>
      <c r="K305" s="9">
        <v>0</v>
      </c>
      <c r="L305" s="9">
        <f t="shared" si="117"/>
        <v>0</v>
      </c>
      <c r="M305">
        <v>0</v>
      </c>
      <c r="N305" s="4">
        <f t="shared" si="118"/>
        <v>0</v>
      </c>
      <c r="O305" s="9">
        <v>1394.66</v>
      </c>
      <c r="P305" s="9">
        <v>69.733000000000004</v>
      </c>
      <c r="Q305" s="9">
        <v>0</v>
      </c>
      <c r="R305" s="9">
        <v>0</v>
      </c>
      <c r="S305" s="9">
        <v>0</v>
      </c>
      <c r="T305" s="9">
        <v>0</v>
      </c>
      <c r="U305" s="9">
        <v>0</v>
      </c>
      <c r="V305" s="9">
        <v>0</v>
      </c>
      <c r="W305" s="9">
        <f t="shared" si="119"/>
        <v>1464.393</v>
      </c>
      <c r="X305" s="9">
        <v>244.06550000000004</v>
      </c>
      <c r="Y305" s="9">
        <v>0</v>
      </c>
      <c r="Z305" s="9">
        <v>1708.4585000000002</v>
      </c>
      <c r="AA305" s="9">
        <v>0</v>
      </c>
      <c r="AB305" s="9">
        <f t="shared" si="120"/>
        <v>1708.4585000000002</v>
      </c>
      <c r="AC305" s="9">
        <v>1708.4585000000002</v>
      </c>
      <c r="AD305" s="9">
        <v>0</v>
      </c>
      <c r="AE305" s="9">
        <v>1464.393</v>
      </c>
      <c r="AF305" s="9">
        <v>80.297549500000002</v>
      </c>
      <c r="AG305" s="9">
        <v>414.81155016000002</v>
      </c>
      <c r="AH305" s="9">
        <v>26.481106750000002</v>
      </c>
      <c r="AI305" s="9">
        <v>96.672183300000015</v>
      </c>
      <c r="AJ305" s="9">
        <v>3.5153521200000006</v>
      </c>
      <c r="AK305" s="9">
        <v>1.7084585000000003</v>
      </c>
      <c r="AL305" s="9">
        <v>10.546056360000001</v>
      </c>
      <c r="AM305" s="9">
        <v>2.5626877500000003</v>
      </c>
      <c r="AN305" s="9">
        <v>13.182570450000002</v>
      </c>
      <c r="AO305" s="9">
        <v>26.365140900000004</v>
      </c>
      <c r="AP305" s="9">
        <v>0</v>
      </c>
      <c r="AQ305" s="25">
        <v>0</v>
      </c>
      <c r="AR305" s="9">
        <f t="shared" si="121"/>
        <v>0</v>
      </c>
      <c r="AS305" s="25">
        <v>0</v>
      </c>
      <c r="AT305" s="9">
        <f t="shared" si="122"/>
        <v>0</v>
      </c>
      <c r="AU305" s="9">
        <v>0</v>
      </c>
      <c r="AV305" s="25">
        <v>0</v>
      </c>
      <c r="AW305" s="9">
        <f t="shared" si="123"/>
        <v>0</v>
      </c>
      <c r="AX305" s="25">
        <v>0</v>
      </c>
      <c r="AY305" s="9">
        <f t="shared" si="124"/>
        <v>0</v>
      </c>
      <c r="AZ305" s="9">
        <v>0</v>
      </c>
      <c r="BA305" s="25">
        <v>0</v>
      </c>
      <c r="BB305" s="9">
        <f t="shared" si="125"/>
        <v>0</v>
      </c>
      <c r="BC305" s="25">
        <v>0</v>
      </c>
      <c r="BD305" s="9">
        <f t="shared" si="126"/>
        <v>0</v>
      </c>
      <c r="BE305" s="9">
        <v>0</v>
      </c>
      <c r="BF305" s="9">
        <v>0</v>
      </c>
      <c r="BG305" s="9">
        <f t="shared" si="127"/>
        <v>0</v>
      </c>
      <c r="BH305" s="9">
        <v>0</v>
      </c>
      <c r="BI305" s="9">
        <f t="shared" si="128"/>
        <v>0</v>
      </c>
      <c r="BJ305" s="9">
        <v>0</v>
      </c>
      <c r="BK305" s="9">
        <v>0</v>
      </c>
      <c r="BL305" s="9">
        <f t="shared" si="129"/>
        <v>0</v>
      </c>
      <c r="BM305" s="9">
        <v>0</v>
      </c>
      <c r="BN305" s="9">
        <f t="shared" si="130"/>
        <v>0</v>
      </c>
      <c r="BO305" s="9">
        <v>0</v>
      </c>
      <c r="BP305" s="9">
        <v>0</v>
      </c>
      <c r="BQ305" s="9">
        <f t="shared" si="131"/>
        <v>0</v>
      </c>
      <c r="BR305" s="9">
        <v>0</v>
      </c>
      <c r="BS305" s="9">
        <f t="shared" si="132"/>
        <v>0</v>
      </c>
      <c r="BT305" s="9">
        <f t="shared" si="133"/>
        <v>0</v>
      </c>
      <c r="BU305" s="9">
        <f t="shared" si="134"/>
        <v>0</v>
      </c>
      <c r="BV305" s="9">
        <f t="shared" si="135"/>
        <v>111.04980250000001</v>
      </c>
      <c r="BW305">
        <f t="shared" si="136"/>
        <v>111.04980250000001</v>
      </c>
      <c r="BX305">
        <v>0</v>
      </c>
      <c r="BY305">
        <f t="shared" si="137"/>
        <v>565.09285328999999</v>
      </c>
      <c r="BZ305">
        <v>160.14939872400001</v>
      </c>
      <c r="CA305">
        <f t="shared" si="138"/>
        <v>1193.193798776</v>
      </c>
      <c r="CB305">
        <f t="shared" si="139"/>
        <v>2029.48585329</v>
      </c>
      <c r="CC305">
        <v>0</v>
      </c>
      <c r="CD305">
        <v>0</v>
      </c>
      <c r="CE305">
        <f t="shared" si="140"/>
        <v>0</v>
      </c>
      <c r="CF305">
        <f t="shared" si="141"/>
        <v>1464.393</v>
      </c>
      <c r="CG305">
        <f t="shared" si="142"/>
        <v>1193.193798776</v>
      </c>
      <c r="CH305">
        <f t="shared" si="143"/>
        <v>0</v>
      </c>
      <c r="CJ305" t="s">
        <v>278</v>
      </c>
      <c r="CL305" t="str">
        <f t="shared" si="144"/>
        <v/>
      </c>
    </row>
    <row r="306" spans="1:90" x14ac:dyDescent="0.25">
      <c r="A306" t="s">
        <v>136</v>
      </c>
      <c r="B306" t="s">
        <v>184</v>
      </c>
      <c r="C306" s="1">
        <v>46235</v>
      </c>
      <c r="D306" t="s">
        <v>174</v>
      </c>
      <c r="E306" t="s">
        <v>175</v>
      </c>
      <c r="F306" s="4">
        <v>1</v>
      </c>
      <c r="G306" s="4">
        <v>0.05</v>
      </c>
      <c r="H306" s="9">
        <v>1464.3930000000003</v>
      </c>
      <c r="I306" s="9">
        <v>244.06550000000004</v>
      </c>
      <c r="J306" s="9">
        <f t="shared" si="116"/>
        <v>1708.4585000000002</v>
      </c>
      <c r="K306" s="9">
        <v>0</v>
      </c>
      <c r="L306" s="9">
        <f t="shared" si="117"/>
        <v>0</v>
      </c>
      <c r="M306">
        <v>0</v>
      </c>
      <c r="N306" s="4">
        <f t="shared" si="118"/>
        <v>0</v>
      </c>
      <c r="O306" s="9">
        <v>1394.66</v>
      </c>
      <c r="P306" s="9">
        <v>69.733000000000004</v>
      </c>
      <c r="Q306" s="9">
        <v>0</v>
      </c>
      <c r="R306" s="9">
        <v>0</v>
      </c>
      <c r="S306" s="9">
        <v>0</v>
      </c>
      <c r="T306" s="9">
        <v>0</v>
      </c>
      <c r="U306" s="9">
        <v>0</v>
      </c>
      <c r="V306" s="9">
        <v>0</v>
      </c>
      <c r="W306" s="9">
        <f t="shared" si="119"/>
        <v>1464.393</v>
      </c>
      <c r="X306" s="9">
        <v>244.06550000000004</v>
      </c>
      <c r="Y306" s="9">
        <v>0</v>
      </c>
      <c r="Z306" s="9">
        <v>1708.4585000000002</v>
      </c>
      <c r="AA306" s="9">
        <v>0</v>
      </c>
      <c r="AB306" s="9">
        <f t="shared" si="120"/>
        <v>1708.4585000000002</v>
      </c>
      <c r="AC306" s="9">
        <v>1708.4585000000002</v>
      </c>
      <c r="AD306" s="9">
        <v>0</v>
      </c>
      <c r="AE306" s="9">
        <v>1464.393</v>
      </c>
      <c r="AF306" s="9">
        <v>80.297549500000002</v>
      </c>
      <c r="AG306" s="9">
        <v>414.81155016000002</v>
      </c>
      <c r="AH306" s="9">
        <v>26.481106750000002</v>
      </c>
      <c r="AI306" s="9">
        <v>96.672183300000015</v>
      </c>
      <c r="AJ306" s="9">
        <v>3.5153521200000006</v>
      </c>
      <c r="AK306" s="9">
        <v>1.7084585000000003</v>
      </c>
      <c r="AL306" s="9">
        <v>10.546056360000001</v>
      </c>
      <c r="AM306" s="9">
        <v>2.5626877500000003</v>
      </c>
      <c r="AN306" s="9">
        <v>13.182570450000002</v>
      </c>
      <c r="AO306" s="9">
        <v>26.365140900000004</v>
      </c>
      <c r="AP306" s="9">
        <v>0</v>
      </c>
      <c r="AQ306" s="25">
        <v>0</v>
      </c>
      <c r="AR306" s="9">
        <f t="shared" si="121"/>
        <v>0</v>
      </c>
      <c r="AS306" s="25">
        <v>0</v>
      </c>
      <c r="AT306" s="9">
        <f t="shared" si="122"/>
        <v>0</v>
      </c>
      <c r="AU306" s="9">
        <v>0</v>
      </c>
      <c r="AV306" s="25">
        <v>0</v>
      </c>
      <c r="AW306" s="9">
        <f t="shared" si="123"/>
        <v>0</v>
      </c>
      <c r="AX306" s="25">
        <v>0</v>
      </c>
      <c r="AY306" s="9">
        <f t="shared" si="124"/>
        <v>0</v>
      </c>
      <c r="AZ306" s="9">
        <v>0</v>
      </c>
      <c r="BA306" s="25">
        <v>0</v>
      </c>
      <c r="BB306" s="9">
        <f t="shared" si="125"/>
        <v>0</v>
      </c>
      <c r="BC306" s="25">
        <v>0</v>
      </c>
      <c r="BD306" s="9">
        <f t="shared" si="126"/>
        <v>0</v>
      </c>
      <c r="BE306" s="9">
        <v>0</v>
      </c>
      <c r="BF306" s="9">
        <v>0</v>
      </c>
      <c r="BG306" s="9">
        <f t="shared" si="127"/>
        <v>0</v>
      </c>
      <c r="BH306" s="9">
        <v>0</v>
      </c>
      <c r="BI306" s="9">
        <f t="shared" si="128"/>
        <v>0</v>
      </c>
      <c r="BJ306" s="9">
        <v>0</v>
      </c>
      <c r="BK306" s="9">
        <v>0</v>
      </c>
      <c r="BL306" s="9">
        <f t="shared" si="129"/>
        <v>0</v>
      </c>
      <c r="BM306" s="9">
        <v>0</v>
      </c>
      <c r="BN306" s="9">
        <f t="shared" si="130"/>
        <v>0</v>
      </c>
      <c r="BO306" s="9">
        <v>0</v>
      </c>
      <c r="BP306" s="9">
        <v>0</v>
      </c>
      <c r="BQ306" s="9">
        <f t="shared" si="131"/>
        <v>0</v>
      </c>
      <c r="BR306" s="9">
        <v>0</v>
      </c>
      <c r="BS306" s="9">
        <f t="shared" si="132"/>
        <v>0</v>
      </c>
      <c r="BT306" s="9">
        <f t="shared" si="133"/>
        <v>0</v>
      </c>
      <c r="BU306" s="9">
        <f t="shared" si="134"/>
        <v>0</v>
      </c>
      <c r="BV306" s="9">
        <f t="shared" si="135"/>
        <v>111.04980250000001</v>
      </c>
      <c r="BW306">
        <f t="shared" si="136"/>
        <v>111.04980250000001</v>
      </c>
      <c r="BX306">
        <v>0</v>
      </c>
      <c r="BY306">
        <f t="shared" si="137"/>
        <v>565.09285328999999</v>
      </c>
      <c r="BZ306">
        <v>160.14939872400001</v>
      </c>
      <c r="CA306">
        <f t="shared" si="138"/>
        <v>1193.193798776</v>
      </c>
      <c r="CB306">
        <f t="shared" si="139"/>
        <v>2029.48585329</v>
      </c>
      <c r="CC306">
        <v>0</v>
      </c>
      <c r="CD306">
        <v>0</v>
      </c>
      <c r="CE306">
        <f t="shared" si="140"/>
        <v>0</v>
      </c>
      <c r="CF306">
        <f t="shared" si="141"/>
        <v>1464.393</v>
      </c>
      <c r="CG306">
        <f t="shared" si="142"/>
        <v>1193.193798776</v>
      </c>
      <c r="CH306">
        <f t="shared" si="143"/>
        <v>0</v>
      </c>
      <c r="CJ306" t="s">
        <v>278</v>
      </c>
      <c r="CL306" t="str">
        <f t="shared" si="144"/>
        <v/>
      </c>
    </row>
    <row r="307" spans="1:90" x14ac:dyDescent="0.25">
      <c r="A307" t="s">
        <v>136</v>
      </c>
      <c r="B307" t="s">
        <v>185</v>
      </c>
      <c r="C307" s="1">
        <v>46266</v>
      </c>
      <c r="D307" t="s">
        <v>174</v>
      </c>
      <c r="E307" t="s">
        <v>175</v>
      </c>
      <c r="F307" s="4">
        <v>1</v>
      </c>
      <c r="G307" s="4">
        <v>0.05</v>
      </c>
      <c r="H307" s="9">
        <v>1464.3930000000003</v>
      </c>
      <c r="I307" s="9">
        <v>244.06550000000004</v>
      </c>
      <c r="J307" s="9">
        <f t="shared" si="116"/>
        <v>1708.4585000000002</v>
      </c>
      <c r="K307" s="9">
        <v>0</v>
      </c>
      <c r="L307" s="9">
        <f t="shared" si="117"/>
        <v>0</v>
      </c>
      <c r="M307">
        <v>0</v>
      </c>
      <c r="N307" s="4">
        <f t="shared" si="118"/>
        <v>0</v>
      </c>
      <c r="O307" s="9">
        <v>1394.66</v>
      </c>
      <c r="P307" s="9">
        <v>69.733000000000004</v>
      </c>
      <c r="Q307" s="9">
        <v>0</v>
      </c>
      <c r="R307" s="9">
        <v>0</v>
      </c>
      <c r="S307" s="9">
        <v>0</v>
      </c>
      <c r="T307" s="9">
        <v>0</v>
      </c>
      <c r="U307" s="9">
        <v>0</v>
      </c>
      <c r="V307" s="9">
        <v>0</v>
      </c>
      <c r="W307" s="9">
        <f t="shared" si="119"/>
        <v>1464.393</v>
      </c>
      <c r="X307" s="9">
        <v>244.06550000000004</v>
      </c>
      <c r="Y307" s="9">
        <v>0</v>
      </c>
      <c r="Z307" s="9">
        <v>1708.4585000000002</v>
      </c>
      <c r="AA307" s="9">
        <v>0</v>
      </c>
      <c r="AB307" s="9">
        <f t="shared" si="120"/>
        <v>1708.4585000000002</v>
      </c>
      <c r="AC307" s="9">
        <v>1708.4585000000002</v>
      </c>
      <c r="AD307" s="9">
        <v>0</v>
      </c>
      <c r="AE307" s="9">
        <v>1464.393</v>
      </c>
      <c r="AF307" s="9">
        <v>80.297549500000002</v>
      </c>
      <c r="AG307" s="9">
        <v>414.81155016000002</v>
      </c>
      <c r="AH307" s="9">
        <v>26.481106750000002</v>
      </c>
      <c r="AI307" s="9">
        <v>96.672183300000015</v>
      </c>
      <c r="AJ307" s="9">
        <v>3.5153521200000006</v>
      </c>
      <c r="AK307" s="9">
        <v>1.7084585000000003</v>
      </c>
      <c r="AL307" s="9">
        <v>10.546056360000001</v>
      </c>
      <c r="AM307" s="9">
        <v>2.5626877500000003</v>
      </c>
      <c r="AN307" s="9">
        <v>13.182570450000002</v>
      </c>
      <c r="AO307" s="9">
        <v>26.365140900000004</v>
      </c>
      <c r="AP307" s="9">
        <v>0</v>
      </c>
      <c r="AQ307" s="25">
        <v>0</v>
      </c>
      <c r="AR307" s="9">
        <f t="shared" si="121"/>
        <v>0</v>
      </c>
      <c r="AS307" s="25">
        <v>0</v>
      </c>
      <c r="AT307" s="9">
        <f t="shared" si="122"/>
        <v>0</v>
      </c>
      <c r="AU307" s="9">
        <v>0</v>
      </c>
      <c r="AV307" s="25">
        <v>0</v>
      </c>
      <c r="AW307" s="9">
        <f t="shared" si="123"/>
        <v>0</v>
      </c>
      <c r="AX307" s="25">
        <v>0</v>
      </c>
      <c r="AY307" s="9">
        <f t="shared" si="124"/>
        <v>0</v>
      </c>
      <c r="AZ307" s="9">
        <v>0</v>
      </c>
      <c r="BA307" s="25">
        <v>0</v>
      </c>
      <c r="BB307" s="9">
        <f t="shared" si="125"/>
        <v>0</v>
      </c>
      <c r="BC307" s="25">
        <v>0</v>
      </c>
      <c r="BD307" s="9">
        <f t="shared" si="126"/>
        <v>0</v>
      </c>
      <c r="BE307" s="9">
        <v>0</v>
      </c>
      <c r="BF307" s="9">
        <v>0</v>
      </c>
      <c r="BG307" s="9">
        <f t="shared" si="127"/>
        <v>0</v>
      </c>
      <c r="BH307" s="9">
        <v>0</v>
      </c>
      <c r="BI307" s="9">
        <f t="shared" si="128"/>
        <v>0</v>
      </c>
      <c r="BJ307" s="9">
        <v>0</v>
      </c>
      <c r="BK307" s="9">
        <v>0</v>
      </c>
      <c r="BL307" s="9">
        <f t="shared" si="129"/>
        <v>0</v>
      </c>
      <c r="BM307" s="9">
        <v>0</v>
      </c>
      <c r="BN307" s="9">
        <f t="shared" si="130"/>
        <v>0</v>
      </c>
      <c r="BO307" s="9">
        <v>0</v>
      </c>
      <c r="BP307" s="9">
        <v>0</v>
      </c>
      <c r="BQ307" s="9">
        <f t="shared" si="131"/>
        <v>0</v>
      </c>
      <c r="BR307" s="9">
        <v>0</v>
      </c>
      <c r="BS307" s="9">
        <f t="shared" si="132"/>
        <v>0</v>
      </c>
      <c r="BT307" s="9">
        <f t="shared" si="133"/>
        <v>0</v>
      </c>
      <c r="BU307" s="9">
        <f t="shared" si="134"/>
        <v>0</v>
      </c>
      <c r="BV307" s="9">
        <f t="shared" si="135"/>
        <v>111.04980250000001</v>
      </c>
      <c r="BW307">
        <f t="shared" si="136"/>
        <v>111.04980250000001</v>
      </c>
      <c r="BX307">
        <v>0</v>
      </c>
      <c r="BY307">
        <f t="shared" si="137"/>
        <v>565.09285328999999</v>
      </c>
      <c r="BZ307">
        <v>160.14939872400001</v>
      </c>
      <c r="CA307">
        <f t="shared" si="138"/>
        <v>1193.193798776</v>
      </c>
      <c r="CB307">
        <f t="shared" si="139"/>
        <v>2029.48585329</v>
      </c>
      <c r="CC307">
        <v>0</v>
      </c>
      <c r="CD307">
        <v>0</v>
      </c>
      <c r="CE307">
        <f t="shared" si="140"/>
        <v>0</v>
      </c>
      <c r="CF307">
        <f t="shared" si="141"/>
        <v>1464.393</v>
      </c>
      <c r="CG307">
        <f t="shared" si="142"/>
        <v>1193.193798776</v>
      </c>
      <c r="CH307">
        <f t="shared" si="143"/>
        <v>0</v>
      </c>
      <c r="CJ307" t="s">
        <v>278</v>
      </c>
      <c r="CL307" t="str">
        <f t="shared" si="144"/>
        <v/>
      </c>
    </row>
    <row r="308" spans="1:90" x14ac:dyDescent="0.25">
      <c r="A308" t="s">
        <v>136</v>
      </c>
      <c r="B308" t="s">
        <v>186</v>
      </c>
      <c r="C308" s="1">
        <v>46296</v>
      </c>
      <c r="D308" t="s">
        <v>174</v>
      </c>
      <c r="E308" t="s">
        <v>175</v>
      </c>
      <c r="F308" s="4">
        <v>1</v>
      </c>
      <c r="G308" s="4">
        <v>0.05</v>
      </c>
      <c r="H308" s="9">
        <v>1464.3930000000003</v>
      </c>
      <c r="I308" s="9">
        <v>244.06550000000004</v>
      </c>
      <c r="J308" s="9">
        <f t="shared" si="116"/>
        <v>1708.4585000000002</v>
      </c>
      <c r="K308" s="9">
        <v>0</v>
      </c>
      <c r="L308" s="9">
        <f t="shared" si="117"/>
        <v>0</v>
      </c>
      <c r="M308">
        <v>0</v>
      </c>
      <c r="N308" s="4">
        <f t="shared" si="118"/>
        <v>0</v>
      </c>
      <c r="O308" s="9">
        <v>1394.66</v>
      </c>
      <c r="P308" s="9">
        <v>69.733000000000004</v>
      </c>
      <c r="Q308" s="9">
        <v>0</v>
      </c>
      <c r="R308" s="9">
        <v>0</v>
      </c>
      <c r="S308" s="9">
        <v>0</v>
      </c>
      <c r="T308" s="9">
        <v>0</v>
      </c>
      <c r="U308" s="9">
        <v>0</v>
      </c>
      <c r="V308" s="9">
        <v>0</v>
      </c>
      <c r="W308" s="9">
        <f t="shared" si="119"/>
        <v>1464.393</v>
      </c>
      <c r="X308" s="9">
        <v>244.06550000000004</v>
      </c>
      <c r="Y308" s="9">
        <v>0</v>
      </c>
      <c r="Z308" s="9">
        <v>1708.4585000000002</v>
      </c>
      <c r="AA308" s="9">
        <v>0</v>
      </c>
      <c r="AB308" s="9">
        <f t="shared" si="120"/>
        <v>1708.4585000000002</v>
      </c>
      <c r="AC308" s="9">
        <v>1708.4585000000002</v>
      </c>
      <c r="AD308" s="9">
        <v>0</v>
      </c>
      <c r="AE308" s="9">
        <v>1464.393</v>
      </c>
      <c r="AF308" s="9">
        <v>80.297549500000002</v>
      </c>
      <c r="AG308" s="9">
        <v>414.81155016000002</v>
      </c>
      <c r="AH308" s="9">
        <v>26.481106750000002</v>
      </c>
      <c r="AI308" s="9">
        <v>96.672183300000015</v>
      </c>
      <c r="AJ308" s="9">
        <v>3.5153521200000006</v>
      </c>
      <c r="AK308" s="9">
        <v>1.7084585000000003</v>
      </c>
      <c r="AL308" s="9">
        <v>10.546056360000001</v>
      </c>
      <c r="AM308" s="9">
        <v>2.5626877500000003</v>
      </c>
      <c r="AN308" s="9">
        <v>13.182570450000002</v>
      </c>
      <c r="AO308" s="9">
        <v>26.365140900000004</v>
      </c>
      <c r="AP308" s="9">
        <v>0</v>
      </c>
      <c r="AQ308" s="25">
        <v>0</v>
      </c>
      <c r="AR308" s="9">
        <f t="shared" si="121"/>
        <v>0</v>
      </c>
      <c r="AS308" s="25">
        <v>0</v>
      </c>
      <c r="AT308" s="9">
        <f t="shared" si="122"/>
        <v>0</v>
      </c>
      <c r="AU308" s="9">
        <v>0</v>
      </c>
      <c r="AV308" s="25">
        <v>0</v>
      </c>
      <c r="AW308" s="9">
        <f t="shared" si="123"/>
        <v>0</v>
      </c>
      <c r="AX308" s="25">
        <v>0</v>
      </c>
      <c r="AY308" s="9">
        <f t="shared" si="124"/>
        <v>0</v>
      </c>
      <c r="AZ308" s="9">
        <v>0</v>
      </c>
      <c r="BA308" s="25">
        <v>0</v>
      </c>
      <c r="BB308" s="9">
        <f t="shared" si="125"/>
        <v>0</v>
      </c>
      <c r="BC308" s="25">
        <v>0</v>
      </c>
      <c r="BD308" s="9">
        <f t="shared" si="126"/>
        <v>0</v>
      </c>
      <c r="BE308" s="9">
        <v>0</v>
      </c>
      <c r="BF308" s="9">
        <v>0</v>
      </c>
      <c r="BG308" s="9">
        <f t="shared" si="127"/>
        <v>0</v>
      </c>
      <c r="BH308" s="9">
        <v>0</v>
      </c>
      <c r="BI308" s="9">
        <f t="shared" si="128"/>
        <v>0</v>
      </c>
      <c r="BJ308" s="9">
        <v>0</v>
      </c>
      <c r="BK308" s="9">
        <v>0</v>
      </c>
      <c r="BL308" s="9">
        <f t="shared" si="129"/>
        <v>0</v>
      </c>
      <c r="BM308" s="9">
        <v>0</v>
      </c>
      <c r="BN308" s="9">
        <f t="shared" si="130"/>
        <v>0</v>
      </c>
      <c r="BO308" s="9">
        <v>0</v>
      </c>
      <c r="BP308" s="9">
        <v>0</v>
      </c>
      <c r="BQ308" s="9">
        <f t="shared" si="131"/>
        <v>0</v>
      </c>
      <c r="BR308" s="9">
        <v>0</v>
      </c>
      <c r="BS308" s="9">
        <f t="shared" si="132"/>
        <v>0</v>
      </c>
      <c r="BT308" s="9">
        <f t="shared" si="133"/>
        <v>0</v>
      </c>
      <c r="BU308" s="9">
        <f t="shared" si="134"/>
        <v>0</v>
      </c>
      <c r="BV308" s="9">
        <f t="shared" si="135"/>
        <v>111.04980250000001</v>
      </c>
      <c r="BW308">
        <f t="shared" si="136"/>
        <v>111.04980250000001</v>
      </c>
      <c r="BX308">
        <v>0</v>
      </c>
      <c r="BY308">
        <f t="shared" si="137"/>
        <v>565.09285328999999</v>
      </c>
      <c r="BZ308">
        <v>160.14939872400001</v>
      </c>
      <c r="CA308">
        <f t="shared" si="138"/>
        <v>1193.193798776</v>
      </c>
      <c r="CB308">
        <f t="shared" si="139"/>
        <v>2029.48585329</v>
      </c>
      <c r="CC308">
        <v>0</v>
      </c>
      <c r="CD308">
        <v>0</v>
      </c>
      <c r="CE308">
        <f t="shared" si="140"/>
        <v>0</v>
      </c>
      <c r="CF308">
        <f t="shared" si="141"/>
        <v>1464.393</v>
      </c>
      <c r="CG308">
        <f t="shared" si="142"/>
        <v>1193.193798776</v>
      </c>
      <c r="CH308">
        <f t="shared" si="143"/>
        <v>0</v>
      </c>
      <c r="CJ308" t="s">
        <v>278</v>
      </c>
      <c r="CL308" t="str">
        <f t="shared" si="144"/>
        <v/>
      </c>
    </row>
    <row r="309" spans="1:90" x14ac:dyDescent="0.25">
      <c r="A309" t="s">
        <v>136</v>
      </c>
      <c r="B309" t="s">
        <v>187</v>
      </c>
      <c r="C309" s="1">
        <v>46327</v>
      </c>
      <c r="D309" t="s">
        <v>174</v>
      </c>
      <c r="E309" t="s">
        <v>175</v>
      </c>
      <c r="F309" s="4">
        <v>1</v>
      </c>
      <c r="G309" s="4">
        <v>0.05</v>
      </c>
      <c r="H309" s="9">
        <v>1464.3930000000003</v>
      </c>
      <c r="I309" s="9">
        <v>244.06550000000004</v>
      </c>
      <c r="J309" s="9">
        <f t="shared" si="116"/>
        <v>1708.4585000000002</v>
      </c>
      <c r="K309" s="9">
        <v>0</v>
      </c>
      <c r="L309" s="9">
        <f t="shared" si="117"/>
        <v>0</v>
      </c>
      <c r="M309">
        <v>0</v>
      </c>
      <c r="N309" s="4">
        <f t="shared" si="118"/>
        <v>0</v>
      </c>
      <c r="O309" s="9">
        <v>1394.66</v>
      </c>
      <c r="P309" s="9">
        <v>69.733000000000004</v>
      </c>
      <c r="Q309" s="9">
        <v>0</v>
      </c>
      <c r="R309" s="9">
        <v>0</v>
      </c>
      <c r="S309" s="9">
        <v>0</v>
      </c>
      <c r="T309" s="9">
        <v>0</v>
      </c>
      <c r="U309" s="9">
        <v>0</v>
      </c>
      <c r="V309" s="9">
        <v>0</v>
      </c>
      <c r="W309" s="9">
        <f t="shared" si="119"/>
        <v>1464.393</v>
      </c>
      <c r="X309" s="9">
        <v>244.06550000000004</v>
      </c>
      <c r="Y309" s="9">
        <v>0</v>
      </c>
      <c r="Z309" s="9">
        <v>1708.4585000000002</v>
      </c>
      <c r="AA309" s="9">
        <v>0</v>
      </c>
      <c r="AB309" s="9">
        <f t="shared" si="120"/>
        <v>1708.4585000000002</v>
      </c>
      <c r="AC309" s="9">
        <v>1708.4585000000002</v>
      </c>
      <c r="AD309" s="9">
        <v>0</v>
      </c>
      <c r="AE309" s="9">
        <v>1464.393</v>
      </c>
      <c r="AF309" s="9">
        <v>80.297549500000002</v>
      </c>
      <c r="AG309" s="9">
        <v>414.81155016000002</v>
      </c>
      <c r="AH309" s="9">
        <v>26.481106750000002</v>
      </c>
      <c r="AI309" s="9">
        <v>96.672183300000015</v>
      </c>
      <c r="AJ309" s="9">
        <v>3.5153521200000006</v>
      </c>
      <c r="AK309" s="9">
        <v>1.7084585000000003</v>
      </c>
      <c r="AL309" s="9">
        <v>10.546056360000001</v>
      </c>
      <c r="AM309" s="9">
        <v>2.5626877500000003</v>
      </c>
      <c r="AN309" s="9">
        <v>13.182570450000002</v>
      </c>
      <c r="AO309" s="9">
        <v>26.365140900000004</v>
      </c>
      <c r="AP309" s="9">
        <v>0</v>
      </c>
      <c r="AQ309" s="25">
        <v>0</v>
      </c>
      <c r="AR309" s="9">
        <f t="shared" si="121"/>
        <v>0</v>
      </c>
      <c r="AS309" s="25">
        <v>0</v>
      </c>
      <c r="AT309" s="9">
        <f t="shared" si="122"/>
        <v>0</v>
      </c>
      <c r="AU309" s="9">
        <v>0</v>
      </c>
      <c r="AV309" s="25">
        <v>0</v>
      </c>
      <c r="AW309" s="9">
        <f t="shared" si="123"/>
        <v>0</v>
      </c>
      <c r="AX309" s="25">
        <v>0</v>
      </c>
      <c r="AY309" s="9">
        <f t="shared" si="124"/>
        <v>0</v>
      </c>
      <c r="AZ309" s="9">
        <v>0</v>
      </c>
      <c r="BA309" s="25">
        <v>0</v>
      </c>
      <c r="BB309" s="9">
        <f t="shared" si="125"/>
        <v>0</v>
      </c>
      <c r="BC309" s="25">
        <v>0</v>
      </c>
      <c r="BD309" s="9">
        <f t="shared" si="126"/>
        <v>0</v>
      </c>
      <c r="BE309" s="9">
        <v>0</v>
      </c>
      <c r="BF309" s="9">
        <v>0</v>
      </c>
      <c r="BG309" s="9">
        <f t="shared" si="127"/>
        <v>0</v>
      </c>
      <c r="BH309" s="9">
        <v>0</v>
      </c>
      <c r="BI309" s="9">
        <f t="shared" si="128"/>
        <v>0</v>
      </c>
      <c r="BJ309" s="9">
        <v>0</v>
      </c>
      <c r="BK309" s="9">
        <v>0</v>
      </c>
      <c r="BL309" s="9">
        <f t="shared" si="129"/>
        <v>0</v>
      </c>
      <c r="BM309" s="9">
        <v>0</v>
      </c>
      <c r="BN309" s="9">
        <f t="shared" si="130"/>
        <v>0</v>
      </c>
      <c r="BO309" s="9">
        <v>0</v>
      </c>
      <c r="BP309" s="9">
        <v>0</v>
      </c>
      <c r="BQ309" s="9">
        <f t="shared" si="131"/>
        <v>0</v>
      </c>
      <c r="BR309" s="9">
        <v>0</v>
      </c>
      <c r="BS309" s="9">
        <f t="shared" si="132"/>
        <v>0</v>
      </c>
      <c r="BT309" s="9">
        <f t="shared" si="133"/>
        <v>0</v>
      </c>
      <c r="BU309" s="9">
        <f t="shared" si="134"/>
        <v>0</v>
      </c>
      <c r="BV309" s="9">
        <f t="shared" si="135"/>
        <v>111.04980250000001</v>
      </c>
      <c r="BW309">
        <f t="shared" si="136"/>
        <v>111.04980250000001</v>
      </c>
      <c r="BX309">
        <v>0</v>
      </c>
      <c r="BY309">
        <f t="shared" si="137"/>
        <v>565.09285328999999</v>
      </c>
      <c r="BZ309">
        <v>160.14939872400001</v>
      </c>
      <c r="CA309">
        <f t="shared" si="138"/>
        <v>1193.193798776</v>
      </c>
      <c r="CB309">
        <f t="shared" si="139"/>
        <v>2029.48585329</v>
      </c>
      <c r="CC309">
        <v>0</v>
      </c>
      <c r="CD309">
        <v>0</v>
      </c>
      <c r="CE309">
        <f t="shared" si="140"/>
        <v>0</v>
      </c>
      <c r="CF309">
        <f t="shared" si="141"/>
        <v>1464.393</v>
      </c>
      <c r="CG309">
        <f t="shared" si="142"/>
        <v>1193.193798776</v>
      </c>
      <c r="CH309">
        <f t="shared" si="143"/>
        <v>0</v>
      </c>
      <c r="CJ309" t="s">
        <v>278</v>
      </c>
      <c r="CL309" t="str">
        <f t="shared" si="144"/>
        <v/>
      </c>
    </row>
    <row r="310" spans="1:90" x14ac:dyDescent="0.25">
      <c r="A310" t="s">
        <v>136</v>
      </c>
      <c r="B310" t="s">
        <v>188</v>
      </c>
      <c r="C310" s="1">
        <v>46357</v>
      </c>
      <c r="D310" t="s">
        <v>182</v>
      </c>
      <c r="E310" t="s">
        <v>175</v>
      </c>
      <c r="F310" s="4">
        <v>1</v>
      </c>
      <c r="G310" s="4">
        <v>0.05</v>
      </c>
      <c r="H310" s="9">
        <v>1464.3930000000003</v>
      </c>
      <c r="I310" s="9">
        <v>244.06550000000004</v>
      </c>
      <c r="J310" s="9">
        <f t="shared" si="116"/>
        <v>1708.4585000000002</v>
      </c>
      <c r="K310" s="9">
        <v>0</v>
      </c>
      <c r="L310" s="9">
        <f t="shared" si="117"/>
        <v>0</v>
      </c>
      <c r="M310">
        <v>0</v>
      </c>
      <c r="N310" s="4">
        <f t="shared" si="118"/>
        <v>0</v>
      </c>
      <c r="O310" s="9">
        <v>1394.66</v>
      </c>
      <c r="P310" s="9">
        <v>69.733000000000004</v>
      </c>
      <c r="Q310" s="9">
        <v>0</v>
      </c>
      <c r="R310" s="9">
        <v>0</v>
      </c>
      <c r="S310" s="9">
        <v>0</v>
      </c>
      <c r="T310" s="9">
        <v>0</v>
      </c>
      <c r="U310" s="9">
        <v>0</v>
      </c>
      <c r="V310" s="9">
        <v>0</v>
      </c>
      <c r="W310" s="9">
        <f t="shared" si="119"/>
        <v>1464.393</v>
      </c>
      <c r="X310" s="9">
        <v>0</v>
      </c>
      <c r="Y310" s="9">
        <v>0</v>
      </c>
      <c r="Z310" s="9">
        <v>0</v>
      </c>
      <c r="AA310" s="9">
        <v>0</v>
      </c>
      <c r="AB310" s="9">
        <f t="shared" si="120"/>
        <v>0</v>
      </c>
      <c r="AC310" s="9">
        <v>0</v>
      </c>
      <c r="AD310" s="9">
        <v>0</v>
      </c>
      <c r="AE310" s="9">
        <v>1464.393</v>
      </c>
      <c r="AF310" s="9">
        <v>0</v>
      </c>
      <c r="AG310" s="9">
        <v>0</v>
      </c>
      <c r="AH310" s="9">
        <v>0</v>
      </c>
      <c r="AI310" s="9">
        <v>0</v>
      </c>
      <c r="AJ310" s="9">
        <v>0</v>
      </c>
      <c r="AK310" s="9">
        <v>0</v>
      </c>
      <c r="AL310" s="9">
        <v>0</v>
      </c>
      <c r="AM310" s="9">
        <v>0</v>
      </c>
      <c r="AN310" s="9">
        <v>0</v>
      </c>
      <c r="AO310" s="9">
        <v>0</v>
      </c>
      <c r="AP310" s="9">
        <v>0</v>
      </c>
      <c r="AQ310" s="25">
        <v>0</v>
      </c>
      <c r="AR310" s="9">
        <f t="shared" si="121"/>
        <v>0</v>
      </c>
      <c r="AS310" s="25">
        <v>0</v>
      </c>
      <c r="AT310" s="9">
        <f t="shared" si="122"/>
        <v>0</v>
      </c>
      <c r="AU310" s="9">
        <v>0</v>
      </c>
      <c r="AV310" s="25">
        <v>0</v>
      </c>
      <c r="AW310" s="9">
        <f t="shared" si="123"/>
        <v>0</v>
      </c>
      <c r="AX310" s="25">
        <v>0</v>
      </c>
      <c r="AY310" s="9">
        <f t="shared" si="124"/>
        <v>0</v>
      </c>
      <c r="AZ310" s="9">
        <v>0</v>
      </c>
      <c r="BA310" s="25">
        <v>0</v>
      </c>
      <c r="BB310" s="9">
        <f t="shared" si="125"/>
        <v>0</v>
      </c>
      <c r="BC310" s="25">
        <v>0</v>
      </c>
      <c r="BD310" s="9">
        <f t="shared" si="126"/>
        <v>0</v>
      </c>
      <c r="BE310" s="9">
        <v>0</v>
      </c>
      <c r="BF310" s="9">
        <v>0</v>
      </c>
      <c r="BG310" s="9">
        <f t="shared" si="127"/>
        <v>0</v>
      </c>
      <c r="BH310" s="9">
        <v>0</v>
      </c>
      <c r="BI310" s="9">
        <f t="shared" si="128"/>
        <v>0</v>
      </c>
      <c r="BJ310" s="9">
        <v>0</v>
      </c>
      <c r="BK310" s="9">
        <v>0</v>
      </c>
      <c r="BL310" s="9">
        <f t="shared" si="129"/>
        <v>0</v>
      </c>
      <c r="BM310" s="9">
        <v>0</v>
      </c>
      <c r="BN310" s="9">
        <f t="shared" si="130"/>
        <v>0</v>
      </c>
      <c r="BO310" s="9">
        <v>0</v>
      </c>
      <c r="BP310" s="9">
        <v>0</v>
      </c>
      <c r="BQ310" s="9">
        <f t="shared" si="131"/>
        <v>0</v>
      </c>
      <c r="BR310" s="9">
        <v>0</v>
      </c>
      <c r="BS310" s="9">
        <f t="shared" si="132"/>
        <v>0</v>
      </c>
      <c r="BT310" s="9">
        <f t="shared" si="133"/>
        <v>0</v>
      </c>
      <c r="BU310" s="9">
        <f t="shared" si="134"/>
        <v>0</v>
      </c>
      <c r="BV310" s="9">
        <f t="shared" si="135"/>
        <v>0</v>
      </c>
      <c r="BW310">
        <f t="shared" si="136"/>
        <v>0</v>
      </c>
      <c r="BX310">
        <v>0</v>
      </c>
      <c r="BY310">
        <f t="shared" si="137"/>
        <v>0</v>
      </c>
      <c r="BZ310">
        <v>160.14939872400001</v>
      </c>
      <c r="CA310">
        <f t="shared" si="138"/>
        <v>1304.2436012759999</v>
      </c>
      <c r="CB310">
        <f t="shared" si="139"/>
        <v>1464.393</v>
      </c>
      <c r="CC310">
        <v>0</v>
      </c>
      <c r="CD310">
        <v>0</v>
      </c>
      <c r="CE310">
        <f t="shared" si="140"/>
        <v>0</v>
      </c>
      <c r="CF310">
        <f t="shared" si="141"/>
        <v>1464.393</v>
      </c>
      <c r="CG310">
        <f t="shared" si="142"/>
        <v>1304.2436012759999</v>
      </c>
      <c r="CH310">
        <f t="shared" si="143"/>
        <v>0</v>
      </c>
      <c r="CJ310" t="s">
        <v>278</v>
      </c>
      <c r="CL310" t="str">
        <f t="shared" si="144"/>
        <v/>
      </c>
    </row>
    <row r="311" spans="1:90" x14ac:dyDescent="0.25">
      <c r="A311" t="s">
        <v>136</v>
      </c>
      <c r="B311" t="s">
        <v>189</v>
      </c>
      <c r="C311" s="1">
        <v>46357</v>
      </c>
      <c r="D311" t="s">
        <v>174</v>
      </c>
      <c r="E311" t="s">
        <v>175</v>
      </c>
      <c r="F311" s="4">
        <v>1</v>
      </c>
      <c r="G311" s="4">
        <v>0.05</v>
      </c>
      <c r="H311" s="9">
        <v>1464.3930000000003</v>
      </c>
      <c r="I311" s="9">
        <v>244.06550000000004</v>
      </c>
      <c r="J311" s="9">
        <f t="shared" si="116"/>
        <v>1708.4585000000002</v>
      </c>
      <c r="K311" s="9">
        <v>0</v>
      </c>
      <c r="L311" s="9">
        <f t="shared" si="117"/>
        <v>0</v>
      </c>
      <c r="M311">
        <v>0</v>
      </c>
      <c r="N311" s="4">
        <f t="shared" si="118"/>
        <v>0</v>
      </c>
      <c r="O311" s="9">
        <v>1394.66</v>
      </c>
      <c r="P311" s="9">
        <v>69.733000000000004</v>
      </c>
      <c r="Q311" s="9">
        <v>0</v>
      </c>
      <c r="R311" s="9">
        <v>0</v>
      </c>
      <c r="S311" s="9">
        <v>0</v>
      </c>
      <c r="T311" s="9">
        <v>0</v>
      </c>
      <c r="U311" s="9">
        <v>0</v>
      </c>
      <c r="V311" s="9">
        <v>0</v>
      </c>
      <c r="W311" s="9">
        <f t="shared" si="119"/>
        <v>1464.393</v>
      </c>
      <c r="X311" s="9">
        <v>244.06550000000004</v>
      </c>
      <c r="Y311" s="9">
        <v>0</v>
      </c>
      <c r="Z311" s="9">
        <v>1708.4585000000002</v>
      </c>
      <c r="AA311" s="9">
        <v>0</v>
      </c>
      <c r="AB311" s="9">
        <f t="shared" si="120"/>
        <v>1708.4585000000002</v>
      </c>
      <c r="AC311" s="9">
        <v>1708.4585000000002</v>
      </c>
      <c r="AD311" s="9">
        <v>0</v>
      </c>
      <c r="AE311" s="9">
        <v>1464.393</v>
      </c>
      <c r="AF311" s="9">
        <v>80.297549500000002</v>
      </c>
      <c r="AG311" s="9">
        <v>414.81155016000002</v>
      </c>
      <c r="AH311" s="9">
        <v>26.481106750000002</v>
      </c>
      <c r="AI311" s="9">
        <v>96.672183300000015</v>
      </c>
      <c r="AJ311" s="9">
        <v>3.5153521200000006</v>
      </c>
      <c r="AK311" s="9">
        <v>1.7084585000000003</v>
      </c>
      <c r="AL311" s="9">
        <v>10.546056360000001</v>
      </c>
      <c r="AM311" s="9">
        <v>2.5626877500000003</v>
      </c>
      <c r="AN311" s="9">
        <v>13.182570450000002</v>
      </c>
      <c r="AO311" s="9">
        <v>26.365140900000004</v>
      </c>
      <c r="AP311" s="9">
        <v>0</v>
      </c>
      <c r="AQ311" s="25">
        <v>0</v>
      </c>
      <c r="AR311" s="9">
        <f t="shared" si="121"/>
        <v>0</v>
      </c>
      <c r="AS311" s="25">
        <v>0</v>
      </c>
      <c r="AT311" s="9">
        <f t="shared" si="122"/>
        <v>0</v>
      </c>
      <c r="AU311" s="9">
        <v>0</v>
      </c>
      <c r="AV311" s="25">
        <v>0</v>
      </c>
      <c r="AW311" s="9">
        <f t="shared" si="123"/>
        <v>0</v>
      </c>
      <c r="AX311" s="25">
        <v>0</v>
      </c>
      <c r="AY311" s="9">
        <f t="shared" si="124"/>
        <v>0</v>
      </c>
      <c r="AZ311" s="9">
        <v>0</v>
      </c>
      <c r="BA311" s="25">
        <v>0</v>
      </c>
      <c r="BB311" s="9">
        <f t="shared" si="125"/>
        <v>0</v>
      </c>
      <c r="BC311" s="25">
        <v>0</v>
      </c>
      <c r="BD311" s="9">
        <f t="shared" si="126"/>
        <v>0</v>
      </c>
      <c r="BE311" s="9">
        <v>0</v>
      </c>
      <c r="BF311" s="9">
        <v>0</v>
      </c>
      <c r="BG311" s="9">
        <f t="shared" si="127"/>
        <v>0</v>
      </c>
      <c r="BH311" s="9">
        <v>0</v>
      </c>
      <c r="BI311" s="9">
        <f t="shared" si="128"/>
        <v>0</v>
      </c>
      <c r="BJ311" s="9">
        <v>0</v>
      </c>
      <c r="BK311" s="9">
        <v>0</v>
      </c>
      <c r="BL311" s="9">
        <f t="shared" si="129"/>
        <v>0</v>
      </c>
      <c r="BM311" s="9">
        <v>0</v>
      </c>
      <c r="BN311" s="9">
        <f t="shared" si="130"/>
        <v>0</v>
      </c>
      <c r="BO311" s="9">
        <v>0</v>
      </c>
      <c r="BP311" s="9">
        <v>0</v>
      </c>
      <c r="BQ311" s="9">
        <f t="shared" si="131"/>
        <v>0</v>
      </c>
      <c r="BR311" s="9">
        <v>0</v>
      </c>
      <c r="BS311" s="9">
        <f t="shared" si="132"/>
        <v>0</v>
      </c>
      <c r="BT311" s="9">
        <f t="shared" si="133"/>
        <v>0</v>
      </c>
      <c r="BU311" s="9">
        <f t="shared" si="134"/>
        <v>0</v>
      </c>
      <c r="BV311" s="9">
        <f t="shared" si="135"/>
        <v>111.04980250000001</v>
      </c>
      <c r="BW311">
        <f t="shared" si="136"/>
        <v>111.04980250000001</v>
      </c>
      <c r="BX311">
        <v>0</v>
      </c>
      <c r="BY311">
        <f t="shared" si="137"/>
        <v>565.09285328999999</v>
      </c>
      <c r="BZ311">
        <v>160.14939872400001</v>
      </c>
      <c r="CA311">
        <f t="shared" si="138"/>
        <v>1193.193798776</v>
      </c>
      <c r="CB311">
        <f t="shared" si="139"/>
        <v>2029.48585329</v>
      </c>
      <c r="CC311">
        <v>0</v>
      </c>
      <c r="CD311">
        <v>0</v>
      </c>
      <c r="CE311">
        <f t="shared" si="140"/>
        <v>0</v>
      </c>
      <c r="CF311">
        <f t="shared" si="141"/>
        <v>1464.393</v>
      </c>
      <c r="CG311">
        <f t="shared" si="142"/>
        <v>1193.193798776</v>
      </c>
      <c r="CH311">
        <f t="shared" si="143"/>
        <v>0</v>
      </c>
      <c r="CJ311" t="s">
        <v>278</v>
      </c>
      <c r="CL311" t="str">
        <f t="shared" si="144"/>
        <v/>
      </c>
    </row>
    <row r="312" spans="1:90" x14ac:dyDescent="0.25">
      <c r="A312" t="s">
        <v>138</v>
      </c>
      <c r="B312" t="s">
        <v>173</v>
      </c>
      <c r="C312" s="1">
        <v>46023</v>
      </c>
      <c r="D312" t="s">
        <v>174</v>
      </c>
      <c r="E312" t="s">
        <v>175</v>
      </c>
      <c r="F312" s="4">
        <v>1</v>
      </c>
      <c r="G312" s="4">
        <v>0.25</v>
      </c>
      <c r="H312" s="9">
        <v>2579.1624999999999</v>
      </c>
      <c r="I312" s="9">
        <v>429.86041666666665</v>
      </c>
      <c r="J312" s="9">
        <f t="shared" si="116"/>
        <v>3009.0229166666668</v>
      </c>
      <c r="K312" s="9">
        <v>0</v>
      </c>
      <c r="L312" s="9">
        <f t="shared" si="117"/>
        <v>0</v>
      </c>
      <c r="M312">
        <v>0</v>
      </c>
      <c r="N312" s="4">
        <f t="shared" si="118"/>
        <v>0</v>
      </c>
      <c r="O312" s="9">
        <v>2063.33</v>
      </c>
      <c r="P312" s="9">
        <v>515.83249999999998</v>
      </c>
      <c r="Q312" s="9">
        <v>0</v>
      </c>
      <c r="R312" s="9">
        <v>0</v>
      </c>
      <c r="S312" s="9">
        <v>0</v>
      </c>
      <c r="T312" s="9">
        <v>0</v>
      </c>
      <c r="U312" s="9">
        <v>0</v>
      </c>
      <c r="V312" s="9">
        <v>0</v>
      </c>
      <c r="W312" s="9">
        <f t="shared" si="119"/>
        <v>2579.1624999999999</v>
      </c>
      <c r="X312" s="9">
        <v>429.86041666666665</v>
      </c>
      <c r="Y312" s="9">
        <v>0</v>
      </c>
      <c r="Z312" s="9">
        <v>3009.0229166666668</v>
      </c>
      <c r="AA312" s="9">
        <v>0</v>
      </c>
      <c r="AB312" s="9">
        <f t="shared" si="120"/>
        <v>3009.0229166666668</v>
      </c>
      <c r="AC312" s="9">
        <v>3009.0229166666668</v>
      </c>
      <c r="AD312" s="9">
        <v>0</v>
      </c>
      <c r="AE312" s="9">
        <v>2579.1624999999999</v>
      </c>
      <c r="AF312" s="9">
        <v>141.42407708333334</v>
      </c>
      <c r="AG312" s="9">
        <v>695.52411074999998</v>
      </c>
      <c r="AH312" s="9">
        <v>46.639855208333337</v>
      </c>
      <c r="AI312" s="9">
        <v>162.09248343750002</v>
      </c>
      <c r="AJ312" s="9">
        <v>5.8942721250000005</v>
      </c>
      <c r="AK312" s="9">
        <v>3.0090229166666669</v>
      </c>
      <c r="AL312" s="9">
        <v>17.682816375000002</v>
      </c>
      <c r="AM312" s="9">
        <v>4.5135343749999999</v>
      </c>
      <c r="AN312" s="9">
        <v>22.103520468750002</v>
      </c>
      <c r="AO312" s="9">
        <v>44.207040937500004</v>
      </c>
      <c r="AP312" s="9">
        <v>0</v>
      </c>
      <c r="AQ312" s="25">
        <v>0</v>
      </c>
      <c r="AR312" s="9">
        <f t="shared" si="121"/>
        <v>0</v>
      </c>
      <c r="AS312" s="25">
        <v>0</v>
      </c>
      <c r="AT312" s="9">
        <f t="shared" si="122"/>
        <v>0</v>
      </c>
      <c r="AU312" s="9">
        <v>0</v>
      </c>
      <c r="AV312" s="25">
        <v>0</v>
      </c>
      <c r="AW312" s="9">
        <f t="shared" si="123"/>
        <v>0</v>
      </c>
      <c r="AX312" s="25">
        <v>0</v>
      </c>
      <c r="AY312" s="9">
        <f t="shared" si="124"/>
        <v>0</v>
      </c>
      <c r="AZ312" s="9">
        <v>0</v>
      </c>
      <c r="BA312" s="25">
        <v>0</v>
      </c>
      <c r="BB312" s="9">
        <f t="shared" si="125"/>
        <v>0</v>
      </c>
      <c r="BC312" s="25">
        <v>0</v>
      </c>
      <c r="BD312" s="9">
        <f t="shared" si="126"/>
        <v>0</v>
      </c>
      <c r="BE312" s="9">
        <v>0</v>
      </c>
      <c r="BF312" s="9">
        <v>0</v>
      </c>
      <c r="BG312" s="9">
        <f t="shared" si="127"/>
        <v>0</v>
      </c>
      <c r="BH312" s="9">
        <v>0</v>
      </c>
      <c r="BI312" s="9">
        <f t="shared" si="128"/>
        <v>0</v>
      </c>
      <c r="BJ312" s="9">
        <v>0</v>
      </c>
      <c r="BK312" s="9">
        <v>0</v>
      </c>
      <c r="BL312" s="9">
        <f t="shared" si="129"/>
        <v>0</v>
      </c>
      <c r="BM312" s="9">
        <v>0</v>
      </c>
      <c r="BN312" s="9">
        <f t="shared" si="130"/>
        <v>0</v>
      </c>
      <c r="BO312" s="9">
        <v>0</v>
      </c>
      <c r="BP312" s="9">
        <v>0</v>
      </c>
      <c r="BQ312" s="9">
        <f t="shared" si="131"/>
        <v>0</v>
      </c>
      <c r="BR312" s="9">
        <v>0</v>
      </c>
      <c r="BS312" s="9">
        <f t="shared" si="132"/>
        <v>0</v>
      </c>
      <c r="BT312" s="9">
        <f t="shared" si="133"/>
        <v>0</v>
      </c>
      <c r="BU312" s="9">
        <f t="shared" si="134"/>
        <v>0</v>
      </c>
      <c r="BV312" s="9">
        <f t="shared" si="135"/>
        <v>195.58648958333336</v>
      </c>
      <c r="BW312">
        <f t="shared" si="136"/>
        <v>195.58648958333336</v>
      </c>
      <c r="BX312">
        <v>0</v>
      </c>
      <c r="BY312">
        <f t="shared" si="137"/>
        <v>947.50424409375012</v>
      </c>
      <c r="BZ312">
        <v>459.24800242499998</v>
      </c>
      <c r="CA312">
        <f t="shared" si="138"/>
        <v>1924.3280079916667</v>
      </c>
      <c r="CB312">
        <f t="shared" si="139"/>
        <v>3526.6667440937499</v>
      </c>
      <c r="CC312">
        <v>0</v>
      </c>
      <c r="CD312">
        <v>0</v>
      </c>
      <c r="CE312">
        <f t="shared" si="140"/>
        <v>0</v>
      </c>
      <c r="CF312">
        <f t="shared" si="141"/>
        <v>2579.1624999999999</v>
      </c>
      <c r="CG312">
        <f t="shared" si="142"/>
        <v>1924.3280079916667</v>
      </c>
      <c r="CH312">
        <f t="shared" si="143"/>
        <v>0</v>
      </c>
      <c r="CJ312" t="s">
        <v>278</v>
      </c>
      <c r="CL312" t="str">
        <f t="shared" si="144"/>
        <v/>
      </c>
    </row>
    <row r="313" spans="1:90" x14ac:dyDescent="0.25">
      <c r="A313" t="s">
        <v>138</v>
      </c>
      <c r="B313" t="s">
        <v>176</v>
      </c>
      <c r="C313" s="1">
        <v>46054</v>
      </c>
      <c r="D313" t="s">
        <v>174</v>
      </c>
      <c r="E313" t="s">
        <v>175</v>
      </c>
      <c r="F313" s="4">
        <v>1</v>
      </c>
      <c r="G313" s="4">
        <v>0.25</v>
      </c>
      <c r="H313" s="9">
        <v>2579.1624999999999</v>
      </c>
      <c r="I313" s="9">
        <v>429.86041666666665</v>
      </c>
      <c r="J313" s="9">
        <f t="shared" si="116"/>
        <v>3009.0229166666668</v>
      </c>
      <c r="K313" s="9">
        <v>0</v>
      </c>
      <c r="L313" s="9">
        <f t="shared" si="117"/>
        <v>0</v>
      </c>
      <c r="M313">
        <v>0</v>
      </c>
      <c r="N313" s="4">
        <f t="shared" si="118"/>
        <v>0</v>
      </c>
      <c r="O313" s="9">
        <v>2063.33</v>
      </c>
      <c r="P313" s="9">
        <v>515.83249999999998</v>
      </c>
      <c r="Q313" s="9">
        <v>0</v>
      </c>
      <c r="R313" s="9">
        <v>0</v>
      </c>
      <c r="S313" s="9">
        <v>0</v>
      </c>
      <c r="T313" s="9">
        <v>0</v>
      </c>
      <c r="U313" s="9">
        <v>0</v>
      </c>
      <c r="V313" s="9">
        <v>0</v>
      </c>
      <c r="W313" s="9">
        <f t="shared" si="119"/>
        <v>2579.1624999999999</v>
      </c>
      <c r="X313" s="9">
        <v>429.86041666666665</v>
      </c>
      <c r="Y313" s="9">
        <v>0</v>
      </c>
      <c r="Z313" s="9">
        <v>3009.0229166666668</v>
      </c>
      <c r="AA313" s="9">
        <v>0</v>
      </c>
      <c r="AB313" s="9">
        <f t="shared" si="120"/>
        <v>3009.0229166666668</v>
      </c>
      <c r="AC313" s="9">
        <v>3009.0229166666668</v>
      </c>
      <c r="AD313" s="9">
        <v>0</v>
      </c>
      <c r="AE313" s="9">
        <v>2579.1624999999999</v>
      </c>
      <c r="AF313" s="9">
        <v>141.42407708333334</v>
      </c>
      <c r="AG313" s="9">
        <v>695.52411074999998</v>
      </c>
      <c r="AH313" s="9">
        <v>46.639855208333337</v>
      </c>
      <c r="AI313" s="9">
        <v>162.09248343750002</v>
      </c>
      <c r="AJ313" s="9">
        <v>5.8942721250000005</v>
      </c>
      <c r="AK313" s="9">
        <v>3.0090229166666669</v>
      </c>
      <c r="AL313" s="9">
        <v>17.682816375000002</v>
      </c>
      <c r="AM313" s="9">
        <v>4.5135343749999999</v>
      </c>
      <c r="AN313" s="9">
        <v>22.103520468750002</v>
      </c>
      <c r="AO313" s="9">
        <v>44.207040937500004</v>
      </c>
      <c r="AP313" s="9">
        <v>0</v>
      </c>
      <c r="AQ313" s="25">
        <v>0</v>
      </c>
      <c r="AR313" s="9">
        <f t="shared" si="121"/>
        <v>0</v>
      </c>
      <c r="AS313" s="25">
        <v>0</v>
      </c>
      <c r="AT313" s="9">
        <f t="shared" si="122"/>
        <v>0</v>
      </c>
      <c r="AU313" s="9">
        <v>0</v>
      </c>
      <c r="AV313" s="25">
        <v>0</v>
      </c>
      <c r="AW313" s="9">
        <f t="shared" si="123"/>
        <v>0</v>
      </c>
      <c r="AX313" s="25">
        <v>0</v>
      </c>
      <c r="AY313" s="9">
        <f t="shared" si="124"/>
        <v>0</v>
      </c>
      <c r="AZ313" s="9">
        <v>0</v>
      </c>
      <c r="BA313" s="25">
        <v>0</v>
      </c>
      <c r="BB313" s="9">
        <f t="shared" si="125"/>
        <v>0</v>
      </c>
      <c r="BC313" s="25">
        <v>0</v>
      </c>
      <c r="BD313" s="9">
        <f t="shared" si="126"/>
        <v>0</v>
      </c>
      <c r="BE313" s="9">
        <v>0</v>
      </c>
      <c r="BF313" s="9">
        <v>0</v>
      </c>
      <c r="BG313" s="9">
        <f t="shared" si="127"/>
        <v>0</v>
      </c>
      <c r="BH313" s="9">
        <v>0</v>
      </c>
      <c r="BI313" s="9">
        <f t="shared" si="128"/>
        <v>0</v>
      </c>
      <c r="BJ313" s="9">
        <v>0</v>
      </c>
      <c r="BK313" s="9">
        <v>0</v>
      </c>
      <c r="BL313" s="9">
        <f t="shared" si="129"/>
        <v>0</v>
      </c>
      <c r="BM313" s="9">
        <v>0</v>
      </c>
      <c r="BN313" s="9">
        <f t="shared" si="130"/>
        <v>0</v>
      </c>
      <c r="BO313" s="9">
        <v>0</v>
      </c>
      <c r="BP313" s="9">
        <v>0</v>
      </c>
      <c r="BQ313" s="9">
        <f t="shared" si="131"/>
        <v>0</v>
      </c>
      <c r="BR313" s="9">
        <v>0</v>
      </c>
      <c r="BS313" s="9">
        <f t="shared" si="132"/>
        <v>0</v>
      </c>
      <c r="BT313" s="9">
        <f t="shared" si="133"/>
        <v>0</v>
      </c>
      <c r="BU313" s="9">
        <f t="shared" si="134"/>
        <v>0</v>
      </c>
      <c r="BV313" s="9">
        <f t="shared" si="135"/>
        <v>195.58648958333336</v>
      </c>
      <c r="BW313">
        <f t="shared" si="136"/>
        <v>195.58648958333336</v>
      </c>
      <c r="BX313">
        <v>0</v>
      </c>
      <c r="BY313">
        <f t="shared" si="137"/>
        <v>947.50424409375012</v>
      </c>
      <c r="BZ313">
        <v>459.24800242499998</v>
      </c>
      <c r="CA313">
        <f t="shared" si="138"/>
        <v>1924.3280079916667</v>
      </c>
      <c r="CB313">
        <f t="shared" si="139"/>
        <v>3526.6667440937499</v>
      </c>
      <c r="CC313">
        <v>0</v>
      </c>
      <c r="CD313">
        <v>0</v>
      </c>
      <c r="CE313">
        <f t="shared" si="140"/>
        <v>0</v>
      </c>
      <c r="CF313">
        <f t="shared" si="141"/>
        <v>2579.1624999999999</v>
      </c>
      <c r="CG313">
        <f t="shared" si="142"/>
        <v>1924.3280079916667</v>
      </c>
      <c r="CH313">
        <f t="shared" si="143"/>
        <v>0</v>
      </c>
      <c r="CJ313" t="s">
        <v>278</v>
      </c>
      <c r="CL313" t="str">
        <f t="shared" si="144"/>
        <v/>
      </c>
    </row>
    <row r="314" spans="1:90" x14ac:dyDescent="0.25">
      <c r="A314" t="s">
        <v>138</v>
      </c>
      <c r="B314" t="s">
        <v>177</v>
      </c>
      <c r="C314" s="1">
        <v>46082</v>
      </c>
      <c r="D314" t="s">
        <v>174</v>
      </c>
      <c r="E314" t="s">
        <v>175</v>
      </c>
      <c r="F314" s="4">
        <v>1</v>
      </c>
      <c r="G314" s="4">
        <v>0.25</v>
      </c>
      <c r="H314" s="9">
        <v>2579.1624999999999</v>
      </c>
      <c r="I314" s="9">
        <v>429.86041666666665</v>
      </c>
      <c r="J314" s="9">
        <f t="shared" si="116"/>
        <v>3009.0229166666668</v>
      </c>
      <c r="K314" s="9">
        <v>0</v>
      </c>
      <c r="L314" s="9">
        <f t="shared" si="117"/>
        <v>0</v>
      </c>
      <c r="M314">
        <v>0</v>
      </c>
      <c r="N314" s="4">
        <f t="shared" si="118"/>
        <v>0</v>
      </c>
      <c r="O314" s="9">
        <v>2063.33</v>
      </c>
      <c r="P314" s="9">
        <v>515.83249999999998</v>
      </c>
      <c r="Q314" s="9">
        <v>0</v>
      </c>
      <c r="R314" s="9">
        <v>0</v>
      </c>
      <c r="S314" s="9">
        <v>0</v>
      </c>
      <c r="T314" s="9">
        <v>0</v>
      </c>
      <c r="U314" s="9">
        <v>0</v>
      </c>
      <c r="V314" s="9">
        <v>0</v>
      </c>
      <c r="W314" s="9">
        <f t="shared" si="119"/>
        <v>2579.1624999999999</v>
      </c>
      <c r="X314" s="9">
        <v>429.86041666666665</v>
      </c>
      <c r="Y314" s="9">
        <v>0</v>
      </c>
      <c r="Z314" s="9">
        <v>3009.0229166666668</v>
      </c>
      <c r="AA314" s="9">
        <v>0</v>
      </c>
      <c r="AB314" s="9">
        <f t="shared" si="120"/>
        <v>3009.0229166666668</v>
      </c>
      <c r="AC314" s="9">
        <v>3009.0229166666668</v>
      </c>
      <c r="AD314" s="9">
        <v>0</v>
      </c>
      <c r="AE314" s="9">
        <v>2579.1624999999999</v>
      </c>
      <c r="AF314" s="9">
        <v>141.42407708333334</v>
      </c>
      <c r="AG314" s="9">
        <v>695.52411074999998</v>
      </c>
      <c r="AH314" s="9">
        <v>46.639855208333337</v>
      </c>
      <c r="AI314" s="9">
        <v>162.09248343750002</v>
      </c>
      <c r="AJ314" s="9">
        <v>5.8942721250000005</v>
      </c>
      <c r="AK314" s="9">
        <v>3.0090229166666669</v>
      </c>
      <c r="AL314" s="9">
        <v>17.682816375000002</v>
      </c>
      <c r="AM314" s="9">
        <v>4.5135343749999999</v>
      </c>
      <c r="AN314" s="9">
        <v>22.103520468750002</v>
      </c>
      <c r="AO314" s="9">
        <v>44.207040937500004</v>
      </c>
      <c r="AP314" s="9">
        <v>0</v>
      </c>
      <c r="AQ314" s="25">
        <v>0</v>
      </c>
      <c r="AR314" s="9">
        <f t="shared" si="121"/>
        <v>0</v>
      </c>
      <c r="AS314" s="25">
        <v>0</v>
      </c>
      <c r="AT314" s="9">
        <f t="shared" si="122"/>
        <v>0</v>
      </c>
      <c r="AU314" s="9">
        <v>0</v>
      </c>
      <c r="AV314" s="25">
        <v>0</v>
      </c>
      <c r="AW314" s="9">
        <f t="shared" si="123"/>
        <v>0</v>
      </c>
      <c r="AX314" s="25">
        <v>0</v>
      </c>
      <c r="AY314" s="9">
        <f t="shared" si="124"/>
        <v>0</v>
      </c>
      <c r="AZ314" s="9">
        <v>0</v>
      </c>
      <c r="BA314" s="25">
        <v>0</v>
      </c>
      <c r="BB314" s="9">
        <f t="shared" si="125"/>
        <v>0</v>
      </c>
      <c r="BC314" s="25">
        <v>0</v>
      </c>
      <c r="BD314" s="9">
        <f t="shared" si="126"/>
        <v>0</v>
      </c>
      <c r="BE314" s="9">
        <v>0</v>
      </c>
      <c r="BF314" s="9">
        <v>0</v>
      </c>
      <c r="BG314" s="9">
        <f t="shared" si="127"/>
        <v>0</v>
      </c>
      <c r="BH314" s="9">
        <v>0</v>
      </c>
      <c r="BI314" s="9">
        <f t="shared" si="128"/>
        <v>0</v>
      </c>
      <c r="BJ314" s="9">
        <v>0</v>
      </c>
      <c r="BK314" s="9">
        <v>0</v>
      </c>
      <c r="BL314" s="9">
        <f t="shared" si="129"/>
        <v>0</v>
      </c>
      <c r="BM314" s="9">
        <v>0</v>
      </c>
      <c r="BN314" s="9">
        <f t="shared" si="130"/>
        <v>0</v>
      </c>
      <c r="BO314" s="9">
        <v>0</v>
      </c>
      <c r="BP314" s="9">
        <v>0</v>
      </c>
      <c r="BQ314" s="9">
        <f t="shared" si="131"/>
        <v>0</v>
      </c>
      <c r="BR314" s="9">
        <v>0</v>
      </c>
      <c r="BS314" s="9">
        <f t="shared" si="132"/>
        <v>0</v>
      </c>
      <c r="BT314" s="9">
        <f t="shared" si="133"/>
        <v>0</v>
      </c>
      <c r="BU314" s="9">
        <f t="shared" si="134"/>
        <v>0</v>
      </c>
      <c r="BV314" s="9">
        <f t="shared" si="135"/>
        <v>195.58648958333336</v>
      </c>
      <c r="BW314">
        <f t="shared" si="136"/>
        <v>195.58648958333336</v>
      </c>
      <c r="BX314">
        <v>0</v>
      </c>
      <c r="BY314">
        <f t="shared" si="137"/>
        <v>947.50424409375012</v>
      </c>
      <c r="BZ314">
        <v>459.24800242499998</v>
      </c>
      <c r="CA314">
        <f t="shared" si="138"/>
        <v>1924.3280079916667</v>
      </c>
      <c r="CB314">
        <f t="shared" si="139"/>
        <v>3526.6667440937499</v>
      </c>
      <c r="CC314">
        <v>0</v>
      </c>
      <c r="CD314">
        <v>0</v>
      </c>
      <c r="CE314">
        <f t="shared" si="140"/>
        <v>0</v>
      </c>
      <c r="CF314">
        <f t="shared" si="141"/>
        <v>2579.1624999999999</v>
      </c>
      <c r="CG314">
        <f t="shared" si="142"/>
        <v>1924.3280079916667</v>
      </c>
      <c r="CH314">
        <f t="shared" si="143"/>
        <v>0</v>
      </c>
      <c r="CJ314" t="s">
        <v>278</v>
      </c>
      <c r="CL314" t="str">
        <f t="shared" si="144"/>
        <v/>
      </c>
    </row>
    <row r="315" spans="1:90" x14ac:dyDescent="0.25">
      <c r="A315" t="s">
        <v>138</v>
      </c>
      <c r="B315" t="s">
        <v>178</v>
      </c>
      <c r="C315" s="1">
        <v>46113</v>
      </c>
      <c r="D315" t="s">
        <v>174</v>
      </c>
      <c r="E315" t="s">
        <v>175</v>
      </c>
      <c r="F315" s="4">
        <v>1</v>
      </c>
      <c r="G315" s="4">
        <v>0.25</v>
      </c>
      <c r="H315" s="9">
        <v>2579.1624999999999</v>
      </c>
      <c r="I315" s="9">
        <v>429.86041666666665</v>
      </c>
      <c r="J315" s="9">
        <f t="shared" si="116"/>
        <v>3009.0229166666668</v>
      </c>
      <c r="K315" s="9">
        <v>0</v>
      </c>
      <c r="L315" s="9">
        <f t="shared" si="117"/>
        <v>0</v>
      </c>
      <c r="M315">
        <v>0</v>
      </c>
      <c r="N315" s="4">
        <f t="shared" si="118"/>
        <v>0</v>
      </c>
      <c r="O315" s="9">
        <v>2063.33</v>
      </c>
      <c r="P315" s="9">
        <v>515.83249999999998</v>
      </c>
      <c r="Q315" s="9">
        <v>0</v>
      </c>
      <c r="R315" s="9">
        <v>0</v>
      </c>
      <c r="S315" s="9">
        <v>0</v>
      </c>
      <c r="T315" s="9">
        <v>0</v>
      </c>
      <c r="U315" s="9">
        <v>0</v>
      </c>
      <c r="V315" s="9">
        <v>0</v>
      </c>
      <c r="W315" s="9">
        <f t="shared" si="119"/>
        <v>2579.1624999999999</v>
      </c>
      <c r="X315" s="9">
        <v>429.86041666666665</v>
      </c>
      <c r="Y315" s="9">
        <v>0</v>
      </c>
      <c r="Z315" s="9">
        <v>3009.0229166666668</v>
      </c>
      <c r="AA315" s="9">
        <v>0</v>
      </c>
      <c r="AB315" s="9">
        <f t="shared" si="120"/>
        <v>3009.0229166666668</v>
      </c>
      <c r="AC315" s="9">
        <v>3009.0229166666668</v>
      </c>
      <c r="AD315" s="9">
        <v>0</v>
      </c>
      <c r="AE315" s="9">
        <v>2579.1624999999999</v>
      </c>
      <c r="AF315" s="9">
        <v>141.42407708333334</v>
      </c>
      <c r="AG315" s="9">
        <v>695.52411074999998</v>
      </c>
      <c r="AH315" s="9">
        <v>46.639855208333337</v>
      </c>
      <c r="AI315" s="9">
        <v>162.09248343750002</v>
      </c>
      <c r="AJ315" s="9">
        <v>5.8942721250000005</v>
      </c>
      <c r="AK315" s="9">
        <v>3.0090229166666669</v>
      </c>
      <c r="AL315" s="9">
        <v>17.682816375000002</v>
      </c>
      <c r="AM315" s="9">
        <v>4.5135343749999999</v>
      </c>
      <c r="AN315" s="9">
        <v>22.103520468750002</v>
      </c>
      <c r="AO315" s="9">
        <v>44.207040937500004</v>
      </c>
      <c r="AP315" s="9">
        <v>0</v>
      </c>
      <c r="AQ315" s="25">
        <v>0</v>
      </c>
      <c r="AR315" s="9">
        <f t="shared" si="121"/>
        <v>0</v>
      </c>
      <c r="AS315" s="25">
        <v>0</v>
      </c>
      <c r="AT315" s="9">
        <f t="shared" si="122"/>
        <v>0</v>
      </c>
      <c r="AU315" s="9">
        <v>0</v>
      </c>
      <c r="AV315" s="25">
        <v>0</v>
      </c>
      <c r="AW315" s="9">
        <f t="shared" si="123"/>
        <v>0</v>
      </c>
      <c r="AX315" s="25">
        <v>0</v>
      </c>
      <c r="AY315" s="9">
        <f t="shared" si="124"/>
        <v>0</v>
      </c>
      <c r="AZ315" s="9">
        <v>0</v>
      </c>
      <c r="BA315" s="25">
        <v>0</v>
      </c>
      <c r="BB315" s="9">
        <f t="shared" si="125"/>
        <v>0</v>
      </c>
      <c r="BC315" s="25">
        <v>0</v>
      </c>
      <c r="BD315" s="9">
        <f t="shared" si="126"/>
        <v>0</v>
      </c>
      <c r="BE315" s="9">
        <v>0</v>
      </c>
      <c r="BF315" s="9">
        <v>0</v>
      </c>
      <c r="BG315" s="9">
        <f t="shared" si="127"/>
        <v>0</v>
      </c>
      <c r="BH315" s="9">
        <v>0</v>
      </c>
      <c r="BI315" s="9">
        <f t="shared" si="128"/>
        <v>0</v>
      </c>
      <c r="BJ315" s="9">
        <v>0</v>
      </c>
      <c r="BK315" s="9">
        <v>0</v>
      </c>
      <c r="BL315" s="9">
        <f t="shared" si="129"/>
        <v>0</v>
      </c>
      <c r="BM315" s="9">
        <v>0</v>
      </c>
      <c r="BN315" s="9">
        <f t="shared" si="130"/>
        <v>0</v>
      </c>
      <c r="BO315" s="9">
        <v>0</v>
      </c>
      <c r="BP315" s="9">
        <v>0</v>
      </c>
      <c r="BQ315" s="9">
        <f t="shared" si="131"/>
        <v>0</v>
      </c>
      <c r="BR315" s="9">
        <v>0</v>
      </c>
      <c r="BS315" s="9">
        <f t="shared" si="132"/>
        <v>0</v>
      </c>
      <c r="BT315" s="9">
        <f t="shared" si="133"/>
        <v>0</v>
      </c>
      <c r="BU315" s="9">
        <f t="shared" si="134"/>
        <v>0</v>
      </c>
      <c r="BV315" s="9">
        <f t="shared" si="135"/>
        <v>195.58648958333336</v>
      </c>
      <c r="BW315">
        <f t="shared" si="136"/>
        <v>195.58648958333336</v>
      </c>
      <c r="BX315">
        <v>0</v>
      </c>
      <c r="BY315">
        <f t="shared" si="137"/>
        <v>947.50424409375012</v>
      </c>
      <c r="BZ315">
        <v>459.24800242499998</v>
      </c>
      <c r="CA315">
        <f t="shared" si="138"/>
        <v>1924.3280079916667</v>
      </c>
      <c r="CB315">
        <f t="shared" si="139"/>
        <v>3526.6667440937499</v>
      </c>
      <c r="CC315">
        <v>0</v>
      </c>
      <c r="CD315">
        <v>0</v>
      </c>
      <c r="CE315">
        <f t="shared" si="140"/>
        <v>0</v>
      </c>
      <c r="CF315">
        <f t="shared" si="141"/>
        <v>2579.1624999999999</v>
      </c>
      <c r="CG315">
        <f t="shared" si="142"/>
        <v>1924.3280079916667</v>
      </c>
      <c r="CH315">
        <f t="shared" si="143"/>
        <v>0</v>
      </c>
      <c r="CJ315" t="s">
        <v>278</v>
      </c>
      <c r="CL315" t="str">
        <f t="shared" si="144"/>
        <v/>
      </c>
    </row>
    <row r="316" spans="1:90" x14ac:dyDescent="0.25">
      <c r="A316" t="s">
        <v>138</v>
      </c>
      <c r="B316" t="s">
        <v>179</v>
      </c>
      <c r="C316" s="1">
        <v>46143</v>
      </c>
      <c r="D316" t="s">
        <v>174</v>
      </c>
      <c r="E316" t="s">
        <v>175</v>
      </c>
      <c r="F316" s="4">
        <v>1</v>
      </c>
      <c r="G316" s="4">
        <v>0.25</v>
      </c>
      <c r="H316" s="9">
        <v>2579.1624999999999</v>
      </c>
      <c r="I316" s="9">
        <v>429.86041666666665</v>
      </c>
      <c r="J316" s="9">
        <f t="shared" si="116"/>
        <v>3009.0229166666668</v>
      </c>
      <c r="K316" s="9">
        <v>0</v>
      </c>
      <c r="L316" s="9">
        <f t="shared" si="117"/>
        <v>0</v>
      </c>
      <c r="M316">
        <v>0</v>
      </c>
      <c r="N316" s="4">
        <f t="shared" si="118"/>
        <v>0</v>
      </c>
      <c r="O316" s="9">
        <v>2063.33</v>
      </c>
      <c r="P316" s="9">
        <v>515.83249999999998</v>
      </c>
      <c r="Q316" s="9">
        <v>0</v>
      </c>
      <c r="R316" s="9">
        <v>0</v>
      </c>
      <c r="S316" s="9">
        <v>0</v>
      </c>
      <c r="T316" s="9">
        <v>0</v>
      </c>
      <c r="U316" s="9">
        <v>0</v>
      </c>
      <c r="V316" s="9">
        <v>0</v>
      </c>
      <c r="W316" s="9">
        <f t="shared" si="119"/>
        <v>2579.1624999999999</v>
      </c>
      <c r="X316" s="9">
        <v>429.86041666666665</v>
      </c>
      <c r="Y316" s="9">
        <v>0</v>
      </c>
      <c r="Z316" s="9">
        <v>3009.0229166666668</v>
      </c>
      <c r="AA316" s="9">
        <v>0</v>
      </c>
      <c r="AB316" s="9">
        <f t="shared" si="120"/>
        <v>3009.0229166666668</v>
      </c>
      <c r="AC316" s="9">
        <v>3009.0229166666668</v>
      </c>
      <c r="AD316" s="9">
        <v>0</v>
      </c>
      <c r="AE316" s="9">
        <v>2579.1624999999999</v>
      </c>
      <c r="AF316" s="9">
        <v>141.42407708333334</v>
      </c>
      <c r="AG316" s="9">
        <v>695.52411074999998</v>
      </c>
      <c r="AH316" s="9">
        <v>46.639855208333337</v>
      </c>
      <c r="AI316" s="9">
        <v>162.09248343750002</v>
      </c>
      <c r="AJ316" s="9">
        <v>5.8942721250000005</v>
      </c>
      <c r="AK316" s="9">
        <v>3.0090229166666669</v>
      </c>
      <c r="AL316" s="9">
        <v>17.682816375000002</v>
      </c>
      <c r="AM316" s="9">
        <v>4.5135343749999999</v>
      </c>
      <c r="AN316" s="9">
        <v>22.103520468750002</v>
      </c>
      <c r="AO316" s="9">
        <v>44.207040937500004</v>
      </c>
      <c r="AP316" s="9">
        <v>0</v>
      </c>
      <c r="AQ316" s="25">
        <v>0</v>
      </c>
      <c r="AR316" s="9">
        <f t="shared" si="121"/>
        <v>0</v>
      </c>
      <c r="AS316" s="25">
        <v>0</v>
      </c>
      <c r="AT316" s="9">
        <f t="shared" si="122"/>
        <v>0</v>
      </c>
      <c r="AU316" s="9">
        <v>0</v>
      </c>
      <c r="AV316" s="25">
        <v>0</v>
      </c>
      <c r="AW316" s="9">
        <f t="shared" si="123"/>
        <v>0</v>
      </c>
      <c r="AX316" s="25">
        <v>0</v>
      </c>
      <c r="AY316" s="9">
        <f t="shared" si="124"/>
        <v>0</v>
      </c>
      <c r="AZ316" s="9">
        <v>0</v>
      </c>
      <c r="BA316" s="25">
        <v>0</v>
      </c>
      <c r="BB316" s="9">
        <f t="shared" si="125"/>
        <v>0</v>
      </c>
      <c r="BC316" s="25">
        <v>0</v>
      </c>
      <c r="BD316" s="9">
        <f t="shared" si="126"/>
        <v>0</v>
      </c>
      <c r="BE316" s="9">
        <v>0</v>
      </c>
      <c r="BF316" s="9">
        <v>0</v>
      </c>
      <c r="BG316" s="9">
        <f t="shared" si="127"/>
        <v>0</v>
      </c>
      <c r="BH316" s="9">
        <v>0</v>
      </c>
      <c r="BI316" s="9">
        <f t="shared" si="128"/>
        <v>0</v>
      </c>
      <c r="BJ316" s="9">
        <v>0</v>
      </c>
      <c r="BK316" s="9">
        <v>0</v>
      </c>
      <c r="BL316" s="9">
        <f t="shared" si="129"/>
        <v>0</v>
      </c>
      <c r="BM316" s="9">
        <v>0</v>
      </c>
      <c r="BN316" s="9">
        <f t="shared" si="130"/>
        <v>0</v>
      </c>
      <c r="BO316" s="9">
        <v>0</v>
      </c>
      <c r="BP316" s="9">
        <v>0</v>
      </c>
      <c r="BQ316" s="9">
        <f t="shared" si="131"/>
        <v>0</v>
      </c>
      <c r="BR316" s="9">
        <v>0</v>
      </c>
      <c r="BS316" s="9">
        <f t="shared" si="132"/>
        <v>0</v>
      </c>
      <c r="BT316" s="9">
        <f t="shared" si="133"/>
        <v>0</v>
      </c>
      <c r="BU316" s="9">
        <f t="shared" si="134"/>
        <v>0</v>
      </c>
      <c r="BV316" s="9">
        <f t="shared" si="135"/>
        <v>195.58648958333336</v>
      </c>
      <c r="BW316">
        <f t="shared" si="136"/>
        <v>195.58648958333336</v>
      </c>
      <c r="BX316">
        <v>0</v>
      </c>
      <c r="BY316">
        <f t="shared" si="137"/>
        <v>947.50424409375012</v>
      </c>
      <c r="BZ316">
        <v>459.24800242499998</v>
      </c>
      <c r="CA316">
        <f t="shared" si="138"/>
        <v>1924.3280079916667</v>
      </c>
      <c r="CB316">
        <f t="shared" si="139"/>
        <v>3526.6667440937499</v>
      </c>
      <c r="CC316">
        <v>0</v>
      </c>
      <c r="CD316">
        <v>0</v>
      </c>
      <c r="CE316">
        <f t="shared" si="140"/>
        <v>0</v>
      </c>
      <c r="CF316">
        <f t="shared" si="141"/>
        <v>2579.1624999999999</v>
      </c>
      <c r="CG316">
        <f t="shared" si="142"/>
        <v>1924.3280079916667</v>
      </c>
      <c r="CH316">
        <f t="shared" si="143"/>
        <v>0</v>
      </c>
      <c r="CJ316" t="s">
        <v>278</v>
      </c>
      <c r="CL316" t="str">
        <f t="shared" si="144"/>
        <v/>
      </c>
    </row>
    <row r="317" spans="1:90" x14ac:dyDescent="0.25">
      <c r="A317" t="s">
        <v>138</v>
      </c>
      <c r="B317" t="s">
        <v>180</v>
      </c>
      <c r="C317" s="1">
        <v>46174</v>
      </c>
      <c r="D317" t="s">
        <v>174</v>
      </c>
      <c r="E317" t="s">
        <v>175</v>
      </c>
      <c r="F317" s="4">
        <v>1</v>
      </c>
      <c r="G317" s="4">
        <v>0.25</v>
      </c>
      <c r="H317" s="9">
        <v>2579.1624999999999</v>
      </c>
      <c r="I317" s="9">
        <v>429.86041666666665</v>
      </c>
      <c r="J317" s="9">
        <f t="shared" si="116"/>
        <v>3009.0229166666668</v>
      </c>
      <c r="K317" s="9">
        <v>0</v>
      </c>
      <c r="L317" s="9">
        <f t="shared" si="117"/>
        <v>0</v>
      </c>
      <c r="M317">
        <v>0</v>
      </c>
      <c r="N317" s="4">
        <f t="shared" si="118"/>
        <v>0</v>
      </c>
      <c r="O317" s="9">
        <v>2063.33</v>
      </c>
      <c r="P317" s="9">
        <v>515.83249999999998</v>
      </c>
      <c r="Q317" s="9">
        <v>0</v>
      </c>
      <c r="R317" s="9">
        <v>0</v>
      </c>
      <c r="S317" s="9">
        <v>0</v>
      </c>
      <c r="T317" s="9">
        <v>0</v>
      </c>
      <c r="U317" s="9">
        <v>0</v>
      </c>
      <c r="V317" s="9">
        <v>0</v>
      </c>
      <c r="W317" s="9">
        <f t="shared" si="119"/>
        <v>2579.1624999999999</v>
      </c>
      <c r="X317" s="9">
        <v>429.86041666666665</v>
      </c>
      <c r="Y317" s="9">
        <v>0</v>
      </c>
      <c r="Z317" s="9">
        <v>3009.0229166666668</v>
      </c>
      <c r="AA317" s="9">
        <v>0</v>
      </c>
      <c r="AB317" s="9">
        <f t="shared" si="120"/>
        <v>3009.0229166666668</v>
      </c>
      <c r="AC317" s="9">
        <v>3009.0229166666668</v>
      </c>
      <c r="AD317" s="9">
        <v>0</v>
      </c>
      <c r="AE317" s="9">
        <v>2579.1624999999999</v>
      </c>
      <c r="AF317" s="9">
        <v>141.42407708333334</v>
      </c>
      <c r="AG317" s="9">
        <v>695.52411074999998</v>
      </c>
      <c r="AH317" s="9">
        <v>46.639855208333337</v>
      </c>
      <c r="AI317" s="9">
        <v>162.09248343750002</v>
      </c>
      <c r="AJ317" s="9">
        <v>5.8942721250000005</v>
      </c>
      <c r="AK317" s="9">
        <v>3.0090229166666669</v>
      </c>
      <c r="AL317" s="9">
        <v>17.682816375000002</v>
      </c>
      <c r="AM317" s="9">
        <v>4.5135343749999999</v>
      </c>
      <c r="AN317" s="9">
        <v>22.103520468750002</v>
      </c>
      <c r="AO317" s="9">
        <v>44.207040937500004</v>
      </c>
      <c r="AP317" s="9">
        <v>0</v>
      </c>
      <c r="AQ317" s="25">
        <v>0</v>
      </c>
      <c r="AR317" s="9">
        <f t="shared" si="121"/>
        <v>0</v>
      </c>
      <c r="AS317" s="25">
        <v>0</v>
      </c>
      <c r="AT317" s="9">
        <f t="shared" si="122"/>
        <v>0</v>
      </c>
      <c r="AU317" s="9">
        <v>0</v>
      </c>
      <c r="AV317" s="25">
        <v>0</v>
      </c>
      <c r="AW317" s="9">
        <f t="shared" si="123"/>
        <v>0</v>
      </c>
      <c r="AX317" s="25">
        <v>0</v>
      </c>
      <c r="AY317" s="9">
        <f t="shared" si="124"/>
        <v>0</v>
      </c>
      <c r="AZ317" s="9">
        <v>0</v>
      </c>
      <c r="BA317" s="25">
        <v>0</v>
      </c>
      <c r="BB317" s="9">
        <f t="shared" si="125"/>
        <v>0</v>
      </c>
      <c r="BC317" s="25">
        <v>0</v>
      </c>
      <c r="BD317" s="9">
        <f t="shared" si="126"/>
        <v>0</v>
      </c>
      <c r="BE317" s="9">
        <v>0</v>
      </c>
      <c r="BF317" s="9">
        <v>0</v>
      </c>
      <c r="BG317" s="9">
        <f t="shared" si="127"/>
        <v>0</v>
      </c>
      <c r="BH317" s="9">
        <v>0</v>
      </c>
      <c r="BI317" s="9">
        <f t="shared" si="128"/>
        <v>0</v>
      </c>
      <c r="BJ317" s="9">
        <v>0</v>
      </c>
      <c r="BK317" s="9">
        <v>0</v>
      </c>
      <c r="BL317" s="9">
        <f t="shared" si="129"/>
        <v>0</v>
      </c>
      <c r="BM317" s="9">
        <v>0</v>
      </c>
      <c r="BN317" s="9">
        <f t="shared" si="130"/>
        <v>0</v>
      </c>
      <c r="BO317" s="9">
        <v>0</v>
      </c>
      <c r="BP317" s="9">
        <v>0</v>
      </c>
      <c r="BQ317" s="9">
        <f t="shared" si="131"/>
        <v>0</v>
      </c>
      <c r="BR317" s="9">
        <v>0</v>
      </c>
      <c r="BS317" s="9">
        <f t="shared" si="132"/>
        <v>0</v>
      </c>
      <c r="BT317" s="9">
        <f t="shared" si="133"/>
        <v>0</v>
      </c>
      <c r="BU317" s="9">
        <f t="shared" si="134"/>
        <v>0</v>
      </c>
      <c r="BV317" s="9">
        <f t="shared" si="135"/>
        <v>195.58648958333336</v>
      </c>
      <c r="BW317">
        <f t="shared" si="136"/>
        <v>195.58648958333336</v>
      </c>
      <c r="BX317">
        <v>0</v>
      </c>
      <c r="BY317">
        <f t="shared" si="137"/>
        <v>947.50424409375012</v>
      </c>
      <c r="BZ317">
        <v>459.24800242499998</v>
      </c>
      <c r="CA317">
        <f t="shared" si="138"/>
        <v>1924.3280079916667</v>
      </c>
      <c r="CB317">
        <f t="shared" si="139"/>
        <v>3526.6667440937499</v>
      </c>
      <c r="CC317">
        <v>0</v>
      </c>
      <c r="CD317">
        <v>0</v>
      </c>
      <c r="CE317">
        <f t="shared" si="140"/>
        <v>0</v>
      </c>
      <c r="CF317">
        <f t="shared" si="141"/>
        <v>2579.1624999999999</v>
      </c>
      <c r="CG317">
        <f t="shared" si="142"/>
        <v>1924.3280079916667</v>
      </c>
      <c r="CH317">
        <f t="shared" si="143"/>
        <v>0</v>
      </c>
      <c r="CJ317" t="s">
        <v>278</v>
      </c>
      <c r="CL317" t="str">
        <f t="shared" si="144"/>
        <v/>
      </c>
    </row>
    <row r="318" spans="1:90" x14ac:dyDescent="0.25">
      <c r="A318" t="s">
        <v>138</v>
      </c>
      <c r="B318" t="s">
        <v>181</v>
      </c>
      <c r="C318" s="1">
        <v>46204</v>
      </c>
      <c r="D318" t="s">
        <v>182</v>
      </c>
      <c r="E318" t="s">
        <v>175</v>
      </c>
      <c r="F318" s="4">
        <v>1</v>
      </c>
      <c r="G318" s="4">
        <v>0.25</v>
      </c>
      <c r="H318" s="9">
        <v>2579.1624999999999</v>
      </c>
      <c r="I318" s="9">
        <v>429.86041666666665</v>
      </c>
      <c r="J318" s="9">
        <f t="shared" si="116"/>
        <v>3009.0229166666668</v>
      </c>
      <c r="K318" s="9">
        <v>0</v>
      </c>
      <c r="L318" s="9">
        <f t="shared" si="117"/>
        <v>0</v>
      </c>
      <c r="M318">
        <v>0</v>
      </c>
      <c r="N318" s="4">
        <f t="shared" si="118"/>
        <v>0</v>
      </c>
      <c r="O318" s="9">
        <v>2063.33</v>
      </c>
      <c r="P318" s="9">
        <v>515.83249999999998</v>
      </c>
      <c r="Q318" s="9">
        <v>0</v>
      </c>
      <c r="R318" s="9">
        <v>0</v>
      </c>
      <c r="S318" s="9">
        <v>0</v>
      </c>
      <c r="T318" s="9">
        <v>0</v>
      </c>
      <c r="U318" s="9">
        <v>0</v>
      </c>
      <c r="V318" s="9">
        <v>0</v>
      </c>
      <c r="W318" s="9">
        <f t="shared" si="119"/>
        <v>2579.1624999999999</v>
      </c>
      <c r="X318" s="9">
        <v>0</v>
      </c>
      <c r="Y318" s="9">
        <v>0</v>
      </c>
      <c r="Z318" s="9">
        <v>0</v>
      </c>
      <c r="AA318" s="9">
        <v>0</v>
      </c>
      <c r="AB318" s="9">
        <f t="shared" si="120"/>
        <v>0</v>
      </c>
      <c r="AC318" s="9">
        <v>0</v>
      </c>
      <c r="AD318" s="9">
        <v>0</v>
      </c>
      <c r="AE318" s="9">
        <v>2579.1624999999999</v>
      </c>
      <c r="AF318" s="9">
        <v>0</v>
      </c>
      <c r="AG318" s="9">
        <v>0</v>
      </c>
      <c r="AH318" s="9">
        <v>0</v>
      </c>
      <c r="AI318" s="9">
        <v>0</v>
      </c>
      <c r="AJ318" s="9">
        <v>0</v>
      </c>
      <c r="AK318" s="9">
        <v>0</v>
      </c>
      <c r="AL318" s="9">
        <v>0</v>
      </c>
      <c r="AM318" s="9">
        <v>0</v>
      </c>
      <c r="AN318" s="9">
        <v>0</v>
      </c>
      <c r="AO318" s="9">
        <v>0</v>
      </c>
      <c r="AP318" s="9">
        <v>0</v>
      </c>
      <c r="AQ318" s="25">
        <v>0</v>
      </c>
      <c r="AR318" s="9">
        <f t="shared" si="121"/>
        <v>0</v>
      </c>
      <c r="AS318" s="25">
        <v>0</v>
      </c>
      <c r="AT318" s="9">
        <f t="shared" si="122"/>
        <v>0</v>
      </c>
      <c r="AU318" s="9">
        <v>0</v>
      </c>
      <c r="AV318" s="25">
        <v>0</v>
      </c>
      <c r="AW318" s="9">
        <f t="shared" si="123"/>
        <v>0</v>
      </c>
      <c r="AX318" s="25">
        <v>0</v>
      </c>
      <c r="AY318" s="9">
        <f t="shared" si="124"/>
        <v>0</v>
      </c>
      <c r="AZ318" s="9">
        <v>0</v>
      </c>
      <c r="BA318" s="25">
        <v>0</v>
      </c>
      <c r="BB318" s="9">
        <f t="shared" si="125"/>
        <v>0</v>
      </c>
      <c r="BC318" s="25">
        <v>0</v>
      </c>
      <c r="BD318" s="9">
        <f t="shared" si="126"/>
        <v>0</v>
      </c>
      <c r="BE318" s="9">
        <v>0</v>
      </c>
      <c r="BF318" s="9">
        <v>0</v>
      </c>
      <c r="BG318" s="9">
        <f t="shared" si="127"/>
        <v>0</v>
      </c>
      <c r="BH318" s="9">
        <v>0</v>
      </c>
      <c r="BI318" s="9">
        <f t="shared" si="128"/>
        <v>0</v>
      </c>
      <c r="BJ318" s="9">
        <v>0</v>
      </c>
      <c r="BK318" s="9">
        <v>0</v>
      </c>
      <c r="BL318" s="9">
        <f t="shared" si="129"/>
        <v>0</v>
      </c>
      <c r="BM318" s="9">
        <v>0</v>
      </c>
      <c r="BN318" s="9">
        <f t="shared" si="130"/>
        <v>0</v>
      </c>
      <c r="BO318" s="9">
        <v>0</v>
      </c>
      <c r="BP318" s="9">
        <v>0</v>
      </c>
      <c r="BQ318" s="9">
        <f t="shared" si="131"/>
        <v>0</v>
      </c>
      <c r="BR318" s="9">
        <v>0</v>
      </c>
      <c r="BS318" s="9">
        <f t="shared" si="132"/>
        <v>0</v>
      </c>
      <c r="BT318" s="9">
        <f t="shared" si="133"/>
        <v>0</v>
      </c>
      <c r="BU318" s="9">
        <f t="shared" si="134"/>
        <v>0</v>
      </c>
      <c r="BV318" s="9">
        <f t="shared" si="135"/>
        <v>0</v>
      </c>
      <c r="BW318">
        <f t="shared" si="136"/>
        <v>0</v>
      </c>
      <c r="BX318">
        <v>0</v>
      </c>
      <c r="BY318">
        <f t="shared" si="137"/>
        <v>0</v>
      </c>
      <c r="BZ318">
        <v>459.24800242499998</v>
      </c>
      <c r="CA318">
        <f t="shared" si="138"/>
        <v>2119.914497575</v>
      </c>
      <c r="CB318">
        <f t="shared" si="139"/>
        <v>2579.1624999999999</v>
      </c>
      <c r="CC318">
        <v>0</v>
      </c>
      <c r="CD318">
        <v>0</v>
      </c>
      <c r="CE318">
        <f t="shared" si="140"/>
        <v>0</v>
      </c>
      <c r="CF318">
        <f t="shared" si="141"/>
        <v>2579.1624999999999</v>
      </c>
      <c r="CG318">
        <f t="shared" si="142"/>
        <v>2119.914497575</v>
      </c>
      <c r="CH318">
        <f t="shared" si="143"/>
        <v>0</v>
      </c>
      <c r="CJ318" t="s">
        <v>278</v>
      </c>
      <c r="CL318" t="str">
        <f t="shared" si="144"/>
        <v/>
      </c>
    </row>
    <row r="319" spans="1:90" x14ac:dyDescent="0.25">
      <c r="A319" t="s">
        <v>138</v>
      </c>
      <c r="B319" t="s">
        <v>183</v>
      </c>
      <c r="C319" s="1">
        <v>46204</v>
      </c>
      <c r="D319" t="s">
        <v>174</v>
      </c>
      <c r="E319" t="s">
        <v>175</v>
      </c>
      <c r="F319" s="4">
        <v>1</v>
      </c>
      <c r="G319" s="4">
        <v>0.25</v>
      </c>
      <c r="H319" s="9">
        <v>2579.1624999999999</v>
      </c>
      <c r="I319" s="9">
        <v>429.86041666666665</v>
      </c>
      <c r="J319" s="9">
        <f t="shared" si="116"/>
        <v>3009.0229166666668</v>
      </c>
      <c r="K319" s="9">
        <v>0</v>
      </c>
      <c r="L319" s="9">
        <f t="shared" si="117"/>
        <v>0</v>
      </c>
      <c r="M319">
        <v>0</v>
      </c>
      <c r="N319" s="4">
        <f t="shared" si="118"/>
        <v>0</v>
      </c>
      <c r="O319" s="9">
        <v>2063.33</v>
      </c>
      <c r="P319" s="9">
        <v>515.83249999999998</v>
      </c>
      <c r="Q319" s="9">
        <v>0</v>
      </c>
      <c r="R319" s="9">
        <v>0</v>
      </c>
      <c r="S319" s="9">
        <v>0</v>
      </c>
      <c r="T319" s="9">
        <v>0</v>
      </c>
      <c r="U319" s="9">
        <v>0</v>
      </c>
      <c r="V319" s="9">
        <v>0</v>
      </c>
      <c r="W319" s="9">
        <f t="shared" si="119"/>
        <v>2579.1624999999999</v>
      </c>
      <c r="X319" s="9">
        <v>429.86041666666665</v>
      </c>
      <c r="Y319" s="9">
        <v>0</v>
      </c>
      <c r="Z319" s="9">
        <v>3009.0229166666668</v>
      </c>
      <c r="AA319" s="9">
        <v>0</v>
      </c>
      <c r="AB319" s="9">
        <f t="shared" si="120"/>
        <v>3009.0229166666668</v>
      </c>
      <c r="AC319" s="9">
        <v>3009.0229166666668</v>
      </c>
      <c r="AD319" s="9">
        <v>0</v>
      </c>
      <c r="AE319" s="9">
        <v>2579.1624999999999</v>
      </c>
      <c r="AF319" s="9">
        <v>141.42407708333334</v>
      </c>
      <c r="AG319" s="9">
        <v>695.52411074999998</v>
      </c>
      <c r="AH319" s="9">
        <v>46.639855208333337</v>
      </c>
      <c r="AI319" s="9">
        <v>162.09248343750002</v>
      </c>
      <c r="AJ319" s="9">
        <v>5.8942721250000005</v>
      </c>
      <c r="AK319" s="9">
        <v>3.0090229166666669</v>
      </c>
      <c r="AL319" s="9">
        <v>17.682816375000002</v>
      </c>
      <c r="AM319" s="9">
        <v>4.5135343749999999</v>
      </c>
      <c r="AN319" s="9">
        <v>22.103520468750002</v>
      </c>
      <c r="AO319" s="9">
        <v>44.207040937500004</v>
      </c>
      <c r="AP319" s="9">
        <v>0</v>
      </c>
      <c r="AQ319" s="25">
        <v>0</v>
      </c>
      <c r="AR319" s="9">
        <f t="shared" si="121"/>
        <v>0</v>
      </c>
      <c r="AS319" s="25">
        <v>0</v>
      </c>
      <c r="AT319" s="9">
        <f t="shared" si="122"/>
        <v>0</v>
      </c>
      <c r="AU319" s="9">
        <v>0</v>
      </c>
      <c r="AV319" s="25">
        <v>0</v>
      </c>
      <c r="AW319" s="9">
        <f t="shared" si="123"/>
        <v>0</v>
      </c>
      <c r="AX319" s="25">
        <v>0</v>
      </c>
      <c r="AY319" s="9">
        <f t="shared" si="124"/>
        <v>0</v>
      </c>
      <c r="AZ319" s="9">
        <v>0</v>
      </c>
      <c r="BA319" s="25">
        <v>0</v>
      </c>
      <c r="BB319" s="9">
        <f t="shared" si="125"/>
        <v>0</v>
      </c>
      <c r="BC319" s="25">
        <v>0</v>
      </c>
      <c r="BD319" s="9">
        <f t="shared" si="126"/>
        <v>0</v>
      </c>
      <c r="BE319" s="9">
        <v>0</v>
      </c>
      <c r="BF319" s="9">
        <v>0</v>
      </c>
      <c r="BG319" s="9">
        <f t="shared" si="127"/>
        <v>0</v>
      </c>
      <c r="BH319" s="9">
        <v>0</v>
      </c>
      <c r="BI319" s="9">
        <f t="shared" si="128"/>
        <v>0</v>
      </c>
      <c r="BJ319" s="9">
        <v>0</v>
      </c>
      <c r="BK319" s="9">
        <v>0</v>
      </c>
      <c r="BL319" s="9">
        <f t="shared" si="129"/>
        <v>0</v>
      </c>
      <c r="BM319" s="9">
        <v>0</v>
      </c>
      <c r="BN319" s="9">
        <f t="shared" si="130"/>
        <v>0</v>
      </c>
      <c r="BO319" s="9">
        <v>0</v>
      </c>
      <c r="BP319" s="9">
        <v>0</v>
      </c>
      <c r="BQ319" s="9">
        <f t="shared" si="131"/>
        <v>0</v>
      </c>
      <c r="BR319" s="9">
        <v>0</v>
      </c>
      <c r="BS319" s="9">
        <f t="shared" si="132"/>
        <v>0</v>
      </c>
      <c r="BT319" s="9">
        <f t="shared" si="133"/>
        <v>0</v>
      </c>
      <c r="BU319" s="9">
        <f t="shared" si="134"/>
        <v>0</v>
      </c>
      <c r="BV319" s="9">
        <f t="shared" si="135"/>
        <v>195.58648958333336</v>
      </c>
      <c r="BW319">
        <f t="shared" si="136"/>
        <v>195.58648958333336</v>
      </c>
      <c r="BX319">
        <v>0</v>
      </c>
      <c r="BY319">
        <f t="shared" si="137"/>
        <v>947.50424409375012</v>
      </c>
      <c r="BZ319">
        <v>459.24800242499998</v>
      </c>
      <c r="CA319">
        <f t="shared" si="138"/>
        <v>1924.3280079916667</v>
      </c>
      <c r="CB319">
        <f t="shared" si="139"/>
        <v>3526.6667440937499</v>
      </c>
      <c r="CC319">
        <v>0</v>
      </c>
      <c r="CD319">
        <v>0</v>
      </c>
      <c r="CE319">
        <f t="shared" si="140"/>
        <v>0</v>
      </c>
      <c r="CF319">
        <f t="shared" si="141"/>
        <v>2579.1624999999999</v>
      </c>
      <c r="CG319">
        <f t="shared" si="142"/>
        <v>1924.3280079916667</v>
      </c>
      <c r="CH319">
        <f t="shared" si="143"/>
        <v>0</v>
      </c>
      <c r="CJ319" t="s">
        <v>278</v>
      </c>
      <c r="CL319" t="str">
        <f t="shared" si="144"/>
        <v/>
      </c>
    </row>
    <row r="320" spans="1:90" x14ac:dyDescent="0.25">
      <c r="A320" t="s">
        <v>138</v>
      </c>
      <c r="B320" t="s">
        <v>184</v>
      </c>
      <c r="C320" s="1">
        <v>46235</v>
      </c>
      <c r="D320" t="s">
        <v>174</v>
      </c>
      <c r="E320" t="s">
        <v>175</v>
      </c>
      <c r="F320" s="4">
        <v>1</v>
      </c>
      <c r="G320" s="4">
        <v>0.25</v>
      </c>
      <c r="H320" s="9">
        <v>2579.1624999999999</v>
      </c>
      <c r="I320" s="9">
        <v>429.86041666666665</v>
      </c>
      <c r="J320" s="9">
        <f t="shared" si="116"/>
        <v>3009.0229166666668</v>
      </c>
      <c r="K320" s="9">
        <v>0</v>
      </c>
      <c r="L320" s="9">
        <f t="shared" si="117"/>
        <v>0</v>
      </c>
      <c r="M320">
        <v>0</v>
      </c>
      <c r="N320" s="4">
        <f t="shared" si="118"/>
        <v>0</v>
      </c>
      <c r="O320" s="9">
        <v>2063.33</v>
      </c>
      <c r="P320" s="9">
        <v>515.83249999999998</v>
      </c>
      <c r="Q320" s="9">
        <v>0</v>
      </c>
      <c r="R320" s="9">
        <v>0</v>
      </c>
      <c r="S320" s="9">
        <v>0</v>
      </c>
      <c r="T320" s="9">
        <v>0</v>
      </c>
      <c r="U320" s="9">
        <v>0</v>
      </c>
      <c r="V320" s="9">
        <v>0</v>
      </c>
      <c r="W320" s="9">
        <f t="shared" si="119"/>
        <v>2579.1624999999999</v>
      </c>
      <c r="X320" s="9">
        <v>429.86041666666665</v>
      </c>
      <c r="Y320" s="9">
        <v>0</v>
      </c>
      <c r="Z320" s="9">
        <v>3009.0229166666668</v>
      </c>
      <c r="AA320" s="9">
        <v>0</v>
      </c>
      <c r="AB320" s="9">
        <f t="shared" si="120"/>
        <v>3009.0229166666668</v>
      </c>
      <c r="AC320" s="9">
        <v>3009.0229166666668</v>
      </c>
      <c r="AD320" s="9">
        <v>0</v>
      </c>
      <c r="AE320" s="9">
        <v>2579.1624999999999</v>
      </c>
      <c r="AF320" s="9">
        <v>141.42407708333334</v>
      </c>
      <c r="AG320" s="9">
        <v>695.52411074999998</v>
      </c>
      <c r="AH320" s="9">
        <v>46.639855208333337</v>
      </c>
      <c r="AI320" s="9">
        <v>162.09248343750002</v>
      </c>
      <c r="AJ320" s="9">
        <v>5.8942721250000005</v>
      </c>
      <c r="AK320" s="9">
        <v>3.0090229166666669</v>
      </c>
      <c r="AL320" s="9">
        <v>17.682816375000002</v>
      </c>
      <c r="AM320" s="9">
        <v>4.5135343749999999</v>
      </c>
      <c r="AN320" s="9">
        <v>22.103520468750002</v>
      </c>
      <c r="AO320" s="9">
        <v>44.207040937500004</v>
      </c>
      <c r="AP320" s="9">
        <v>0</v>
      </c>
      <c r="AQ320" s="25">
        <v>0</v>
      </c>
      <c r="AR320" s="9">
        <f t="shared" si="121"/>
        <v>0</v>
      </c>
      <c r="AS320" s="25">
        <v>0</v>
      </c>
      <c r="AT320" s="9">
        <f t="shared" si="122"/>
        <v>0</v>
      </c>
      <c r="AU320" s="9">
        <v>0</v>
      </c>
      <c r="AV320" s="25">
        <v>0</v>
      </c>
      <c r="AW320" s="9">
        <f t="shared" si="123"/>
        <v>0</v>
      </c>
      <c r="AX320" s="25">
        <v>0</v>
      </c>
      <c r="AY320" s="9">
        <f t="shared" si="124"/>
        <v>0</v>
      </c>
      <c r="AZ320" s="9">
        <v>0</v>
      </c>
      <c r="BA320" s="25">
        <v>0</v>
      </c>
      <c r="BB320" s="9">
        <f t="shared" si="125"/>
        <v>0</v>
      </c>
      <c r="BC320" s="25">
        <v>0</v>
      </c>
      <c r="BD320" s="9">
        <f t="shared" si="126"/>
        <v>0</v>
      </c>
      <c r="BE320" s="9">
        <v>0</v>
      </c>
      <c r="BF320" s="9">
        <v>0</v>
      </c>
      <c r="BG320" s="9">
        <f t="shared" si="127"/>
        <v>0</v>
      </c>
      <c r="BH320" s="9">
        <v>0</v>
      </c>
      <c r="BI320" s="9">
        <f t="shared" si="128"/>
        <v>0</v>
      </c>
      <c r="BJ320" s="9">
        <v>0</v>
      </c>
      <c r="BK320" s="9">
        <v>0</v>
      </c>
      <c r="BL320" s="9">
        <f t="shared" si="129"/>
        <v>0</v>
      </c>
      <c r="BM320" s="9">
        <v>0</v>
      </c>
      <c r="BN320" s="9">
        <f t="shared" si="130"/>
        <v>0</v>
      </c>
      <c r="BO320" s="9">
        <v>0</v>
      </c>
      <c r="BP320" s="9">
        <v>0</v>
      </c>
      <c r="BQ320" s="9">
        <f t="shared" si="131"/>
        <v>0</v>
      </c>
      <c r="BR320" s="9">
        <v>0</v>
      </c>
      <c r="BS320" s="9">
        <f t="shared" si="132"/>
        <v>0</v>
      </c>
      <c r="BT320" s="9">
        <f t="shared" si="133"/>
        <v>0</v>
      </c>
      <c r="BU320" s="9">
        <f t="shared" si="134"/>
        <v>0</v>
      </c>
      <c r="BV320" s="9">
        <f t="shared" si="135"/>
        <v>195.58648958333336</v>
      </c>
      <c r="BW320">
        <f t="shared" si="136"/>
        <v>195.58648958333336</v>
      </c>
      <c r="BX320">
        <v>0</v>
      </c>
      <c r="BY320">
        <f t="shared" si="137"/>
        <v>947.50424409375012</v>
      </c>
      <c r="BZ320">
        <v>459.24800242499998</v>
      </c>
      <c r="CA320">
        <f t="shared" si="138"/>
        <v>1924.3280079916667</v>
      </c>
      <c r="CB320">
        <f t="shared" si="139"/>
        <v>3526.6667440937499</v>
      </c>
      <c r="CC320">
        <v>0</v>
      </c>
      <c r="CD320">
        <v>0</v>
      </c>
      <c r="CE320">
        <f t="shared" si="140"/>
        <v>0</v>
      </c>
      <c r="CF320">
        <f t="shared" si="141"/>
        <v>2579.1624999999999</v>
      </c>
      <c r="CG320">
        <f t="shared" si="142"/>
        <v>1924.3280079916667</v>
      </c>
      <c r="CH320">
        <f t="shared" si="143"/>
        <v>0</v>
      </c>
      <c r="CJ320" t="s">
        <v>278</v>
      </c>
      <c r="CL320" t="str">
        <f t="shared" si="144"/>
        <v/>
      </c>
    </row>
    <row r="321" spans="1:90" x14ac:dyDescent="0.25">
      <c r="A321" t="s">
        <v>138</v>
      </c>
      <c r="B321" t="s">
        <v>185</v>
      </c>
      <c r="C321" s="1">
        <v>46266</v>
      </c>
      <c r="D321" t="s">
        <v>174</v>
      </c>
      <c r="E321" t="s">
        <v>175</v>
      </c>
      <c r="F321" s="4">
        <v>1</v>
      </c>
      <c r="G321" s="4">
        <v>0.25</v>
      </c>
      <c r="H321" s="9">
        <v>2579.1624999999999</v>
      </c>
      <c r="I321" s="9">
        <v>429.86041666666665</v>
      </c>
      <c r="J321" s="9">
        <f t="shared" si="116"/>
        <v>3009.0229166666668</v>
      </c>
      <c r="K321" s="9">
        <v>0</v>
      </c>
      <c r="L321" s="9">
        <f t="shared" si="117"/>
        <v>0</v>
      </c>
      <c r="M321">
        <v>0</v>
      </c>
      <c r="N321" s="4">
        <f t="shared" si="118"/>
        <v>0</v>
      </c>
      <c r="O321" s="9">
        <v>2063.33</v>
      </c>
      <c r="P321" s="9">
        <v>515.83249999999998</v>
      </c>
      <c r="Q321" s="9">
        <v>0</v>
      </c>
      <c r="R321" s="9">
        <v>0</v>
      </c>
      <c r="S321" s="9">
        <v>0</v>
      </c>
      <c r="T321" s="9">
        <v>0</v>
      </c>
      <c r="U321" s="9">
        <v>0</v>
      </c>
      <c r="V321" s="9">
        <v>0</v>
      </c>
      <c r="W321" s="9">
        <f t="shared" si="119"/>
        <v>2579.1624999999999</v>
      </c>
      <c r="X321" s="9">
        <v>429.86041666666665</v>
      </c>
      <c r="Y321" s="9">
        <v>0</v>
      </c>
      <c r="Z321" s="9">
        <v>3009.0229166666668</v>
      </c>
      <c r="AA321" s="9">
        <v>0</v>
      </c>
      <c r="AB321" s="9">
        <f t="shared" si="120"/>
        <v>3009.0229166666668</v>
      </c>
      <c r="AC321" s="9">
        <v>3009.0229166666668</v>
      </c>
      <c r="AD321" s="9">
        <v>0</v>
      </c>
      <c r="AE321" s="9">
        <v>2579.1624999999999</v>
      </c>
      <c r="AF321" s="9">
        <v>141.42407708333334</v>
      </c>
      <c r="AG321" s="9">
        <v>695.52411074999998</v>
      </c>
      <c r="AH321" s="9">
        <v>46.639855208333337</v>
      </c>
      <c r="AI321" s="9">
        <v>162.09248343750002</v>
      </c>
      <c r="AJ321" s="9">
        <v>5.8942721250000005</v>
      </c>
      <c r="AK321" s="9">
        <v>3.0090229166666669</v>
      </c>
      <c r="AL321" s="9">
        <v>17.682816375000002</v>
      </c>
      <c r="AM321" s="9">
        <v>4.5135343749999999</v>
      </c>
      <c r="AN321" s="9">
        <v>22.103520468750002</v>
      </c>
      <c r="AO321" s="9">
        <v>44.207040937500004</v>
      </c>
      <c r="AP321" s="9">
        <v>0</v>
      </c>
      <c r="AQ321" s="25">
        <v>0</v>
      </c>
      <c r="AR321" s="9">
        <f t="shared" si="121"/>
        <v>0</v>
      </c>
      <c r="AS321" s="25">
        <v>0</v>
      </c>
      <c r="AT321" s="9">
        <f t="shared" si="122"/>
        <v>0</v>
      </c>
      <c r="AU321" s="9">
        <v>0</v>
      </c>
      <c r="AV321" s="25">
        <v>0</v>
      </c>
      <c r="AW321" s="9">
        <f t="shared" si="123"/>
        <v>0</v>
      </c>
      <c r="AX321" s="25">
        <v>0</v>
      </c>
      <c r="AY321" s="9">
        <f t="shared" si="124"/>
        <v>0</v>
      </c>
      <c r="AZ321" s="9">
        <v>0</v>
      </c>
      <c r="BA321" s="25">
        <v>0</v>
      </c>
      <c r="BB321" s="9">
        <f t="shared" si="125"/>
        <v>0</v>
      </c>
      <c r="BC321" s="25">
        <v>0</v>
      </c>
      <c r="BD321" s="9">
        <f t="shared" si="126"/>
        <v>0</v>
      </c>
      <c r="BE321" s="9">
        <v>0</v>
      </c>
      <c r="BF321" s="9">
        <v>0</v>
      </c>
      <c r="BG321" s="9">
        <f t="shared" si="127"/>
        <v>0</v>
      </c>
      <c r="BH321" s="9">
        <v>0</v>
      </c>
      <c r="BI321" s="9">
        <f t="shared" si="128"/>
        <v>0</v>
      </c>
      <c r="BJ321" s="9">
        <v>0</v>
      </c>
      <c r="BK321" s="9">
        <v>0</v>
      </c>
      <c r="BL321" s="9">
        <f t="shared" si="129"/>
        <v>0</v>
      </c>
      <c r="BM321" s="9">
        <v>0</v>
      </c>
      <c r="BN321" s="9">
        <f t="shared" si="130"/>
        <v>0</v>
      </c>
      <c r="BO321" s="9">
        <v>0</v>
      </c>
      <c r="BP321" s="9">
        <v>0</v>
      </c>
      <c r="BQ321" s="9">
        <f t="shared" si="131"/>
        <v>0</v>
      </c>
      <c r="BR321" s="9">
        <v>0</v>
      </c>
      <c r="BS321" s="9">
        <f t="shared" si="132"/>
        <v>0</v>
      </c>
      <c r="BT321" s="9">
        <f t="shared" si="133"/>
        <v>0</v>
      </c>
      <c r="BU321" s="9">
        <f t="shared" si="134"/>
        <v>0</v>
      </c>
      <c r="BV321" s="9">
        <f t="shared" si="135"/>
        <v>195.58648958333336</v>
      </c>
      <c r="BW321">
        <f t="shared" si="136"/>
        <v>195.58648958333336</v>
      </c>
      <c r="BX321">
        <v>0</v>
      </c>
      <c r="BY321">
        <f t="shared" si="137"/>
        <v>947.50424409375012</v>
      </c>
      <c r="BZ321">
        <v>459.24800242499998</v>
      </c>
      <c r="CA321">
        <f t="shared" si="138"/>
        <v>1924.3280079916667</v>
      </c>
      <c r="CB321">
        <f t="shared" si="139"/>
        <v>3526.6667440937499</v>
      </c>
      <c r="CC321">
        <v>0</v>
      </c>
      <c r="CD321">
        <v>0</v>
      </c>
      <c r="CE321">
        <f t="shared" si="140"/>
        <v>0</v>
      </c>
      <c r="CF321">
        <f t="shared" si="141"/>
        <v>2579.1624999999999</v>
      </c>
      <c r="CG321">
        <f t="shared" si="142"/>
        <v>1924.3280079916667</v>
      </c>
      <c r="CH321">
        <f t="shared" si="143"/>
        <v>0</v>
      </c>
      <c r="CJ321" t="s">
        <v>278</v>
      </c>
      <c r="CL321" t="str">
        <f t="shared" si="144"/>
        <v/>
      </c>
    </row>
    <row r="322" spans="1:90" x14ac:dyDescent="0.25">
      <c r="A322" t="s">
        <v>138</v>
      </c>
      <c r="B322" t="s">
        <v>186</v>
      </c>
      <c r="C322" s="1">
        <v>46296</v>
      </c>
      <c r="D322" t="s">
        <v>174</v>
      </c>
      <c r="E322" t="s">
        <v>175</v>
      </c>
      <c r="F322" s="4">
        <v>1</v>
      </c>
      <c r="G322" s="4">
        <v>0.25</v>
      </c>
      <c r="H322" s="9">
        <v>2579.1624999999999</v>
      </c>
      <c r="I322" s="9">
        <v>429.86041666666665</v>
      </c>
      <c r="J322" s="9">
        <f t="shared" si="116"/>
        <v>3009.0229166666668</v>
      </c>
      <c r="K322" s="9">
        <v>0</v>
      </c>
      <c r="L322" s="9">
        <f t="shared" si="117"/>
        <v>0</v>
      </c>
      <c r="M322">
        <v>0</v>
      </c>
      <c r="N322" s="4">
        <f t="shared" si="118"/>
        <v>0</v>
      </c>
      <c r="O322" s="9">
        <v>2063.33</v>
      </c>
      <c r="P322" s="9">
        <v>515.83249999999998</v>
      </c>
      <c r="Q322" s="9">
        <v>0</v>
      </c>
      <c r="R322" s="9">
        <v>0</v>
      </c>
      <c r="S322" s="9">
        <v>0</v>
      </c>
      <c r="T322" s="9">
        <v>0</v>
      </c>
      <c r="U322" s="9">
        <v>0</v>
      </c>
      <c r="V322" s="9">
        <v>0</v>
      </c>
      <c r="W322" s="9">
        <f t="shared" si="119"/>
        <v>2579.1624999999999</v>
      </c>
      <c r="X322" s="9">
        <v>429.86041666666665</v>
      </c>
      <c r="Y322" s="9">
        <v>0</v>
      </c>
      <c r="Z322" s="9">
        <v>3009.0229166666668</v>
      </c>
      <c r="AA322" s="9">
        <v>0</v>
      </c>
      <c r="AB322" s="9">
        <f t="shared" si="120"/>
        <v>3009.0229166666668</v>
      </c>
      <c r="AC322" s="9">
        <v>3009.0229166666668</v>
      </c>
      <c r="AD322" s="9">
        <v>0</v>
      </c>
      <c r="AE322" s="9">
        <v>2579.1624999999999</v>
      </c>
      <c r="AF322" s="9">
        <v>141.42407708333334</v>
      </c>
      <c r="AG322" s="9">
        <v>695.52411074999998</v>
      </c>
      <c r="AH322" s="9">
        <v>46.639855208333337</v>
      </c>
      <c r="AI322" s="9">
        <v>162.09248343750002</v>
      </c>
      <c r="AJ322" s="9">
        <v>5.8942721250000005</v>
      </c>
      <c r="AK322" s="9">
        <v>3.0090229166666669</v>
      </c>
      <c r="AL322" s="9">
        <v>17.682816375000002</v>
      </c>
      <c r="AM322" s="9">
        <v>4.5135343749999999</v>
      </c>
      <c r="AN322" s="9">
        <v>22.103520468750002</v>
      </c>
      <c r="AO322" s="9">
        <v>44.207040937500004</v>
      </c>
      <c r="AP322" s="9">
        <v>0</v>
      </c>
      <c r="AQ322" s="25">
        <v>0</v>
      </c>
      <c r="AR322" s="9">
        <f t="shared" si="121"/>
        <v>0</v>
      </c>
      <c r="AS322" s="25">
        <v>0</v>
      </c>
      <c r="AT322" s="9">
        <f t="shared" si="122"/>
        <v>0</v>
      </c>
      <c r="AU322" s="9">
        <v>0</v>
      </c>
      <c r="AV322" s="25">
        <v>0</v>
      </c>
      <c r="AW322" s="9">
        <f t="shared" si="123"/>
        <v>0</v>
      </c>
      <c r="AX322" s="25">
        <v>0</v>
      </c>
      <c r="AY322" s="9">
        <f t="shared" si="124"/>
        <v>0</v>
      </c>
      <c r="AZ322" s="9">
        <v>0</v>
      </c>
      <c r="BA322" s="25">
        <v>0</v>
      </c>
      <c r="BB322" s="9">
        <f t="shared" si="125"/>
        <v>0</v>
      </c>
      <c r="BC322" s="25">
        <v>0</v>
      </c>
      <c r="BD322" s="9">
        <f t="shared" si="126"/>
        <v>0</v>
      </c>
      <c r="BE322" s="9">
        <v>0</v>
      </c>
      <c r="BF322" s="9">
        <v>0</v>
      </c>
      <c r="BG322" s="9">
        <f t="shared" si="127"/>
        <v>0</v>
      </c>
      <c r="BH322" s="9">
        <v>0</v>
      </c>
      <c r="BI322" s="9">
        <f t="shared" si="128"/>
        <v>0</v>
      </c>
      <c r="BJ322" s="9">
        <v>0</v>
      </c>
      <c r="BK322" s="9">
        <v>0</v>
      </c>
      <c r="BL322" s="9">
        <f t="shared" si="129"/>
        <v>0</v>
      </c>
      <c r="BM322" s="9">
        <v>0</v>
      </c>
      <c r="BN322" s="9">
        <f t="shared" si="130"/>
        <v>0</v>
      </c>
      <c r="BO322" s="9">
        <v>0</v>
      </c>
      <c r="BP322" s="9">
        <v>0</v>
      </c>
      <c r="BQ322" s="9">
        <f t="shared" si="131"/>
        <v>0</v>
      </c>
      <c r="BR322" s="9">
        <v>0</v>
      </c>
      <c r="BS322" s="9">
        <f t="shared" si="132"/>
        <v>0</v>
      </c>
      <c r="BT322" s="9">
        <f t="shared" si="133"/>
        <v>0</v>
      </c>
      <c r="BU322" s="9">
        <f t="shared" si="134"/>
        <v>0</v>
      </c>
      <c r="BV322" s="9">
        <f t="shared" si="135"/>
        <v>195.58648958333336</v>
      </c>
      <c r="BW322">
        <f t="shared" si="136"/>
        <v>195.58648958333336</v>
      </c>
      <c r="BX322">
        <v>0</v>
      </c>
      <c r="BY322">
        <f t="shared" si="137"/>
        <v>947.50424409375012</v>
      </c>
      <c r="BZ322">
        <v>459.24800242499998</v>
      </c>
      <c r="CA322">
        <f t="shared" si="138"/>
        <v>1924.3280079916667</v>
      </c>
      <c r="CB322">
        <f t="shared" si="139"/>
        <v>3526.6667440937499</v>
      </c>
      <c r="CC322">
        <v>0</v>
      </c>
      <c r="CD322">
        <v>0</v>
      </c>
      <c r="CE322">
        <f t="shared" si="140"/>
        <v>0</v>
      </c>
      <c r="CF322">
        <f t="shared" si="141"/>
        <v>2579.1624999999999</v>
      </c>
      <c r="CG322">
        <f t="shared" si="142"/>
        <v>1924.3280079916667</v>
      </c>
      <c r="CH322">
        <f t="shared" si="143"/>
        <v>0</v>
      </c>
      <c r="CJ322" t="s">
        <v>278</v>
      </c>
      <c r="CL322" t="str">
        <f t="shared" si="144"/>
        <v/>
      </c>
    </row>
    <row r="323" spans="1:90" x14ac:dyDescent="0.25">
      <c r="A323" t="s">
        <v>138</v>
      </c>
      <c r="B323" t="s">
        <v>187</v>
      </c>
      <c r="C323" s="1">
        <v>46327</v>
      </c>
      <c r="D323" t="s">
        <v>174</v>
      </c>
      <c r="E323" t="s">
        <v>175</v>
      </c>
      <c r="F323" s="4">
        <v>1</v>
      </c>
      <c r="G323" s="4">
        <v>0.25</v>
      </c>
      <c r="H323" s="9">
        <v>2579.1624999999999</v>
      </c>
      <c r="I323" s="9">
        <v>429.86041666666665</v>
      </c>
      <c r="J323" s="9">
        <f t="shared" si="116"/>
        <v>3009.0229166666668</v>
      </c>
      <c r="K323" s="9">
        <v>0</v>
      </c>
      <c r="L323" s="9">
        <f t="shared" si="117"/>
        <v>0</v>
      </c>
      <c r="M323">
        <v>0</v>
      </c>
      <c r="N323" s="4">
        <f t="shared" si="118"/>
        <v>0</v>
      </c>
      <c r="O323" s="9">
        <v>2063.33</v>
      </c>
      <c r="P323" s="9">
        <v>515.83249999999998</v>
      </c>
      <c r="Q323" s="9">
        <v>0</v>
      </c>
      <c r="R323" s="9">
        <v>0</v>
      </c>
      <c r="S323" s="9">
        <v>0</v>
      </c>
      <c r="T323" s="9">
        <v>0</v>
      </c>
      <c r="U323" s="9">
        <v>0</v>
      </c>
      <c r="V323" s="9">
        <v>0</v>
      </c>
      <c r="W323" s="9">
        <f t="shared" si="119"/>
        <v>2579.1624999999999</v>
      </c>
      <c r="X323" s="9">
        <v>429.86041666666665</v>
      </c>
      <c r="Y323" s="9">
        <v>0</v>
      </c>
      <c r="Z323" s="9">
        <v>3009.0229166666668</v>
      </c>
      <c r="AA323" s="9">
        <v>0</v>
      </c>
      <c r="AB323" s="9">
        <f t="shared" si="120"/>
        <v>3009.0229166666668</v>
      </c>
      <c r="AC323" s="9">
        <v>3009.0229166666668</v>
      </c>
      <c r="AD323" s="9">
        <v>0</v>
      </c>
      <c r="AE323" s="9">
        <v>2579.1624999999999</v>
      </c>
      <c r="AF323" s="9">
        <v>141.42407708333334</v>
      </c>
      <c r="AG323" s="9">
        <v>695.52411074999998</v>
      </c>
      <c r="AH323" s="9">
        <v>46.639855208333337</v>
      </c>
      <c r="AI323" s="9">
        <v>162.09248343750002</v>
      </c>
      <c r="AJ323" s="9">
        <v>5.8942721250000005</v>
      </c>
      <c r="AK323" s="9">
        <v>3.0090229166666669</v>
      </c>
      <c r="AL323" s="9">
        <v>17.682816375000002</v>
      </c>
      <c r="AM323" s="9">
        <v>4.5135343749999999</v>
      </c>
      <c r="AN323" s="9">
        <v>22.103520468750002</v>
      </c>
      <c r="AO323" s="9">
        <v>44.207040937500004</v>
      </c>
      <c r="AP323" s="9">
        <v>0</v>
      </c>
      <c r="AQ323" s="25">
        <v>0</v>
      </c>
      <c r="AR323" s="9">
        <f t="shared" si="121"/>
        <v>0</v>
      </c>
      <c r="AS323" s="25">
        <v>0</v>
      </c>
      <c r="AT323" s="9">
        <f t="shared" si="122"/>
        <v>0</v>
      </c>
      <c r="AU323" s="9">
        <v>0</v>
      </c>
      <c r="AV323" s="25">
        <v>0</v>
      </c>
      <c r="AW323" s="9">
        <f t="shared" si="123"/>
        <v>0</v>
      </c>
      <c r="AX323" s="25">
        <v>0</v>
      </c>
      <c r="AY323" s="9">
        <f t="shared" si="124"/>
        <v>0</v>
      </c>
      <c r="AZ323" s="9">
        <v>0</v>
      </c>
      <c r="BA323" s="25">
        <v>0</v>
      </c>
      <c r="BB323" s="9">
        <f t="shared" si="125"/>
        <v>0</v>
      </c>
      <c r="BC323" s="25">
        <v>0</v>
      </c>
      <c r="BD323" s="9">
        <f t="shared" si="126"/>
        <v>0</v>
      </c>
      <c r="BE323" s="9">
        <v>0</v>
      </c>
      <c r="BF323" s="9">
        <v>0</v>
      </c>
      <c r="BG323" s="9">
        <f t="shared" si="127"/>
        <v>0</v>
      </c>
      <c r="BH323" s="9">
        <v>0</v>
      </c>
      <c r="BI323" s="9">
        <f t="shared" si="128"/>
        <v>0</v>
      </c>
      <c r="BJ323" s="9">
        <v>0</v>
      </c>
      <c r="BK323" s="9">
        <v>0</v>
      </c>
      <c r="BL323" s="9">
        <f t="shared" si="129"/>
        <v>0</v>
      </c>
      <c r="BM323" s="9">
        <v>0</v>
      </c>
      <c r="BN323" s="9">
        <f t="shared" si="130"/>
        <v>0</v>
      </c>
      <c r="BO323" s="9">
        <v>0</v>
      </c>
      <c r="BP323" s="9">
        <v>0</v>
      </c>
      <c r="BQ323" s="9">
        <f t="shared" si="131"/>
        <v>0</v>
      </c>
      <c r="BR323" s="9">
        <v>0</v>
      </c>
      <c r="BS323" s="9">
        <f t="shared" si="132"/>
        <v>0</v>
      </c>
      <c r="BT323" s="9">
        <f t="shared" si="133"/>
        <v>0</v>
      </c>
      <c r="BU323" s="9">
        <f t="shared" si="134"/>
        <v>0</v>
      </c>
      <c r="BV323" s="9">
        <f t="shared" si="135"/>
        <v>195.58648958333336</v>
      </c>
      <c r="BW323">
        <f t="shared" si="136"/>
        <v>195.58648958333336</v>
      </c>
      <c r="BX323">
        <v>0</v>
      </c>
      <c r="BY323">
        <f t="shared" si="137"/>
        <v>947.50424409375012</v>
      </c>
      <c r="BZ323">
        <v>459.24800242499998</v>
      </c>
      <c r="CA323">
        <f t="shared" si="138"/>
        <v>1924.3280079916667</v>
      </c>
      <c r="CB323">
        <f t="shared" si="139"/>
        <v>3526.6667440937499</v>
      </c>
      <c r="CC323">
        <v>0</v>
      </c>
      <c r="CD323">
        <v>0</v>
      </c>
      <c r="CE323">
        <f t="shared" si="140"/>
        <v>0</v>
      </c>
      <c r="CF323">
        <f t="shared" si="141"/>
        <v>2579.1624999999999</v>
      </c>
      <c r="CG323">
        <f t="shared" si="142"/>
        <v>1924.3280079916667</v>
      </c>
      <c r="CH323">
        <f t="shared" si="143"/>
        <v>0</v>
      </c>
      <c r="CJ323" t="s">
        <v>278</v>
      </c>
      <c r="CL323" t="str">
        <f t="shared" si="144"/>
        <v/>
      </c>
    </row>
    <row r="324" spans="1:90" x14ac:dyDescent="0.25">
      <c r="A324" t="s">
        <v>138</v>
      </c>
      <c r="B324" t="s">
        <v>188</v>
      </c>
      <c r="C324" s="1">
        <v>46357</v>
      </c>
      <c r="D324" t="s">
        <v>182</v>
      </c>
      <c r="E324" t="s">
        <v>175</v>
      </c>
      <c r="F324" s="4">
        <v>1</v>
      </c>
      <c r="G324" s="4">
        <v>0.25</v>
      </c>
      <c r="H324" s="9">
        <v>2579.1624999999999</v>
      </c>
      <c r="I324" s="9">
        <v>429.86041666666665</v>
      </c>
      <c r="J324" s="9">
        <f t="shared" ref="J324:J339" si="145">$H324+$I324</f>
        <v>3009.0229166666668</v>
      </c>
      <c r="K324" s="9">
        <v>0</v>
      </c>
      <c r="L324" s="9">
        <f t="shared" ref="L324:L339" si="146">IF($E324="Nacimiento/cuidado menor",$K324*30,0)</f>
        <v>0</v>
      </c>
      <c r="M324">
        <v>0</v>
      </c>
      <c r="N324" s="4">
        <f t="shared" ref="N324:N339" si="147">IF($E324="Nacimiento/cuidado menor",$M324/30,0)</f>
        <v>0</v>
      </c>
      <c r="O324" s="9">
        <v>2063.33</v>
      </c>
      <c r="P324" s="9">
        <v>515.83249999999998</v>
      </c>
      <c r="Q324" s="9">
        <v>0</v>
      </c>
      <c r="R324" s="9">
        <v>0</v>
      </c>
      <c r="S324" s="9">
        <v>0</v>
      </c>
      <c r="T324" s="9">
        <v>0</v>
      </c>
      <c r="U324" s="9">
        <v>0</v>
      </c>
      <c r="V324" s="9">
        <v>0</v>
      </c>
      <c r="W324" s="9">
        <f t="shared" ref="W324:W339" si="148">SUM($O324:$V324)</f>
        <v>2579.1624999999999</v>
      </c>
      <c r="X324" s="9">
        <v>0</v>
      </c>
      <c r="Y324" s="9">
        <v>0</v>
      </c>
      <c r="Z324" s="9">
        <v>0</v>
      </c>
      <c r="AA324" s="9">
        <v>0</v>
      </c>
      <c r="AB324" s="9">
        <f t="shared" ref="AB324:AB339" si="149">IF($D324="Mensual",$Z324+$AA324,0)</f>
        <v>0</v>
      </c>
      <c r="AC324" s="9">
        <v>0</v>
      </c>
      <c r="AD324" s="9">
        <v>0</v>
      </c>
      <c r="AE324" s="9">
        <v>2579.1624999999999</v>
      </c>
      <c r="AF324" s="9">
        <v>0</v>
      </c>
      <c r="AG324" s="9">
        <v>0</v>
      </c>
      <c r="AH324" s="9">
        <v>0</v>
      </c>
      <c r="AI324" s="9">
        <v>0</v>
      </c>
      <c r="AJ324" s="9">
        <v>0</v>
      </c>
      <c r="AK324" s="9">
        <v>0</v>
      </c>
      <c r="AL324" s="9">
        <v>0</v>
      </c>
      <c r="AM324" s="9">
        <v>0</v>
      </c>
      <c r="AN324" s="9">
        <v>0</v>
      </c>
      <c r="AO324" s="9">
        <v>0</v>
      </c>
      <c r="AP324" s="9">
        <v>0</v>
      </c>
      <c r="AQ324" s="25">
        <v>0</v>
      </c>
      <c r="AR324" s="9">
        <f t="shared" ref="AR324:AR339" si="150">$AP324*$AQ324</f>
        <v>0</v>
      </c>
      <c r="AS324" s="25">
        <v>0</v>
      </c>
      <c r="AT324" s="9">
        <f t="shared" ref="AT324:AT339" si="151">$AP324*$AS324</f>
        <v>0</v>
      </c>
      <c r="AU324" s="9">
        <v>0</v>
      </c>
      <c r="AV324" s="25">
        <v>0</v>
      </c>
      <c r="AW324" s="9">
        <f t="shared" ref="AW324:AW339" si="152">$AU324*$AV324</f>
        <v>0</v>
      </c>
      <c r="AX324" s="25">
        <v>0</v>
      </c>
      <c r="AY324" s="9">
        <f t="shared" ref="AY324:AY339" si="153">$AU324*$AX324</f>
        <v>0</v>
      </c>
      <c r="AZ324" s="9">
        <v>0</v>
      </c>
      <c r="BA324" s="25">
        <v>0</v>
      </c>
      <c r="BB324" s="9">
        <f t="shared" ref="BB324:BB339" si="154">$AZ324*$BA324</f>
        <v>0</v>
      </c>
      <c r="BC324" s="25">
        <v>0</v>
      </c>
      <c r="BD324" s="9">
        <f t="shared" ref="BD324:BD339" si="155">$AZ324*$BC324</f>
        <v>0</v>
      </c>
      <c r="BE324" s="9">
        <v>0</v>
      </c>
      <c r="BF324" s="9">
        <v>0</v>
      </c>
      <c r="BG324" s="9">
        <f t="shared" ref="BG324:BG339" si="156">$BE324*$BF324</f>
        <v>0</v>
      </c>
      <c r="BH324" s="9">
        <v>0</v>
      </c>
      <c r="BI324" s="9">
        <f t="shared" ref="BI324:BI339" si="157">$BE324*$BH324</f>
        <v>0</v>
      </c>
      <c r="BJ324" s="9">
        <v>0</v>
      </c>
      <c r="BK324" s="9">
        <v>0</v>
      </c>
      <c r="BL324" s="9">
        <f t="shared" ref="BL324:BL339" si="158">$BJ324*$BK324</f>
        <v>0</v>
      </c>
      <c r="BM324" s="9">
        <v>0</v>
      </c>
      <c r="BN324" s="9">
        <f t="shared" ref="BN324:BN339" si="159">$BJ324*$BM324</f>
        <v>0</v>
      </c>
      <c r="BO324" s="9">
        <v>0</v>
      </c>
      <c r="BP324" s="9">
        <v>0</v>
      </c>
      <c r="BQ324" s="9">
        <f t="shared" ref="BQ324:BQ339" si="160">$BO324*$BP324</f>
        <v>0</v>
      </c>
      <c r="BR324" s="9">
        <v>0</v>
      </c>
      <c r="BS324" s="9">
        <f t="shared" ref="BS324:BS339" si="161">$BO324*$BR324</f>
        <v>0</v>
      </c>
      <c r="BT324" s="9">
        <f t="shared" ref="BT324:BT339" si="162">SUM($AR324,$AW324,$BB324)</f>
        <v>0</v>
      </c>
      <c r="BU324" s="9">
        <f t="shared" ref="BU324:BU339" si="163">SUM($AT324,$AY324,$BD324)</f>
        <v>0</v>
      </c>
      <c r="BV324" s="9">
        <f t="shared" ref="BV324:BV339" si="164">SUM($AF324,$AH324,$AK324,$AM324)+$BT324</f>
        <v>0</v>
      </c>
      <c r="BW324">
        <f t="shared" ref="BW324:BW339" si="165">$BV324+$BX324</f>
        <v>0</v>
      </c>
      <c r="BX324">
        <v>0</v>
      </c>
      <c r="BY324">
        <f t="shared" ref="BY324:BY339" si="166">SUM($AG324,$AI324,$AJ324,$AL324,$AN324,$AO324)+$BU324</f>
        <v>0</v>
      </c>
      <c r="BZ324">
        <v>459.24800242499998</v>
      </c>
      <c r="CA324">
        <f t="shared" ref="CA324:CA339" si="167">$W324-$BV324-$BZ324</f>
        <v>2119.914497575</v>
      </c>
      <c r="CB324">
        <f t="shared" ref="CB324:CB339" si="168">$W324+$BY324</f>
        <v>2579.1624999999999</v>
      </c>
      <c r="CC324">
        <v>0</v>
      </c>
      <c r="CD324">
        <v>0</v>
      </c>
      <c r="CE324">
        <f t="shared" ref="CE324:CE339" si="169">MAX(0,$CC324-$BX324-$CD324)</f>
        <v>0</v>
      </c>
      <c r="CF324">
        <f t="shared" ref="CF324:CF339" si="170">$W324+$CC324</f>
        <v>2579.1624999999999</v>
      </c>
      <c r="CG324">
        <f t="shared" ref="CG324:CG339" si="171">$CA324+$CE324</f>
        <v>2119.914497575</v>
      </c>
      <c r="CH324">
        <f t="shared" ref="CH324:CH339" si="172">IF($E324="Nacimiento/cuidado menor",MAX(0,$J324-$L324)*$N324,0)</f>
        <v>0</v>
      </c>
      <c r="CJ324" t="s">
        <v>278</v>
      </c>
      <c r="CL324" t="str">
        <f t="shared" ref="CL324:CL339" si="173">IF($E324="Nacimiento/cuidado menor",IF(ABS($CC324-$L324*$N324)&lt;0.02,"OK","REVISAR"),"")</f>
        <v/>
      </c>
    </row>
    <row r="325" spans="1:90" x14ac:dyDescent="0.25">
      <c r="A325" t="s">
        <v>138</v>
      </c>
      <c r="B325" t="s">
        <v>189</v>
      </c>
      <c r="C325" s="1">
        <v>46357</v>
      </c>
      <c r="D325" t="s">
        <v>174</v>
      </c>
      <c r="E325" t="s">
        <v>175</v>
      </c>
      <c r="F325" s="4">
        <v>1</v>
      </c>
      <c r="G325" s="4">
        <v>0.25</v>
      </c>
      <c r="H325" s="9">
        <v>2579.1624999999999</v>
      </c>
      <c r="I325" s="9">
        <v>429.86041666666665</v>
      </c>
      <c r="J325" s="9">
        <f t="shared" si="145"/>
        <v>3009.0229166666668</v>
      </c>
      <c r="K325" s="9">
        <v>0</v>
      </c>
      <c r="L325" s="9">
        <f t="shared" si="146"/>
        <v>0</v>
      </c>
      <c r="M325">
        <v>0</v>
      </c>
      <c r="N325" s="4">
        <f t="shared" si="147"/>
        <v>0</v>
      </c>
      <c r="O325" s="9">
        <v>2063.33</v>
      </c>
      <c r="P325" s="9">
        <v>515.83249999999998</v>
      </c>
      <c r="Q325" s="9">
        <v>0</v>
      </c>
      <c r="R325" s="9">
        <v>0</v>
      </c>
      <c r="S325" s="9">
        <v>0</v>
      </c>
      <c r="T325" s="9">
        <v>0</v>
      </c>
      <c r="U325" s="9">
        <v>0</v>
      </c>
      <c r="V325" s="9">
        <v>0</v>
      </c>
      <c r="W325" s="9">
        <f t="shared" si="148"/>
        <v>2579.1624999999999</v>
      </c>
      <c r="X325" s="9">
        <v>429.86041666666665</v>
      </c>
      <c r="Y325" s="9">
        <v>0</v>
      </c>
      <c r="Z325" s="9">
        <v>3009.0229166666668</v>
      </c>
      <c r="AA325" s="9">
        <v>0</v>
      </c>
      <c r="AB325" s="9">
        <f t="shared" si="149"/>
        <v>3009.0229166666668</v>
      </c>
      <c r="AC325" s="9">
        <v>3009.0229166666668</v>
      </c>
      <c r="AD325" s="9">
        <v>0</v>
      </c>
      <c r="AE325" s="9">
        <v>2579.1624999999999</v>
      </c>
      <c r="AF325" s="9">
        <v>141.42407708333334</v>
      </c>
      <c r="AG325" s="9">
        <v>695.52411074999998</v>
      </c>
      <c r="AH325" s="9">
        <v>46.639855208333337</v>
      </c>
      <c r="AI325" s="9">
        <v>162.09248343750002</v>
      </c>
      <c r="AJ325" s="9">
        <v>5.8942721250000005</v>
      </c>
      <c r="AK325" s="9">
        <v>3.0090229166666669</v>
      </c>
      <c r="AL325" s="9">
        <v>17.682816375000002</v>
      </c>
      <c r="AM325" s="9">
        <v>4.5135343749999999</v>
      </c>
      <c r="AN325" s="9">
        <v>22.103520468750002</v>
      </c>
      <c r="AO325" s="9">
        <v>44.207040937500004</v>
      </c>
      <c r="AP325" s="9">
        <v>0</v>
      </c>
      <c r="AQ325" s="25">
        <v>0</v>
      </c>
      <c r="AR325" s="9">
        <f t="shared" si="150"/>
        <v>0</v>
      </c>
      <c r="AS325" s="25">
        <v>0</v>
      </c>
      <c r="AT325" s="9">
        <f t="shared" si="151"/>
        <v>0</v>
      </c>
      <c r="AU325" s="9">
        <v>0</v>
      </c>
      <c r="AV325" s="25">
        <v>0</v>
      </c>
      <c r="AW325" s="9">
        <f t="shared" si="152"/>
        <v>0</v>
      </c>
      <c r="AX325" s="25">
        <v>0</v>
      </c>
      <c r="AY325" s="9">
        <f t="shared" si="153"/>
        <v>0</v>
      </c>
      <c r="AZ325" s="9">
        <v>0</v>
      </c>
      <c r="BA325" s="25">
        <v>0</v>
      </c>
      <c r="BB325" s="9">
        <f t="shared" si="154"/>
        <v>0</v>
      </c>
      <c r="BC325" s="25">
        <v>0</v>
      </c>
      <c r="BD325" s="9">
        <f t="shared" si="155"/>
        <v>0</v>
      </c>
      <c r="BE325" s="9">
        <v>0</v>
      </c>
      <c r="BF325" s="9">
        <v>0</v>
      </c>
      <c r="BG325" s="9">
        <f t="shared" si="156"/>
        <v>0</v>
      </c>
      <c r="BH325" s="9">
        <v>0</v>
      </c>
      <c r="BI325" s="9">
        <f t="shared" si="157"/>
        <v>0</v>
      </c>
      <c r="BJ325" s="9">
        <v>0</v>
      </c>
      <c r="BK325" s="9">
        <v>0</v>
      </c>
      <c r="BL325" s="9">
        <f t="shared" si="158"/>
        <v>0</v>
      </c>
      <c r="BM325" s="9">
        <v>0</v>
      </c>
      <c r="BN325" s="9">
        <f t="shared" si="159"/>
        <v>0</v>
      </c>
      <c r="BO325" s="9">
        <v>0</v>
      </c>
      <c r="BP325" s="9">
        <v>0</v>
      </c>
      <c r="BQ325" s="9">
        <f t="shared" si="160"/>
        <v>0</v>
      </c>
      <c r="BR325" s="9">
        <v>0</v>
      </c>
      <c r="BS325" s="9">
        <f t="shared" si="161"/>
        <v>0</v>
      </c>
      <c r="BT325" s="9">
        <f t="shared" si="162"/>
        <v>0</v>
      </c>
      <c r="BU325" s="9">
        <f t="shared" si="163"/>
        <v>0</v>
      </c>
      <c r="BV325" s="9">
        <f t="shared" si="164"/>
        <v>195.58648958333336</v>
      </c>
      <c r="BW325">
        <f t="shared" si="165"/>
        <v>195.58648958333336</v>
      </c>
      <c r="BX325">
        <v>0</v>
      </c>
      <c r="BY325">
        <f t="shared" si="166"/>
        <v>947.50424409375012</v>
      </c>
      <c r="BZ325">
        <v>459.24800242499998</v>
      </c>
      <c r="CA325">
        <f t="shared" si="167"/>
        <v>1924.3280079916667</v>
      </c>
      <c r="CB325">
        <f t="shared" si="168"/>
        <v>3526.6667440937499</v>
      </c>
      <c r="CC325">
        <v>0</v>
      </c>
      <c r="CD325">
        <v>0</v>
      </c>
      <c r="CE325">
        <f t="shared" si="169"/>
        <v>0</v>
      </c>
      <c r="CF325">
        <f t="shared" si="170"/>
        <v>2579.1624999999999</v>
      </c>
      <c r="CG325">
        <f t="shared" si="171"/>
        <v>1924.3280079916667</v>
      </c>
      <c r="CH325">
        <f t="shared" si="172"/>
        <v>0</v>
      </c>
      <c r="CJ325" t="s">
        <v>278</v>
      </c>
      <c r="CL325" t="str">
        <f t="shared" si="173"/>
        <v/>
      </c>
    </row>
    <row r="326" spans="1:90" x14ac:dyDescent="0.25">
      <c r="A326" t="s">
        <v>140</v>
      </c>
      <c r="B326" t="s">
        <v>173</v>
      </c>
      <c r="C326" s="1">
        <v>46023</v>
      </c>
      <c r="D326" t="s">
        <v>174</v>
      </c>
      <c r="E326" t="s">
        <v>175</v>
      </c>
      <c r="F326" s="4">
        <v>1</v>
      </c>
      <c r="G326" s="4">
        <v>0.15000000000000002</v>
      </c>
      <c r="H326" s="9">
        <v>1546.5889999999997</v>
      </c>
      <c r="I326" s="9">
        <v>257.76483333333329</v>
      </c>
      <c r="J326" s="9">
        <f t="shared" si="145"/>
        <v>1804.3538333333331</v>
      </c>
      <c r="K326" s="9">
        <v>0</v>
      </c>
      <c r="L326" s="9">
        <f t="shared" si="146"/>
        <v>0</v>
      </c>
      <c r="M326">
        <v>0</v>
      </c>
      <c r="N326" s="4">
        <f t="shared" si="147"/>
        <v>0</v>
      </c>
      <c r="O326" s="9">
        <v>1344.86</v>
      </c>
      <c r="P326" s="9">
        <v>201.72900000000001</v>
      </c>
      <c r="Q326" s="9">
        <v>0</v>
      </c>
      <c r="R326" s="9">
        <v>0</v>
      </c>
      <c r="S326" s="9">
        <v>0</v>
      </c>
      <c r="T326" s="9">
        <v>0</v>
      </c>
      <c r="U326" s="9">
        <v>0</v>
      </c>
      <c r="V326" s="9">
        <v>0</v>
      </c>
      <c r="W326" s="9">
        <f t="shared" si="148"/>
        <v>1546.5889999999999</v>
      </c>
      <c r="X326" s="9">
        <v>257.76483333333329</v>
      </c>
      <c r="Y326" s="9">
        <v>0</v>
      </c>
      <c r="Z326" s="9">
        <v>1804.3538333333331</v>
      </c>
      <c r="AA326" s="9">
        <v>0</v>
      </c>
      <c r="AB326" s="9">
        <f t="shared" si="149"/>
        <v>1804.3538333333331</v>
      </c>
      <c r="AC326" s="9">
        <v>1804.3538333333331</v>
      </c>
      <c r="AD326" s="9">
        <v>0</v>
      </c>
      <c r="AE326" s="9">
        <v>1546.5889999999999</v>
      </c>
      <c r="AF326" s="9">
        <v>84.804630166666655</v>
      </c>
      <c r="AG326" s="9">
        <v>432.31088879999999</v>
      </c>
      <c r="AH326" s="9">
        <v>27.967484416666665</v>
      </c>
      <c r="AI326" s="9">
        <v>100.75041900000001</v>
      </c>
      <c r="AJ326" s="9">
        <v>3.6636516000000001</v>
      </c>
      <c r="AK326" s="9">
        <v>1.8043538333333331</v>
      </c>
      <c r="AL326" s="9">
        <v>10.990954800000001</v>
      </c>
      <c r="AM326" s="9">
        <v>2.7065307499999998</v>
      </c>
      <c r="AN326" s="9">
        <v>13.7386935</v>
      </c>
      <c r="AO326" s="9">
        <v>27.477387</v>
      </c>
      <c r="AP326" s="9">
        <v>0</v>
      </c>
      <c r="AQ326" s="25">
        <v>0</v>
      </c>
      <c r="AR326" s="9">
        <f t="shared" si="150"/>
        <v>0</v>
      </c>
      <c r="AS326" s="25">
        <v>0</v>
      </c>
      <c r="AT326" s="9">
        <f t="shared" si="151"/>
        <v>0</v>
      </c>
      <c r="AU326" s="9">
        <v>0</v>
      </c>
      <c r="AV326" s="25">
        <v>0</v>
      </c>
      <c r="AW326" s="9">
        <f t="shared" si="152"/>
        <v>0</v>
      </c>
      <c r="AX326" s="25">
        <v>0</v>
      </c>
      <c r="AY326" s="9">
        <f t="shared" si="153"/>
        <v>0</v>
      </c>
      <c r="AZ326" s="9">
        <v>0</v>
      </c>
      <c r="BA326" s="25">
        <v>0</v>
      </c>
      <c r="BB326" s="9">
        <f t="shared" si="154"/>
        <v>0</v>
      </c>
      <c r="BC326" s="25">
        <v>0</v>
      </c>
      <c r="BD326" s="9">
        <f t="shared" si="155"/>
        <v>0</v>
      </c>
      <c r="BE326" s="9">
        <v>0</v>
      </c>
      <c r="BF326" s="9">
        <v>0</v>
      </c>
      <c r="BG326" s="9">
        <f t="shared" si="156"/>
        <v>0</v>
      </c>
      <c r="BH326" s="9">
        <v>0</v>
      </c>
      <c r="BI326" s="9">
        <f t="shared" si="157"/>
        <v>0</v>
      </c>
      <c r="BJ326" s="9">
        <v>0</v>
      </c>
      <c r="BK326" s="9">
        <v>0</v>
      </c>
      <c r="BL326" s="9">
        <f t="shared" si="158"/>
        <v>0</v>
      </c>
      <c r="BM326" s="9">
        <v>0</v>
      </c>
      <c r="BN326" s="9">
        <f t="shared" si="159"/>
        <v>0</v>
      </c>
      <c r="BO326" s="9">
        <v>0</v>
      </c>
      <c r="BP326" s="9">
        <v>0</v>
      </c>
      <c r="BQ326" s="9">
        <f t="shared" si="160"/>
        <v>0</v>
      </c>
      <c r="BR326" s="9">
        <v>0</v>
      </c>
      <c r="BS326" s="9">
        <f t="shared" si="161"/>
        <v>0</v>
      </c>
      <c r="BT326" s="9">
        <f t="shared" si="162"/>
        <v>0</v>
      </c>
      <c r="BU326" s="9">
        <f t="shared" si="163"/>
        <v>0</v>
      </c>
      <c r="BV326" s="9">
        <f t="shared" si="164"/>
        <v>117.28299916666666</v>
      </c>
      <c r="BW326">
        <f t="shared" si="165"/>
        <v>117.28299916666666</v>
      </c>
      <c r="BX326">
        <v>0</v>
      </c>
      <c r="BY326">
        <f t="shared" si="166"/>
        <v>588.93199470000002</v>
      </c>
      <c r="BZ326">
        <v>75.837588120000007</v>
      </c>
      <c r="CA326">
        <f t="shared" si="167"/>
        <v>1353.4684127133332</v>
      </c>
      <c r="CB326">
        <f t="shared" si="168"/>
        <v>2135.5209946999998</v>
      </c>
      <c r="CC326">
        <v>0</v>
      </c>
      <c r="CD326">
        <v>0</v>
      </c>
      <c r="CE326">
        <f t="shared" si="169"/>
        <v>0</v>
      </c>
      <c r="CF326">
        <f t="shared" si="170"/>
        <v>1546.5889999999999</v>
      </c>
      <c r="CG326">
        <f t="shared" si="171"/>
        <v>1353.4684127133332</v>
      </c>
      <c r="CH326">
        <f t="shared" si="172"/>
        <v>0</v>
      </c>
      <c r="CJ326" t="s">
        <v>278</v>
      </c>
      <c r="CL326" t="str">
        <f t="shared" si="173"/>
        <v/>
      </c>
    </row>
    <row r="327" spans="1:90" x14ac:dyDescent="0.25">
      <c r="A327" t="s">
        <v>140</v>
      </c>
      <c r="B327" t="s">
        <v>176</v>
      </c>
      <c r="C327" s="1">
        <v>46054</v>
      </c>
      <c r="D327" t="s">
        <v>174</v>
      </c>
      <c r="E327" t="s">
        <v>175</v>
      </c>
      <c r="F327" s="4">
        <v>1</v>
      </c>
      <c r="G327" s="4">
        <v>0.15000000000000002</v>
      </c>
      <c r="H327" s="9">
        <v>1546.5889999999997</v>
      </c>
      <c r="I327" s="9">
        <v>257.76483333333329</v>
      </c>
      <c r="J327" s="9">
        <f t="shared" si="145"/>
        <v>1804.3538333333331</v>
      </c>
      <c r="K327" s="9">
        <v>0</v>
      </c>
      <c r="L327" s="9">
        <f t="shared" si="146"/>
        <v>0</v>
      </c>
      <c r="M327">
        <v>0</v>
      </c>
      <c r="N327" s="4">
        <f t="shared" si="147"/>
        <v>0</v>
      </c>
      <c r="O327" s="9">
        <v>1344.86</v>
      </c>
      <c r="P327" s="9">
        <v>201.72900000000001</v>
      </c>
      <c r="Q327" s="9">
        <v>0</v>
      </c>
      <c r="R327" s="9">
        <v>0</v>
      </c>
      <c r="S327" s="9">
        <v>0</v>
      </c>
      <c r="T327" s="9">
        <v>0</v>
      </c>
      <c r="U327" s="9">
        <v>0</v>
      </c>
      <c r="V327" s="9">
        <v>0</v>
      </c>
      <c r="W327" s="9">
        <f t="shared" si="148"/>
        <v>1546.5889999999999</v>
      </c>
      <c r="X327" s="9">
        <v>257.76483333333329</v>
      </c>
      <c r="Y327" s="9">
        <v>0</v>
      </c>
      <c r="Z327" s="9">
        <v>1804.3538333333331</v>
      </c>
      <c r="AA327" s="9">
        <v>0</v>
      </c>
      <c r="AB327" s="9">
        <f t="shared" si="149"/>
        <v>1804.3538333333331</v>
      </c>
      <c r="AC327" s="9">
        <v>1804.3538333333331</v>
      </c>
      <c r="AD327" s="9">
        <v>0</v>
      </c>
      <c r="AE327" s="9">
        <v>1546.5889999999999</v>
      </c>
      <c r="AF327" s="9">
        <v>84.804630166666655</v>
      </c>
      <c r="AG327" s="9">
        <v>432.31088879999999</v>
      </c>
      <c r="AH327" s="9">
        <v>27.967484416666665</v>
      </c>
      <c r="AI327" s="9">
        <v>100.75041900000001</v>
      </c>
      <c r="AJ327" s="9">
        <v>3.6636516000000001</v>
      </c>
      <c r="AK327" s="9">
        <v>1.8043538333333331</v>
      </c>
      <c r="AL327" s="9">
        <v>10.990954800000001</v>
      </c>
      <c r="AM327" s="9">
        <v>2.7065307499999998</v>
      </c>
      <c r="AN327" s="9">
        <v>13.7386935</v>
      </c>
      <c r="AO327" s="9">
        <v>27.477387</v>
      </c>
      <c r="AP327" s="9">
        <v>0</v>
      </c>
      <c r="AQ327" s="25">
        <v>0</v>
      </c>
      <c r="AR327" s="9">
        <f t="shared" si="150"/>
        <v>0</v>
      </c>
      <c r="AS327" s="25">
        <v>0</v>
      </c>
      <c r="AT327" s="9">
        <f t="shared" si="151"/>
        <v>0</v>
      </c>
      <c r="AU327" s="9">
        <v>0</v>
      </c>
      <c r="AV327" s="25">
        <v>0</v>
      </c>
      <c r="AW327" s="9">
        <f t="shared" si="152"/>
        <v>0</v>
      </c>
      <c r="AX327" s="25">
        <v>0</v>
      </c>
      <c r="AY327" s="9">
        <f t="shared" si="153"/>
        <v>0</v>
      </c>
      <c r="AZ327" s="9">
        <v>0</v>
      </c>
      <c r="BA327" s="25">
        <v>0</v>
      </c>
      <c r="BB327" s="9">
        <f t="shared" si="154"/>
        <v>0</v>
      </c>
      <c r="BC327" s="25">
        <v>0</v>
      </c>
      <c r="BD327" s="9">
        <f t="shared" si="155"/>
        <v>0</v>
      </c>
      <c r="BE327" s="9">
        <v>0</v>
      </c>
      <c r="BF327" s="9">
        <v>0</v>
      </c>
      <c r="BG327" s="9">
        <f t="shared" si="156"/>
        <v>0</v>
      </c>
      <c r="BH327" s="9">
        <v>0</v>
      </c>
      <c r="BI327" s="9">
        <f t="shared" si="157"/>
        <v>0</v>
      </c>
      <c r="BJ327" s="9">
        <v>0</v>
      </c>
      <c r="BK327" s="9">
        <v>0</v>
      </c>
      <c r="BL327" s="9">
        <f t="shared" si="158"/>
        <v>0</v>
      </c>
      <c r="BM327" s="9">
        <v>0</v>
      </c>
      <c r="BN327" s="9">
        <f t="shared" si="159"/>
        <v>0</v>
      </c>
      <c r="BO327" s="9">
        <v>0</v>
      </c>
      <c r="BP327" s="9">
        <v>0</v>
      </c>
      <c r="BQ327" s="9">
        <f t="shared" si="160"/>
        <v>0</v>
      </c>
      <c r="BR327" s="9">
        <v>0</v>
      </c>
      <c r="BS327" s="9">
        <f t="shared" si="161"/>
        <v>0</v>
      </c>
      <c r="BT327" s="9">
        <f t="shared" si="162"/>
        <v>0</v>
      </c>
      <c r="BU327" s="9">
        <f t="shared" si="163"/>
        <v>0</v>
      </c>
      <c r="BV327" s="9">
        <f t="shared" si="164"/>
        <v>117.28299916666666</v>
      </c>
      <c r="BW327">
        <f t="shared" si="165"/>
        <v>117.28299916666666</v>
      </c>
      <c r="BX327">
        <v>0</v>
      </c>
      <c r="BY327">
        <f t="shared" si="166"/>
        <v>588.93199470000002</v>
      </c>
      <c r="BZ327">
        <v>75.837588120000007</v>
      </c>
      <c r="CA327">
        <f t="shared" si="167"/>
        <v>1353.4684127133332</v>
      </c>
      <c r="CB327">
        <f t="shared" si="168"/>
        <v>2135.5209946999998</v>
      </c>
      <c r="CC327">
        <v>0</v>
      </c>
      <c r="CD327">
        <v>0</v>
      </c>
      <c r="CE327">
        <f t="shared" si="169"/>
        <v>0</v>
      </c>
      <c r="CF327">
        <f t="shared" si="170"/>
        <v>1546.5889999999999</v>
      </c>
      <c r="CG327">
        <f t="shared" si="171"/>
        <v>1353.4684127133332</v>
      </c>
      <c r="CH327">
        <f t="shared" si="172"/>
        <v>0</v>
      </c>
      <c r="CJ327" t="s">
        <v>278</v>
      </c>
      <c r="CL327" t="str">
        <f t="shared" si="173"/>
        <v/>
      </c>
    </row>
    <row r="328" spans="1:90" x14ac:dyDescent="0.25">
      <c r="A328" t="s">
        <v>140</v>
      </c>
      <c r="B328" t="s">
        <v>177</v>
      </c>
      <c r="C328" s="1">
        <v>46082</v>
      </c>
      <c r="D328" t="s">
        <v>174</v>
      </c>
      <c r="E328" t="s">
        <v>175</v>
      </c>
      <c r="F328" s="4">
        <v>1</v>
      </c>
      <c r="G328" s="4">
        <v>0.15000000000000002</v>
      </c>
      <c r="H328" s="9">
        <v>1546.5889999999997</v>
      </c>
      <c r="I328" s="9">
        <v>257.76483333333329</v>
      </c>
      <c r="J328" s="9">
        <f t="shared" si="145"/>
        <v>1804.3538333333331</v>
      </c>
      <c r="K328" s="9">
        <v>0</v>
      </c>
      <c r="L328" s="9">
        <f t="shared" si="146"/>
        <v>0</v>
      </c>
      <c r="M328">
        <v>0</v>
      </c>
      <c r="N328" s="4">
        <f t="shared" si="147"/>
        <v>0</v>
      </c>
      <c r="O328" s="9">
        <v>1344.86</v>
      </c>
      <c r="P328" s="9">
        <v>201.72900000000001</v>
      </c>
      <c r="Q328" s="9">
        <v>0</v>
      </c>
      <c r="R328" s="9">
        <v>0</v>
      </c>
      <c r="S328" s="9">
        <v>0</v>
      </c>
      <c r="T328" s="9">
        <v>0</v>
      </c>
      <c r="U328" s="9">
        <v>0</v>
      </c>
      <c r="V328" s="9">
        <v>0</v>
      </c>
      <c r="W328" s="9">
        <f t="shared" si="148"/>
        <v>1546.5889999999999</v>
      </c>
      <c r="X328" s="9">
        <v>257.76483333333329</v>
      </c>
      <c r="Y328" s="9">
        <v>0</v>
      </c>
      <c r="Z328" s="9">
        <v>1804.3538333333331</v>
      </c>
      <c r="AA328" s="9">
        <v>0</v>
      </c>
      <c r="AB328" s="9">
        <f t="shared" si="149"/>
        <v>1804.3538333333331</v>
      </c>
      <c r="AC328" s="9">
        <v>1804.3538333333331</v>
      </c>
      <c r="AD328" s="9">
        <v>0</v>
      </c>
      <c r="AE328" s="9">
        <v>1546.5889999999999</v>
      </c>
      <c r="AF328" s="9">
        <v>84.804630166666655</v>
      </c>
      <c r="AG328" s="9">
        <v>432.31088879999999</v>
      </c>
      <c r="AH328" s="9">
        <v>27.967484416666665</v>
      </c>
      <c r="AI328" s="9">
        <v>100.75041900000001</v>
      </c>
      <c r="AJ328" s="9">
        <v>3.6636516000000001</v>
      </c>
      <c r="AK328" s="9">
        <v>1.8043538333333331</v>
      </c>
      <c r="AL328" s="9">
        <v>10.990954800000001</v>
      </c>
      <c r="AM328" s="9">
        <v>2.7065307499999998</v>
      </c>
      <c r="AN328" s="9">
        <v>13.7386935</v>
      </c>
      <c r="AO328" s="9">
        <v>27.477387</v>
      </c>
      <c r="AP328" s="9">
        <v>0</v>
      </c>
      <c r="AQ328" s="25">
        <v>0</v>
      </c>
      <c r="AR328" s="9">
        <f t="shared" si="150"/>
        <v>0</v>
      </c>
      <c r="AS328" s="25">
        <v>0</v>
      </c>
      <c r="AT328" s="9">
        <f t="shared" si="151"/>
        <v>0</v>
      </c>
      <c r="AU328" s="9">
        <v>0</v>
      </c>
      <c r="AV328" s="25">
        <v>0</v>
      </c>
      <c r="AW328" s="9">
        <f t="shared" si="152"/>
        <v>0</v>
      </c>
      <c r="AX328" s="25">
        <v>0</v>
      </c>
      <c r="AY328" s="9">
        <f t="shared" si="153"/>
        <v>0</v>
      </c>
      <c r="AZ328" s="9">
        <v>0</v>
      </c>
      <c r="BA328" s="25">
        <v>0</v>
      </c>
      <c r="BB328" s="9">
        <f t="shared" si="154"/>
        <v>0</v>
      </c>
      <c r="BC328" s="25">
        <v>0</v>
      </c>
      <c r="BD328" s="9">
        <f t="shared" si="155"/>
        <v>0</v>
      </c>
      <c r="BE328" s="9">
        <v>0</v>
      </c>
      <c r="BF328" s="9">
        <v>0</v>
      </c>
      <c r="BG328" s="9">
        <f t="shared" si="156"/>
        <v>0</v>
      </c>
      <c r="BH328" s="9">
        <v>0</v>
      </c>
      <c r="BI328" s="9">
        <f t="shared" si="157"/>
        <v>0</v>
      </c>
      <c r="BJ328" s="9">
        <v>0</v>
      </c>
      <c r="BK328" s="9">
        <v>0</v>
      </c>
      <c r="BL328" s="9">
        <f t="shared" si="158"/>
        <v>0</v>
      </c>
      <c r="BM328" s="9">
        <v>0</v>
      </c>
      <c r="BN328" s="9">
        <f t="shared" si="159"/>
        <v>0</v>
      </c>
      <c r="BO328" s="9">
        <v>0</v>
      </c>
      <c r="BP328" s="9">
        <v>0</v>
      </c>
      <c r="BQ328" s="9">
        <f t="shared" si="160"/>
        <v>0</v>
      </c>
      <c r="BR328" s="9">
        <v>0</v>
      </c>
      <c r="BS328" s="9">
        <f t="shared" si="161"/>
        <v>0</v>
      </c>
      <c r="BT328" s="9">
        <f t="shared" si="162"/>
        <v>0</v>
      </c>
      <c r="BU328" s="9">
        <f t="shared" si="163"/>
        <v>0</v>
      </c>
      <c r="BV328" s="9">
        <f t="shared" si="164"/>
        <v>117.28299916666666</v>
      </c>
      <c r="BW328">
        <f t="shared" si="165"/>
        <v>117.28299916666666</v>
      </c>
      <c r="BX328">
        <v>0</v>
      </c>
      <c r="BY328">
        <f t="shared" si="166"/>
        <v>588.93199470000002</v>
      </c>
      <c r="BZ328">
        <v>75.837588120000007</v>
      </c>
      <c r="CA328">
        <f t="shared" si="167"/>
        <v>1353.4684127133332</v>
      </c>
      <c r="CB328">
        <f t="shared" si="168"/>
        <v>2135.5209946999998</v>
      </c>
      <c r="CC328">
        <v>0</v>
      </c>
      <c r="CD328">
        <v>0</v>
      </c>
      <c r="CE328">
        <f t="shared" si="169"/>
        <v>0</v>
      </c>
      <c r="CF328">
        <f t="shared" si="170"/>
        <v>1546.5889999999999</v>
      </c>
      <c r="CG328">
        <f t="shared" si="171"/>
        <v>1353.4684127133332</v>
      </c>
      <c r="CH328">
        <f t="shared" si="172"/>
        <v>0</v>
      </c>
      <c r="CJ328" t="s">
        <v>278</v>
      </c>
      <c r="CL328" t="str">
        <f t="shared" si="173"/>
        <v/>
      </c>
    </row>
    <row r="329" spans="1:90" x14ac:dyDescent="0.25">
      <c r="A329" t="s">
        <v>140</v>
      </c>
      <c r="B329" t="s">
        <v>178</v>
      </c>
      <c r="C329" s="1">
        <v>46113</v>
      </c>
      <c r="D329" t="s">
        <v>174</v>
      </c>
      <c r="E329" t="s">
        <v>175</v>
      </c>
      <c r="F329" s="4">
        <v>1</v>
      </c>
      <c r="G329" s="4">
        <v>0.15000000000000002</v>
      </c>
      <c r="H329" s="9">
        <v>1546.5889999999997</v>
      </c>
      <c r="I329" s="9">
        <v>257.76483333333329</v>
      </c>
      <c r="J329" s="9">
        <f t="shared" si="145"/>
        <v>1804.3538333333331</v>
      </c>
      <c r="K329" s="9">
        <v>0</v>
      </c>
      <c r="L329" s="9">
        <f t="shared" si="146"/>
        <v>0</v>
      </c>
      <c r="M329">
        <v>0</v>
      </c>
      <c r="N329" s="4">
        <f t="shared" si="147"/>
        <v>0</v>
      </c>
      <c r="O329" s="9">
        <v>1344.86</v>
      </c>
      <c r="P329" s="9">
        <v>201.72900000000001</v>
      </c>
      <c r="Q329" s="9">
        <v>0</v>
      </c>
      <c r="R329" s="9">
        <v>0</v>
      </c>
      <c r="S329" s="9">
        <v>0</v>
      </c>
      <c r="T329" s="9">
        <v>0</v>
      </c>
      <c r="U329" s="9">
        <v>0</v>
      </c>
      <c r="V329" s="9">
        <v>0</v>
      </c>
      <c r="W329" s="9">
        <f t="shared" si="148"/>
        <v>1546.5889999999999</v>
      </c>
      <c r="X329" s="9">
        <v>257.76483333333329</v>
      </c>
      <c r="Y329" s="9">
        <v>0</v>
      </c>
      <c r="Z329" s="9">
        <v>1804.3538333333331</v>
      </c>
      <c r="AA329" s="9">
        <v>0</v>
      </c>
      <c r="AB329" s="9">
        <f t="shared" si="149"/>
        <v>1804.3538333333331</v>
      </c>
      <c r="AC329" s="9">
        <v>1804.3538333333331</v>
      </c>
      <c r="AD329" s="9">
        <v>0</v>
      </c>
      <c r="AE329" s="9">
        <v>1546.5889999999999</v>
      </c>
      <c r="AF329" s="9">
        <v>84.804630166666655</v>
      </c>
      <c r="AG329" s="9">
        <v>432.31088879999999</v>
      </c>
      <c r="AH329" s="9">
        <v>27.967484416666665</v>
      </c>
      <c r="AI329" s="9">
        <v>100.75041900000001</v>
      </c>
      <c r="AJ329" s="9">
        <v>3.6636516000000001</v>
      </c>
      <c r="AK329" s="9">
        <v>1.8043538333333331</v>
      </c>
      <c r="AL329" s="9">
        <v>10.990954800000001</v>
      </c>
      <c r="AM329" s="9">
        <v>2.7065307499999998</v>
      </c>
      <c r="AN329" s="9">
        <v>13.7386935</v>
      </c>
      <c r="AO329" s="9">
        <v>27.477387</v>
      </c>
      <c r="AP329" s="9">
        <v>0</v>
      </c>
      <c r="AQ329" s="25">
        <v>0</v>
      </c>
      <c r="AR329" s="9">
        <f t="shared" si="150"/>
        <v>0</v>
      </c>
      <c r="AS329" s="25">
        <v>0</v>
      </c>
      <c r="AT329" s="9">
        <f t="shared" si="151"/>
        <v>0</v>
      </c>
      <c r="AU329" s="9">
        <v>0</v>
      </c>
      <c r="AV329" s="25">
        <v>0</v>
      </c>
      <c r="AW329" s="9">
        <f t="shared" si="152"/>
        <v>0</v>
      </c>
      <c r="AX329" s="25">
        <v>0</v>
      </c>
      <c r="AY329" s="9">
        <f t="shared" si="153"/>
        <v>0</v>
      </c>
      <c r="AZ329" s="9">
        <v>0</v>
      </c>
      <c r="BA329" s="25">
        <v>0</v>
      </c>
      <c r="BB329" s="9">
        <f t="shared" si="154"/>
        <v>0</v>
      </c>
      <c r="BC329" s="25">
        <v>0</v>
      </c>
      <c r="BD329" s="9">
        <f t="shared" si="155"/>
        <v>0</v>
      </c>
      <c r="BE329" s="9">
        <v>0</v>
      </c>
      <c r="BF329" s="9">
        <v>0</v>
      </c>
      <c r="BG329" s="9">
        <f t="shared" si="156"/>
        <v>0</v>
      </c>
      <c r="BH329" s="9">
        <v>0</v>
      </c>
      <c r="BI329" s="9">
        <f t="shared" si="157"/>
        <v>0</v>
      </c>
      <c r="BJ329" s="9">
        <v>0</v>
      </c>
      <c r="BK329" s="9">
        <v>0</v>
      </c>
      <c r="BL329" s="9">
        <f t="shared" si="158"/>
        <v>0</v>
      </c>
      <c r="BM329" s="9">
        <v>0</v>
      </c>
      <c r="BN329" s="9">
        <f t="shared" si="159"/>
        <v>0</v>
      </c>
      <c r="BO329" s="9">
        <v>0</v>
      </c>
      <c r="BP329" s="9">
        <v>0</v>
      </c>
      <c r="BQ329" s="9">
        <f t="shared" si="160"/>
        <v>0</v>
      </c>
      <c r="BR329" s="9">
        <v>0</v>
      </c>
      <c r="BS329" s="9">
        <f t="shared" si="161"/>
        <v>0</v>
      </c>
      <c r="BT329" s="9">
        <f t="shared" si="162"/>
        <v>0</v>
      </c>
      <c r="BU329" s="9">
        <f t="shared" si="163"/>
        <v>0</v>
      </c>
      <c r="BV329" s="9">
        <f t="shared" si="164"/>
        <v>117.28299916666666</v>
      </c>
      <c r="BW329">
        <f t="shared" si="165"/>
        <v>117.28299916666666</v>
      </c>
      <c r="BX329">
        <v>0</v>
      </c>
      <c r="BY329">
        <f t="shared" si="166"/>
        <v>588.93199470000002</v>
      </c>
      <c r="BZ329">
        <v>75.837588120000007</v>
      </c>
      <c r="CA329">
        <f t="shared" si="167"/>
        <v>1353.4684127133332</v>
      </c>
      <c r="CB329">
        <f t="shared" si="168"/>
        <v>2135.5209946999998</v>
      </c>
      <c r="CC329">
        <v>0</v>
      </c>
      <c r="CD329">
        <v>0</v>
      </c>
      <c r="CE329">
        <f t="shared" si="169"/>
        <v>0</v>
      </c>
      <c r="CF329">
        <f t="shared" si="170"/>
        <v>1546.5889999999999</v>
      </c>
      <c r="CG329">
        <f t="shared" si="171"/>
        <v>1353.4684127133332</v>
      </c>
      <c r="CH329">
        <f t="shared" si="172"/>
        <v>0</v>
      </c>
      <c r="CJ329" t="s">
        <v>278</v>
      </c>
      <c r="CL329" t="str">
        <f t="shared" si="173"/>
        <v/>
      </c>
    </row>
    <row r="330" spans="1:90" x14ac:dyDescent="0.25">
      <c r="A330" t="s">
        <v>140</v>
      </c>
      <c r="B330" t="s">
        <v>179</v>
      </c>
      <c r="C330" s="1">
        <v>46143</v>
      </c>
      <c r="D330" t="s">
        <v>174</v>
      </c>
      <c r="E330" t="s">
        <v>175</v>
      </c>
      <c r="F330" s="4">
        <v>1</v>
      </c>
      <c r="G330" s="4">
        <v>0.15000000000000002</v>
      </c>
      <c r="H330" s="9">
        <v>1546.5889999999997</v>
      </c>
      <c r="I330" s="9">
        <v>257.76483333333329</v>
      </c>
      <c r="J330" s="9">
        <f t="shared" si="145"/>
        <v>1804.3538333333331</v>
      </c>
      <c r="K330" s="9">
        <v>0</v>
      </c>
      <c r="L330" s="9">
        <f t="shared" si="146"/>
        <v>0</v>
      </c>
      <c r="M330">
        <v>0</v>
      </c>
      <c r="N330" s="4">
        <f t="shared" si="147"/>
        <v>0</v>
      </c>
      <c r="O330" s="9">
        <v>1344.86</v>
      </c>
      <c r="P330" s="9">
        <v>201.72900000000001</v>
      </c>
      <c r="Q330" s="9">
        <v>0</v>
      </c>
      <c r="R330" s="9">
        <v>0</v>
      </c>
      <c r="S330" s="9">
        <v>0</v>
      </c>
      <c r="T330" s="9">
        <v>0</v>
      </c>
      <c r="U330" s="9">
        <v>0</v>
      </c>
      <c r="V330" s="9">
        <v>0</v>
      </c>
      <c r="W330" s="9">
        <f t="shared" si="148"/>
        <v>1546.5889999999999</v>
      </c>
      <c r="X330" s="9">
        <v>257.76483333333329</v>
      </c>
      <c r="Y330" s="9">
        <v>0</v>
      </c>
      <c r="Z330" s="9">
        <v>1804.3538333333331</v>
      </c>
      <c r="AA330" s="9">
        <v>0</v>
      </c>
      <c r="AB330" s="9">
        <f t="shared" si="149"/>
        <v>1804.3538333333331</v>
      </c>
      <c r="AC330" s="9">
        <v>1804.3538333333331</v>
      </c>
      <c r="AD330" s="9">
        <v>0</v>
      </c>
      <c r="AE330" s="9">
        <v>1546.5889999999999</v>
      </c>
      <c r="AF330" s="9">
        <v>84.804630166666655</v>
      </c>
      <c r="AG330" s="9">
        <v>451.10701439999997</v>
      </c>
      <c r="AH330" s="9">
        <v>27.967484416666665</v>
      </c>
      <c r="AI330" s="9">
        <v>105.130872</v>
      </c>
      <c r="AJ330" s="9">
        <v>3.8229408</v>
      </c>
      <c r="AK330" s="9">
        <v>1.8043538333333331</v>
      </c>
      <c r="AL330" s="9">
        <v>11.468822400000001</v>
      </c>
      <c r="AM330" s="9">
        <v>2.7065307499999998</v>
      </c>
      <c r="AN330" s="9">
        <v>14.336027999999999</v>
      </c>
      <c r="AO330" s="9">
        <v>28.672055999999998</v>
      </c>
      <c r="AP330" s="9">
        <v>0</v>
      </c>
      <c r="AQ330" s="25">
        <v>0</v>
      </c>
      <c r="AR330" s="9">
        <f t="shared" si="150"/>
        <v>0</v>
      </c>
      <c r="AS330" s="25">
        <v>0</v>
      </c>
      <c r="AT330" s="9">
        <f t="shared" si="151"/>
        <v>0</v>
      </c>
      <c r="AU330" s="9">
        <v>0</v>
      </c>
      <c r="AV330" s="25">
        <v>0</v>
      </c>
      <c r="AW330" s="9">
        <f t="shared" si="152"/>
        <v>0</v>
      </c>
      <c r="AX330" s="25">
        <v>0</v>
      </c>
      <c r="AY330" s="9">
        <f t="shared" si="153"/>
        <v>0</v>
      </c>
      <c r="AZ330" s="9">
        <v>0</v>
      </c>
      <c r="BA330" s="25">
        <v>0</v>
      </c>
      <c r="BB330" s="9">
        <f t="shared" si="154"/>
        <v>0</v>
      </c>
      <c r="BC330" s="25">
        <v>0</v>
      </c>
      <c r="BD330" s="9">
        <f t="shared" si="155"/>
        <v>0</v>
      </c>
      <c r="BE330" s="9">
        <v>0</v>
      </c>
      <c r="BF330" s="9">
        <v>0</v>
      </c>
      <c r="BG330" s="9">
        <f t="shared" si="156"/>
        <v>0</v>
      </c>
      <c r="BH330" s="9">
        <v>0</v>
      </c>
      <c r="BI330" s="9">
        <f t="shared" si="157"/>
        <v>0</v>
      </c>
      <c r="BJ330" s="9">
        <v>0</v>
      </c>
      <c r="BK330" s="9">
        <v>0</v>
      </c>
      <c r="BL330" s="9">
        <f t="shared" si="158"/>
        <v>0</v>
      </c>
      <c r="BM330" s="9">
        <v>0</v>
      </c>
      <c r="BN330" s="9">
        <f t="shared" si="159"/>
        <v>0</v>
      </c>
      <c r="BO330" s="9">
        <v>0</v>
      </c>
      <c r="BP330" s="9">
        <v>0</v>
      </c>
      <c r="BQ330" s="9">
        <f t="shared" si="160"/>
        <v>0</v>
      </c>
      <c r="BR330" s="9">
        <v>0</v>
      </c>
      <c r="BS330" s="9">
        <f t="shared" si="161"/>
        <v>0</v>
      </c>
      <c r="BT330" s="9">
        <f t="shared" si="162"/>
        <v>0</v>
      </c>
      <c r="BU330" s="9">
        <f t="shared" si="163"/>
        <v>0</v>
      </c>
      <c r="BV330" s="9">
        <f t="shared" si="164"/>
        <v>117.28299916666666</v>
      </c>
      <c r="BW330">
        <f t="shared" si="165"/>
        <v>117.28299916666666</v>
      </c>
      <c r="BX330">
        <v>0</v>
      </c>
      <c r="BY330">
        <f t="shared" si="166"/>
        <v>614.53773360000002</v>
      </c>
      <c r="BZ330">
        <v>79.13487456</v>
      </c>
      <c r="CA330">
        <f t="shared" si="167"/>
        <v>1350.1711262733331</v>
      </c>
      <c r="CB330">
        <f t="shared" si="168"/>
        <v>2161.1267336000001</v>
      </c>
      <c r="CC330">
        <v>0</v>
      </c>
      <c r="CD330">
        <v>0</v>
      </c>
      <c r="CE330">
        <f t="shared" si="169"/>
        <v>0</v>
      </c>
      <c r="CF330">
        <f t="shared" si="170"/>
        <v>1546.5889999999999</v>
      </c>
      <c r="CG330">
        <f t="shared" si="171"/>
        <v>1350.1711262733331</v>
      </c>
      <c r="CH330">
        <f t="shared" si="172"/>
        <v>0</v>
      </c>
      <c r="CJ330" t="s">
        <v>278</v>
      </c>
      <c r="CL330" t="str">
        <f t="shared" si="173"/>
        <v/>
      </c>
    </row>
    <row r="331" spans="1:90" x14ac:dyDescent="0.25">
      <c r="A331" t="s">
        <v>140</v>
      </c>
      <c r="B331" t="s">
        <v>180</v>
      </c>
      <c r="C331" s="1">
        <v>46174</v>
      </c>
      <c r="D331" t="s">
        <v>174</v>
      </c>
      <c r="E331" t="s">
        <v>175</v>
      </c>
      <c r="F331" s="4">
        <v>1</v>
      </c>
      <c r="G331" s="4">
        <v>0.15000000000000002</v>
      </c>
      <c r="H331" s="9">
        <v>1546.5889999999997</v>
      </c>
      <c r="I331" s="9">
        <v>257.76483333333329</v>
      </c>
      <c r="J331" s="9">
        <f t="shared" si="145"/>
        <v>1804.3538333333331</v>
      </c>
      <c r="K331" s="9">
        <v>0</v>
      </c>
      <c r="L331" s="9">
        <f t="shared" si="146"/>
        <v>0</v>
      </c>
      <c r="M331">
        <v>0</v>
      </c>
      <c r="N331" s="4">
        <f t="shared" si="147"/>
        <v>0</v>
      </c>
      <c r="O331" s="9">
        <v>1344.86</v>
      </c>
      <c r="P331" s="9">
        <v>201.72900000000001</v>
      </c>
      <c r="Q331" s="9">
        <v>0</v>
      </c>
      <c r="R331" s="9">
        <v>0</v>
      </c>
      <c r="S331" s="9">
        <v>0</v>
      </c>
      <c r="T331" s="9">
        <v>0</v>
      </c>
      <c r="U331" s="9">
        <v>0</v>
      </c>
      <c r="V331" s="9">
        <v>0</v>
      </c>
      <c r="W331" s="9">
        <f t="shared" si="148"/>
        <v>1546.5889999999999</v>
      </c>
      <c r="X331" s="9">
        <v>257.76483333333329</v>
      </c>
      <c r="Y331" s="9">
        <v>0</v>
      </c>
      <c r="Z331" s="9">
        <v>1804.3538333333331</v>
      </c>
      <c r="AA331" s="9">
        <v>0</v>
      </c>
      <c r="AB331" s="9">
        <f t="shared" si="149"/>
        <v>1804.3538333333331</v>
      </c>
      <c r="AC331" s="9">
        <v>1804.3538333333331</v>
      </c>
      <c r="AD331" s="9">
        <v>0</v>
      </c>
      <c r="AE331" s="9">
        <v>1546.5889999999999</v>
      </c>
      <c r="AF331" s="9">
        <v>84.804630166666655</v>
      </c>
      <c r="AG331" s="9">
        <v>451.10701439999997</v>
      </c>
      <c r="AH331" s="9">
        <v>27.967484416666665</v>
      </c>
      <c r="AI331" s="9">
        <v>105.130872</v>
      </c>
      <c r="AJ331" s="9">
        <v>3.8229408</v>
      </c>
      <c r="AK331" s="9">
        <v>1.8043538333333331</v>
      </c>
      <c r="AL331" s="9">
        <v>11.468822400000001</v>
      </c>
      <c r="AM331" s="9">
        <v>2.7065307499999998</v>
      </c>
      <c r="AN331" s="9">
        <v>14.336027999999999</v>
      </c>
      <c r="AO331" s="9">
        <v>28.672055999999998</v>
      </c>
      <c r="AP331" s="9">
        <v>0</v>
      </c>
      <c r="AQ331" s="25">
        <v>0</v>
      </c>
      <c r="AR331" s="9">
        <f t="shared" si="150"/>
        <v>0</v>
      </c>
      <c r="AS331" s="25">
        <v>0</v>
      </c>
      <c r="AT331" s="9">
        <f t="shared" si="151"/>
        <v>0</v>
      </c>
      <c r="AU331" s="9">
        <v>0</v>
      </c>
      <c r="AV331" s="25">
        <v>0</v>
      </c>
      <c r="AW331" s="9">
        <f t="shared" si="152"/>
        <v>0</v>
      </c>
      <c r="AX331" s="25">
        <v>0</v>
      </c>
      <c r="AY331" s="9">
        <f t="shared" si="153"/>
        <v>0</v>
      </c>
      <c r="AZ331" s="9">
        <v>0</v>
      </c>
      <c r="BA331" s="25">
        <v>0</v>
      </c>
      <c r="BB331" s="9">
        <f t="shared" si="154"/>
        <v>0</v>
      </c>
      <c r="BC331" s="25">
        <v>0</v>
      </c>
      <c r="BD331" s="9">
        <f t="shared" si="155"/>
        <v>0</v>
      </c>
      <c r="BE331" s="9">
        <v>0</v>
      </c>
      <c r="BF331" s="9">
        <v>0</v>
      </c>
      <c r="BG331" s="9">
        <f t="shared" si="156"/>
        <v>0</v>
      </c>
      <c r="BH331" s="9">
        <v>0</v>
      </c>
      <c r="BI331" s="9">
        <f t="shared" si="157"/>
        <v>0</v>
      </c>
      <c r="BJ331" s="9">
        <v>0</v>
      </c>
      <c r="BK331" s="9">
        <v>0</v>
      </c>
      <c r="BL331" s="9">
        <f t="shared" si="158"/>
        <v>0</v>
      </c>
      <c r="BM331" s="9">
        <v>0</v>
      </c>
      <c r="BN331" s="9">
        <f t="shared" si="159"/>
        <v>0</v>
      </c>
      <c r="BO331" s="9">
        <v>0</v>
      </c>
      <c r="BP331" s="9">
        <v>0</v>
      </c>
      <c r="BQ331" s="9">
        <f t="shared" si="160"/>
        <v>0</v>
      </c>
      <c r="BR331" s="9">
        <v>0</v>
      </c>
      <c r="BS331" s="9">
        <f t="shared" si="161"/>
        <v>0</v>
      </c>
      <c r="BT331" s="9">
        <f t="shared" si="162"/>
        <v>0</v>
      </c>
      <c r="BU331" s="9">
        <f t="shared" si="163"/>
        <v>0</v>
      </c>
      <c r="BV331" s="9">
        <f t="shared" si="164"/>
        <v>117.28299916666666</v>
      </c>
      <c r="BW331">
        <f t="shared" si="165"/>
        <v>117.28299916666666</v>
      </c>
      <c r="BX331">
        <v>0</v>
      </c>
      <c r="BY331">
        <f t="shared" si="166"/>
        <v>614.53773360000002</v>
      </c>
      <c r="BZ331">
        <v>79.13487456</v>
      </c>
      <c r="CA331">
        <f t="shared" si="167"/>
        <v>1350.1711262733331</v>
      </c>
      <c r="CB331">
        <f t="shared" si="168"/>
        <v>2161.1267336000001</v>
      </c>
      <c r="CC331">
        <v>0</v>
      </c>
      <c r="CD331">
        <v>0</v>
      </c>
      <c r="CE331">
        <f t="shared" si="169"/>
        <v>0</v>
      </c>
      <c r="CF331">
        <f t="shared" si="170"/>
        <v>1546.5889999999999</v>
      </c>
      <c r="CG331">
        <f t="shared" si="171"/>
        <v>1350.1711262733331</v>
      </c>
      <c r="CH331">
        <f t="shared" si="172"/>
        <v>0</v>
      </c>
      <c r="CJ331" t="s">
        <v>278</v>
      </c>
      <c r="CL331" t="str">
        <f t="shared" si="173"/>
        <v/>
      </c>
    </row>
    <row r="332" spans="1:90" x14ac:dyDescent="0.25">
      <c r="A332" t="s">
        <v>140</v>
      </c>
      <c r="B332" t="s">
        <v>181</v>
      </c>
      <c r="C332" s="1">
        <v>46204</v>
      </c>
      <c r="D332" t="s">
        <v>182</v>
      </c>
      <c r="E332" t="s">
        <v>175</v>
      </c>
      <c r="F332" s="4">
        <v>1</v>
      </c>
      <c r="G332" s="4">
        <v>0.15000000000000002</v>
      </c>
      <c r="H332" s="9">
        <v>1546.5889999999997</v>
      </c>
      <c r="I332" s="9">
        <v>257.76483333333329</v>
      </c>
      <c r="J332" s="9">
        <f t="shared" si="145"/>
        <v>1804.3538333333331</v>
      </c>
      <c r="K332" s="9">
        <v>0</v>
      </c>
      <c r="L332" s="9">
        <f t="shared" si="146"/>
        <v>0</v>
      </c>
      <c r="M332">
        <v>0</v>
      </c>
      <c r="N332" s="4">
        <f t="shared" si="147"/>
        <v>0</v>
      </c>
      <c r="O332" s="9">
        <v>1344.86</v>
      </c>
      <c r="P332" s="9">
        <v>201.72900000000001</v>
      </c>
      <c r="Q332" s="9">
        <v>0</v>
      </c>
      <c r="R332" s="9">
        <v>0</v>
      </c>
      <c r="S332" s="9">
        <v>0</v>
      </c>
      <c r="T332" s="9">
        <v>0</v>
      </c>
      <c r="U332" s="9">
        <v>0</v>
      </c>
      <c r="V332" s="9">
        <v>0</v>
      </c>
      <c r="W332" s="9">
        <f t="shared" si="148"/>
        <v>1546.5889999999999</v>
      </c>
      <c r="X332" s="9">
        <v>0</v>
      </c>
      <c r="Y332" s="9">
        <v>0</v>
      </c>
      <c r="Z332" s="9">
        <v>0</v>
      </c>
      <c r="AA332" s="9">
        <v>0</v>
      </c>
      <c r="AB332" s="9">
        <f t="shared" si="149"/>
        <v>0</v>
      </c>
      <c r="AC332" s="9">
        <v>0</v>
      </c>
      <c r="AD332" s="9">
        <v>0</v>
      </c>
      <c r="AE332" s="9">
        <v>1546.5889999999999</v>
      </c>
      <c r="AF332" s="9">
        <v>0</v>
      </c>
      <c r="AG332" s="9">
        <v>0</v>
      </c>
      <c r="AH332" s="9">
        <v>0</v>
      </c>
      <c r="AI332" s="9">
        <v>0</v>
      </c>
      <c r="AJ332" s="9">
        <v>0</v>
      </c>
      <c r="AK332" s="9">
        <v>0</v>
      </c>
      <c r="AL332" s="9">
        <v>0</v>
      </c>
      <c r="AM332" s="9">
        <v>0</v>
      </c>
      <c r="AN332" s="9">
        <v>0</v>
      </c>
      <c r="AO332" s="9">
        <v>0</v>
      </c>
      <c r="AP332" s="9">
        <v>0</v>
      </c>
      <c r="AQ332" s="25">
        <v>0</v>
      </c>
      <c r="AR332" s="9">
        <f t="shared" si="150"/>
        <v>0</v>
      </c>
      <c r="AS332" s="25">
        <v>0</v>
      </c>
      <c r="AT332" s="9">
        <f t="shared" si="151"/>
        <v>0</v>
      </c>
      <c r="AU332" s="9">
        <v>0</v>
      </c>
      <c r="AV332" s="25">
        <v>0</v>
      </c>
      <c r="AW332" s="9">
        <f t="shared" si="152"/>
        <v>0</v>
      </c>
      <c r="AX332" s="25">
        <v>0</v>
      </c>
      <c r="AY332" s="9">
        <f t="shared" si="153"/>
        <v>0</v>
      </c>
      <c r="AZ332" s="9">
        <v>0</v>
      </c>
      <c r="BA332" s="25">
        <v>0</v>
      </c>
      <c r="BB332" s="9">
        <f t="shared" si="154"/>
        <v>0</v>
      </c>
      <c r="BC332" s="25">
        <v>0</v>
      </c>
      <c r="BD332" s="9">
        <f t="shared" si="155"/>
        <v>0</v>
      </c>
      <c r="BE332" s="9">
        <v>0</v>
      </c>
      <c r="BF332" s="9">
        <v>0</v>
      </c>
      <c r="BG332" s="9">
        <f t="shared" si="156"/>
        <v>0</v>
      </c>
      <c r="BH332" s="9">
        <v>0</v>
      </c>
      <c r="BI332" s="9">
        <f t="shared" si="157"/>
        <v>0</v>
      </c>
      <c r="BJ332" s="9">
        <v>0</v>
      </c>
      <c r="BK332" s="9">
        <v>0</v>
      </c>
      <c r="BL332" s="9">
        <f t="shared" si="158"/>
        <v>0</v>
      </c>
      <c r="BM332" s="9">
        <v>0</v>
      </c>
      <c r="BN332" s="9">
        <f t="shared" si="159"/>
        <v>0</v>
      </c>
      <c r="BO332" s="9">
        <v>0</v>
      </c>
      <c r="BP332" s="9">
        <v>0</v>
      </c>
      <c r="BQ332" s="9">
        <f t="shared" si="160"/>
        <v>0</v>
      </c>
      <c r="BR332" s="9">
        <v>0</v>
      </c>
      <c r="BS332" s="9">
        <f t="shared" si="161"/>
        <v>0</v>
      </c>
      <c r="BT332" s="9">
        <f t="shared" si="162"/>
        <v>0</v>
      </c>
      <c r="BU332" s="9">
        <f t="shared" si="163"/>
        <v>0</v>
      </c>
      <c r="BV332" s="9">
        <f t="shared" si="164"/>
        <v>0</v>
      </c>
      <c r="BW332">
        <f t="shared" si="165"/>
        <v>0</v>
      </c>
      <c r="BX332">
        <v>0</v>
      </c>
      <c r="BY332">
        <f t="shared" si="166"/>
        <v>0</v>
      </c>
      <c r="BZ332">
        <v>76.936683600000009</v>
      </c>
      <c r="CA332">
        <f t="shared" si="167"/>
        <v>1469.6523164</v>
      </c>
      <c r="CB332">
        <f t="shared" si="168"/>
        <v>1546.5889999999999</v>
      </c>
      <c r="CC332">
        <v>0</v>
      </c>
      <c r="CD332">
        <v>0</v>
      </c>
      <c r="CE332">
        <f t="shared" si="169"/>
        <v>0</v>
      </c>
      <c r="CF332">
        <f t="shared" si="170"/>
        <v>1546.5889999999999</v>
      </c>
      <c r="CG332">
        <f t="shared" si="171"/>
        <v>1469.6523164</v>
      </c>
      <c r="CH332">
        <f t="shared" si="172"/>
        <v>0</v>
      </c>
      <c r="CJ332" t="s">
        <v>278</v>
      </c>
      <c r="CL332" t="str">
        <f t="shared" si="173"/>
        <v/>
      </c>
    </row>
    <row r="333" spans="1:90" x14ac:dyDescent="0.25">
      <c r="A333" t="s">
        <v>140</v>
      </c>
      <c r="B333" t="s">
        <v>183</v>
      </c>
      <c r="C333" s="1">
        <v>46204</v>
      </c>
      <c r="D333" t="s">
        <v>174</v>
      </c>
      <c r="E333" t="s">
        <v>175</v>
      </c>
      <c r="F333" s="4">
        <v>1</v>
      </c>
      <c r="G333" s="4">
        <v>0.15000000000000002</v>
      </c>
      <c r="H333" s="9">
        <v>1546.5889999999997</v>
      </c>
      <c r="I333" s="9">
        <v>257.76483333333329</v>
      </c>
      <c r="J333" s="9">
        <f t="shared" si="145"/>
        <v>1804.3538333333331</v>
      </c>
      <c r="K333" s="9">
        <v>0</v>
      </c>
      <c r="L333" s="9">
        <f t="shared" si="146"/>
        <v>0</v>
      </c>
      <c r="M333">
        <v>0</v>
      </c>
      <c r="N333" s="4">
        <f t="shared" si="147"/>
        <v>0</v>
      </c>
      <c r="O333" s="9">
        <v>1344.86</v>
      </c>
      <c r="P333" s="9">
        <v>201.72900000000001</v>
      </c>
      <c r="Q333" s="9">
        <v>0</v>
      </c>
      <c r="R333" s="9">
        <v>0</v>
      </c>
      <c r="S333" s="9">
        <v>0</v>
      </c>
      <c r="T333" s="9">
        <v>0</v>
      </c>
      <c r="U333" s="9">
        <v>0</v>
      </c>
      <c r="V333" s="9">
        <v>0</v>
      </c>
      <c r="W333" s="9">
        <f t="shared" si="148"/>
        <v>1546.5889999999999</v>
      </c>
      <c r="X333" s="9">
        <v>257.76483333333329</v>
      </c>
      <c r="Y333" s="9">
        <v>0</v>
      </c>
      <c r="Z333" s="9">
        <v>1804.3538333333331</v>
      </c>
      <c r="AA333" s="9">
        <v>0</v>
      </c>
      <c r="AB333" s="9">
        <f t="shared" si="149"/>
        <v>1804.3538333333331</v>
      </c>
      <c r="AC333" s="9">
        <v>1804.3538333333331</v>
      </c>
      <c r="AD333" s="9">
        <v>0</v>
      </c>
      <c r="AE333" s="9">
        <v>1546.5889999999999</v>
      </c>
      <c r="AF333" s="9">
        <v>84.804630166666655</v>
      </c>
      <c r="AG333" s="9">
        <v>451.10701439999997</v>
      </c>
      <c r="AH333" s="9">
        <v>27.967484416666665</v>
      </c>
      <c r="AI333" s="9">
        <v>105.130872</v>
      </c>
      <c r="AJ333" s="9">
        <v>3.8229408</v>
      </c>
      <c r="AK333" s="9">
        <v>1.8043538333333331</v>
      </c>
      <c r="AL333" s="9">
        <v>11.468822400000001</v>
      </c>
      <c r="AM333" s="9">
        <v>2.7065307499999998</v>
      </c>
      <c r="AN333" s="9">
        <v>14.336027999999999</v>
      </c>
      <c r="AO333" s="9">
        <v>28.672055999999998</v>
      </c>
      <c r="AP333" s="9">
        <v>0</v>
      </c>
      <c r="AQ333" s="25">
        <v>0</v>
      </c>
      <c r="AR333" s="9">
        <f t="shared" si="150"/>
        <v>0</v>
      </c>
      <c r="AS333" s="25">
        <v>0</v>
      </c>
      <c r="AT333" s="9">
        <f t="shared" si="151"/>
        <v>0</v>
      </c>
      <c r="AU333" s="9">
        <v>0</v>
      </c>
      <c r="AV333" s="25">
        <v>0</v>
      </c>
      <c r="AW333" s="9">
        <f t="shared" si="152"/>
        <v>0</v>
      </c>
      <c r="AX333" s="25">
        <v>0</v>
      </c>
      <c r="AY333" s="9">
        <f t="shared" si="153"/>
        <v>0</v>
      </c>
      <c r="AZ333" s="9">
        <v>0</v>
      </c>
      <c r="BA333" s="25">
        <v>0</v>
      </c>
      <c r="BB333" s="9">
        <f t="shared" si="154"/>
        <v>0</v>
      </c>
      <c r="BC333" s="25">
        <v>0</v>
      </c>
      <c r="BD333" s="9">
        <f t="shared" si="155"/>
        <v>0</v>
      </c>
      <c r="BE333" s="9">
        <v>0</v>
      </c>
      <c r="BF333" s="9">
        <v>0</v>
      </c>
      <c r="BG333" s="9">
        <f t="shared" si="156"/>
        <v>0</v>
      </c>
      <c r="BH333" s="9">
        <v>0</v>
      </c>
      <c r="BI333" s="9">
        <f t="shared" si="157"/>
        <v>0</v>
      </c>
      <c r="BJ333" s="9">
        <v>0</v>
      </c>
      <c r="BK333" s="9">
        <v>0</v>
      </c>
      <c r="BL333" s="9">
        <f t="shared" si="158"/>
        <v>0</v>
      </c>
      <c r="BM333" s="9">
        <v>0</v>
      </c>
      <c r="BN333" s="9">
        <f t="shared" si="159"/>
        <v>0</v>
      </c>
      <c r="BO333" s="9">
        <v>0</v>
      </c>
      <c r="BP333" s="9">
        <v>0</v>
      </c>
      <c r="BQ333" s="9">
        <f t="shared" si="160"/>
        <v>0</v>
      </c>
      <c r="BR333" s="9">
        <v>0</v>
      </c>
      <c r="BS333" s="9">
        <f t="shared" si="161"/>
        <v>0</v>
      </c>
      <c r="BT333" s="9">
        <f t="shared" si="162"/>
        <v>0</v>
      </c>
      <c r="BU333" s="9">
        <f t="shared" si="163"/>
        <v>0</v>
      </c>
      <c r="BV333" s="9">
        <f t="shared" si="164"/>
        <v>117.28299916666666</v>
      </c>
      <c r="BW333">
        <f t="shared" si="165"/>
        <v>117.28299916666666</v>
      </c>
      <c r="BX333">
        <v>0</v>
      </c>
      <c r="BY333">
        <f t="shared" si="166"/>
        <v>614.53773360000002</v>
      </c>
      <c r="BZ333">
        <v>79.13487456</v>
      </c>
      <c r="CA333">
        <f t="shared" si="167"/>
        <v>1350.1711262733331</v>
      </c>
      <c r="CB333">
        <f t="shared" si="168"/>
        <v>2161.1267336000001</v>
      </c>
      <c r="CC333">
        <v>0</v>
      </c>
      <c r="CD333">
        <v>0</v>
      </c>
      <c r="CE333">
        <f t="shared" si="169"/>
        <v>0</v>
      </c>
      <c r="CF333">
        <f t="shared" si="170"/>
        <v>1546.5889999999999</v>
      </c>
      <c r="CG333">
        <f t="shared" si="171"/>
        <v>1350.1711262733331</v>
      </c>
      <c r="CH333">
        <f t="shared" si="172"/>
        <v>0</v>
      </c>
      <c r="CJ333" t="s">
        <v>278</v>
      </c>
      <c r="CL333" t="str">
        <f t="shared" si="173"/>
        <v/>
      </c>
    </row>
    <row r="334" spans="1:90" x14ac:dyDescent="0.25">
      <c r="A334" t="s">
        <v>140</v>
      </c>
      <c r="B334" t="s">
        <v>184</v>
      </c>
      <c r="C334" s="1">
        <v>46235</v>
      </c>
      <c r="D334" t="s">
        <v>174</v>
      </c>
      <c r="E334" t="s">
        <v>175</v>
      </c>
      <c r="F334" s="4">
        <v>1</v>
      </c>
      <c r="G334" s="4">
        <v>0.15000000000000002</v>
      </c>
      <c r="H334" s="9">
        <v>1546.5889999999997</v>
      </c>
      <c r="I334" s="9">
        <v>257.76483333333329</v>
      </c>
      <c r="J334" s="9">
        <f t="shared" si="145"/>
        <v>1804.3538333333331</v>
      </c>
      <c r="K334" s="9">
        <v>0</v>
      </c>
      <c r="L334" s="9">
        <f t="shared" si="146"/>
        <v>0</v>
      </c>
      <c r="M334">
        <v>0</v>
      </c>
      <c r="N334" s="4">
        <f t="shared" si="147"/>
        <v>0</v>
      </c>
      <c r="O334" s="9">
        <v>1344.86</v>
      </c>
      <c r="P334" s="9">
        <v>201.72900000000001</v>
      </c>
      <c r="Q334" s="9">
        <v>0</v>
      </c>
      <c r="R334" s="9">
        <v>0</v>
      </c>
      <c r="S334" s="9">
        <v>0</v>
      </c>
      <c r="T334" s="9">
        <v>0</v>
      </c>
      <c r="U334" s="9">
        <v>0</v>
      </c>
      <c r="V334" s="9">
        <v>0</v>
      </c>
      <c r="W334" s="9">
        <f t="shared" si="148"/>
        <v>1546.5889999999999</v>
      </c>
      <c r="X334" s="9">
        <v>257.76483333333329</v>
      </c>
      <c r="Y334" s="9">
        <v>0</v>
      </c>
      <c r="Z334" s="9">
        <v>1804.3538333333331</v>
      </c>
      <c r="AA334" s="9">
        <v>0</v>
      </c>
      <c r="AB334" s="9">
        <f t="shared" si="149"/>
        <v>1804.3538333333331</v>
      </c>
      <c r="AC334" s="9">
        <v>1804.3538333333331</v>
      </c>
      <c r="AD334" s="9">
        <v>0</v>
      </c>
      <c r="AE334" s="9">
        <v>1546.5889999999999</v>
      </c>
      <c r="AF334" s="9">
        <v>84.804630166666655</v>
      </c>
      <c r="AG334" s="9">
        <v>451.10701439999997</v>
      </c>
      <c r="AH334" s="9">
        <v>27.967484416666665</v>
      </c>
      <c r="AI334" s="9">
        <v>105.130872</v>
      </c>
      <c r="AJ334" s="9">
        <v>3.8229408</v>
      </c>
      <c r="AK334" s="9">
        <v>1.8043538333333331</v>
      </c>
      <c r="AL334" s="9">
        <v>11.468822400000001</v>
      </c>
      <c r="AM334" s="9">
        <v>2.7065307499999998</v>
      </c>
      <c r="AN334" s="9">
        <v>14.336027999999999</v>
      </c>
      <c r="AO334" s="9">
        <v>28.672055999999998</v>
      </c>
      <c r="AP334" s="9">
        <v>0</v>
      </c>
      <c r="AQ334" s="25">
        <v>0</v>
      </c>
      <c r="AR334" s="9">
        <f t="shared" si="150"/>
        <v>0</v>
      </c>
      <c r="AS334" s="25">
        <v>0</v>
      </c>
      <c r="AT334" s="9">
        <f t="shared" si="151"/>
        <v>0</v>
      </c>
      <c r="AU334" s="9">
        <v>0</v>
      </c>
      <c r="AV334" s="25">
        <v>0</v>
      </c>
      <c r="AW334" s="9">
        <f t="shared" si="152"/>
        <v>0</v>
      </c>
      <c r="AX334" s="25">
        <v>0</v>
      </c>
      <c r="AY334" s="9">
        <f t="shared" si="153"/>
        <v>0</v>
      </c>
      <c r="AZ334" s="9">
        <v>0</v>
      </c>
      <c r="BA334" s="25">
        <v>0</v>
      </c>
      <c r="BB334" s="9">
        <f t="shared" si="154"/>
        <v>0</v>
      </c>
      <c r="BC334" s="25">
        <v>0</v>
      </c>
      <c r="BD334" s="9">
        <f t="shared" si="155"/>
        <v>0</v>
      </c>
      <c r="BE334" s="9">
        <v>0</v>
      </c>
      <c r="BF334" s="9">
        <v>0</v>
      </c>
      <c r="BG334" s="9">
        <f t="shared" si="156"/>
        <v>0</v>
      </c>
      <c r="BH334" s="9">
        <v>0</v>
      </c>
      <c r="BI334" s="9">
        <f t="shared" si="157"/>
        <v>0</v>
      </c>
      <c r="BJ334" s="9">
        <v>0</v>
      </c>
      <c r="BK334" s="9">
        <v>0</v>
      </c>
      <c r="BL334" s="9">
        <f t="shared" si="158"/>
        <v>0</v>
      </c>
      <c r="BM334" s="9">
        <v>0</v>
      </c>
      <c r="BN334" s="9">
        <f t="shared" si="159"/>
        <v>0</v>
      </c>
      <c r="BO334" s="9">
        <v>0</v>
      </c>
      <c r="BP334" s="9">
        <v>0</v>
      </c>
      <c r="BQ334" s="9">
        <f t="shared" si="160"/>
        <v>0</v>
      </c>
      <c r="BR334" s="9">
        <v>0</v>
      </c>
      <c r="BS334" s="9">
        <f t="shared" si="161"/>
        <v>0</v>
      </c>
      <c r="BT334" s="9">
        <f t="shared" si="162"/>
        <v>0</v>
      </c>
      <c r="BU334" s="9">
        <f t="shared" si="163"/>
        <v>0</v>
      </c>
      <c r="BV334" s="9">
        <f t="shared" si="164"/>
        <v>117.28299916666666</v>
      </c>
      <c r="BW334">
        <f t="shared" si="165"/>
        <v>117.28299916666666</v>
      </c>
      <c r="BX334">
        <v>0</v>
      </c>
      <c r="BY334">
        <f t="shared" si="166"/>
        <v>614.53773360000002</v>
      </c>
      <c r="BZ334">
        <v>79.13487456</v>
      </c>
      <c r="CA334">
        <f t="shared" si="167"/>
        <v>1350.1711262733331</v>
      </c>
      <c r="CB334">
        <f t="shared" si="168"/>
        <v>2161.1267336000001</v>
      </c>
      <c r="CC334">
        <v>0</v>
      </c>
      <c r="CD334">
        <v>0</v>
      </c>
      <c r="CE334">
        <f t="shared" si="169"/>
        <v>0</v>
      </c>
      <c r="CF334">
        <f t="shared" si="170"/>
        <v>1546.5889999999999</v>
      </c>
      <c r="CG334">
        <f t="shared" si="171"/>
        <v>1350.1711262733331</v>
      </c>
      <c r="CH334">
        <f t="shared" si="172"/>
        <v>0</v>
      </c>
      <c r="CJ334" t="s">
        <v>278</v>
      </c>
      <c r="CL334" t="str">
        <f t="shared" si="173"/>
        <v/>
      </c>
    </row>
    <row r="335" spans="1:90" x14ac:dyDescent="0.25">
      <c r="A335" t="s">
        <v>140</v>
      </c>
      <c r="B335" t="s">
        <v>185</v>
      </c>
      <c r="C335" s="1">
        <v>46266</v>
      </c>
      <c r="D335" t="s">
        <v>174</v>
      </c>
      <c r="E335" t="s">
        <v>175</v>
      </c>
      <c r="F335" s="4">
        <v>1</v>
      </c>
      <c r="G335" s="4">
        <v>0.2</v>
      </c>
      <c r="H335" s="9">
        <v>1613.8319999999999</v>
      </c>
      <c r="I335" s="9">
        <v>268.97199999999998</v>
      </c>
      <c r="J335" s="9">
        <f t="shared" si="145"/>
        <v>1882.8039999999999</v>
      </c>
      <c r="K335" s="9">
        <v>0</v>
      </c>
      <c r="L335" s="9">
        <f t="shared" si="146"/>
        <v>0</v>
      </c>
      <c r="M335">
        <v>0</v>
      </c>
      <c r="N335" s="4">
        <f t="shared" si="147"/>
        <v>0</v>
      </c>
      <c r="O335" s="9">
        <v>1344.86</v>
      </c>
      <c r="P335" s="9">
        <v>268.97199999999998</v>
      </c>
      <c r="Q335" s="9">
        <v>0</v>
      </c>
      <c r="R335" s="9">
        <v>0</v>
      </c>
      <c r="S335" s="9">
        <v>0</v>
      </c>
      <c r="T335" s="9">
        <v>0</v>
      </c>
      <c r="U335" s="9">
        <v>0</v>
      </c>
      <c r="V335" s="9">
        <v>0</v>
      </c>
      <c r="W335" s="9">
        <f t="shared" si="148"/>
        <v>1613.8319999999999</v>
      </c>
      <c r="X335" s="9">
        <v>268.97199999999998</v>
      </c>
      <c r="Y335" s="9">
        <v>0</v>
      </c>
      <c r="Z335" s="9">
        <v>1882.8039999999999</v>
      </c>
      <c r="AA335" s="9">
        <v>0</v>
      </c>
      <c r="AB335" s="9">
        <f t="shared" si="149"/>
        <v>1882.8039999999999</v>
      </c>
      <c r="AC335" s="9">
        <v>1882.8039999999999</v>
      </c>
      <c r="AD335" s="9">
        <v>0</v>
      </c>
      <c r="AE335" s="9">
        <v>1613.8319999999999</v>
      </c>
      <c r="AF335" s="9">
        <v>88.491788</v>
      </c>
      <c r="AG335" s="9">
        <v>451.10701439999997</v>
      </c>
      <c r="AH335" s="9">
        <v>29.183461999999999</v>
      </c>
      <c r="AI335" s="9">
        <v>105.130872</v>
      </c>
      <c r="AJ335" s="9">
        <v>3.8229408</v>
      </c>
      <c r="AK335" s="9">
        <v>1.8828039999999999</v>
      </c>
      <c r="AL335" s="9">
        <v>11.468822400000001</v>
      </c>
      <c r="AM335" s="9">
        <v>2.8242059999999998</v>
      </c>
      <c r="AN335" s="9">
        <v>14.336027999999999</v>
      </c>
      <c r="AO335" s="9">
        <v>28.672055999999998</v>
      </c>
      <c r="AP335" s="9">
        <v>0</v>
      </c>
      <c r="AQ335" s="25">
        <v>0</v>
      </c>
      <c r="AR335" s="9">
        <f t="shared" si="150"/>
        <v>0</v>
      </c>
      <c r="AS335" s="25">
        <v>0</v>
      </c>
      <c r="AT335" s="9">
        <f t="shared" si="151"/>
        <v>0</v>
      </c>
      <c r="AU335" s="9">
        <v>0</v>
      </c>
      <c r="AV335" s="25">
        <v>0</v>
      </c>
      <c r="AW335" s="9">
        <f t="shared" si="152"/>
        <v>0</v>
      </c>
      <c r="AX335" s="25">
        <v>0</v>
      </c>
      <c r="AY335" s="9">
        <f t="shared" si="153"/>
        <v>0</v>
      </c>
      <c r="AZ335" s="9">
        <v>0</v>
      </c>
      <c r="BA335" s="25">
        <v>0</v>
      </c>
      <c r="BB335" s="9">
        <f t="shared" si="154"/>
        <v>0</v>
      </c>
      <c r="BC335" s="25">
        <v>0</v>
      </c>
      <c r="BD335" s="9">
        <f t="shared" si="155"/>
        <v>0</v>
      </c>
      <c r="BE335" s="9">
        <v>0</v>
      </c>
      <c r="BF335" s="9">
        <v>0</v>
      </c>
      <c r="BG335" s="9">
        <f t="shared" si="156"/>
        <v>0</v>
      </c>
      <c r="BH335" s="9">
        <v>0</v>
      </c>
      <c r="BI335" s="9">
        <f t="shared" si="157"/>
        <v>0</v>
      </c>
      <c r="BJ335" s="9">
        <v>0</v>
      </c>
      <c r="BK335" s="9">
        <v>0</v>
      </c>
      <c r="BL335" s="9">
        <f t="shared" si="158"/>
        <v>0</v>
      </c>
      <c r="BM335" s="9">
        <v>0</v>
      </c>
      <c r="BN335" s="9">
        <f t="shared" si="159"/>
        <v>0</v>
      </c>
      <c r="BO335" s="9">
        <v>0</v>
      </c>
      <c r="BP335" s="9">
        <v>0</v>
      </c>
      <c r="BQ335" s="9">
        <f t="shared" si="160"/>
        <v>0</v>
      </c>
      <c r="BR335" s="9">
        <v>0</v>
      </c>
      <c r="BS335" s="9">
        <f t="shared" si="161"/>
        <v>0</v>
      </c>
      <c r="BT335" s="9">
        <f t="shared" si="162"/>
        <v>0</v>
      </c>
      <c r="BU335" s="9">
        <f t="shared" si="163"/>
        <v>0</v>
      </c>
      <c r="BV335" s="9">
        <f t="shared" si="164"/>
        <v>122.38226</v>
      </c>
      <c r="BW335">
        <f t="shared" si="165"/>
        <v>122.38226</v>
      </c>
      <c r="BX335">
        <v>0</v>
      </c>
      <c r="BY335">
        <f t="shared" si="166"/>
        <v>614.53773360000002</v>
      </c>
      <c r="BZ335">
        <v>79.13487456</v>
      </c>
      <c r="CA335">
        <f t="shared" si="167"/>
        <v>1412.3148654399997</v>
      </c>
      <c r="CB335">
        <f t="shared" si="168"/>
        <v>2228.3697336</v>
      </c>
      <c r="CC335">
        <v>0</v>
      </c>
      <c r="CD335">
        <v>0</v>
      </c>
      <c r="CE335">
        <f t="shared" si="169"/>
        <v>0</v>
      </c>
      <c r="CF335">
        <f t="shared" si="170"/>
        <v>1613.8319999999999</v>
      </c>
      <c r="CG335">
        <f t="shared" si="171"/>
        <v>1412.3148654399997</v>
      </c>
      <c r="CH335">
        <f t="shared" si="172"/>
        <v>0</v>
      </c>
      <c r="CJ335" t="s">
        <v>278</v>
      </c>
      <c r="CL335" t="str">
        <f t="shared" si="173"/>
        <v/>
      </c>
    </row>
    <row r="336" spans="1:90" x14ac:dyDescent="0.25">
      <c r="A336" t="s">
        <v>140</v>
      </c>
      <c r="B336" t="s">
        <v>186</v>
      </c>
      <c r="C336" s="1">
        <v>46296</v>
      </c>
      <c r="D336" t="s">
        <v>174</v>
      </c>
      <c r="E336" t="s">
        <v>175</v>
      </c>
      <c r="F336" s="4">
        <v>1</v>
      </c>
      <c r="G336" s="4">
        <v>0.2</v>
      </c>
      <c r="H336" s="9">
        <v>1613.8319999999999</v>
      </c>
      <c r="I336" s="9">
        <v>268.97199999999998</v>
      </c>
      <c r="J336" s="9">
        <f t="shared" si="145"/>
        <v>1882.8039999999999</v>
      </c>
      <c r="K336" s="9">
        <v>0</v>
      </c>
      <c r="L336" s="9">
        <f t="shared" si="146"/>
        <v>0</v>
      </c>
      <c r="M336">
        <v>0</v>
      </c>
      <c r="N336" s="4">
        <f t="shared" si="147"/>
        <v>0</v>
      </c>
      <c r="O336" s="9">
        <v>1344.86</v>
      </c>
      <c r="P336" s="9">
        <v>268.97199999999998</v>
      </c>
      <c r="Q336" s="9">
        <v>0</v>
      </c>
      <c r="R336" s="9">
        <v>0</v>
      </c>
      <c r="S336" s="9">
        <v>0</v>
      </c>
      <c r="T336" s="9">
        <v>0</v>
      </c>
      <c r="U336" s="9">
        <v>0</v>
      </c>
      <c r="V336" s="9">
        <v>0</v>
      </c>
      <c r="W336" s="9">
        <f t="shared" si="148"/>
        <v>1613.8319999999999</v>
      </c>
      <c r="X336" s="9">
        <v>268.97199999999998</v>
      </c>
      <c r="Y336" s="9">
        <v>0</v>
      </c>
      <c r="Z336" s="9">
        <v>1882.8039999999999</v>
      </c>
      <c r="AA336" s="9">
        <v>0</v>
      </c>
      <c r="AB336" s="9">
        <f t="shared" si="149"/>
        <v>1882.8039999999999</v>
      </c>
      <c r="AC336" s="9">
        <v>1882.8039999999999</v>
      </c>
      <c r="AD336" s="9">
        <v>0</v>
      </c>
      <c r="AE336" s="9">
        <v>1613.8319999999999</v>
      </c>
      <c r="AF336" s="9">
        <v>88.491788</v>
      </c>
      <c r="AG336" s="9">
        <v>451.10701439999997</v>
      </c>
      <c r="AH336" s="9">
        <v>29.183461999999999</v>
      </c>
      <c r="AI336" s="9">
        <v>105.130872</v>
      </c>
      <c r="AJ336" s="9">
        <v>3.8229408</v>
      </c>
      <c r="AK336" s="9">
        <v>1.8828039999999999</v>
      </c>
      <c r="AL336" s="9">
        <v>11.468822400000001</v>
      </c>
      <c r="AM336" s="9">
        <v>2.8242059999999998</v>
      </c>
      <c r="AN336" s="9">
        <v>14.336027999999999</v>
      </c>
      <c r="AO336" s="9">
        <v>28.672055999999998</v>
      </c>
      <c r="AP336" s="9">
        <v>0</v>
      </c>
      <c r="AQ336" s="25">
        <v>0</v>
      </c>
      <c r="AR336" s="9">
        <f t="shared" si="150"/>
        <v>0</v>
      </c>
      <c r="AS336" s="25">
        <v>0</v>
      </c>
      <c r="AT336" s="9">
        <f t="shared" si="151"/>
        <v>0</v>
      </c>
      <c r="AU336" s="9">
        <v>0</v>
      </c>
      <c r="AV336" s="25">
        <v>0</v>
      </c>
      <c r="AW336" s="9">
        <f t="shared" si="152"/>
        <v>0</v>
      </c>
      <c r="AX336" s="25">
        <v>0</v>
      </c>
      <c r="AY336" s="9">
        <f t="shared" si="153"/>
        <v>0</v>
      </c>
      <c r="AZ336" s="9">
        <v>0</v>
      </c>
      <c r="BA336" s="25">
        <v>0</v>
      </c>
      <c r="BB336" s="9">
        <f t="shared" si="154"/>
        <v>0</v>
      </c>
      <c r="BC336" s="25">
        <v>0</v>
      </c>
      <c r="BD336" s="9">
        <f t="shared" si="155"/>
        <v>0</v>
      </c>
      <c r="BE336" s="9">
        <v>0</v>
      </c>
      <c r="BF336" s="9">
        <v>0</v>
      </c>
      <c r="BG336" s="9">
        <f t="shared" si="156"/>
        <v>0</v>
      </c>
      <c r="BH336" s="9">
        <v>0</v>
      </c>
      <c r="BI336" s="9">
        <f t="shared" si="157"/>
        <v>0</v>
      </c>
      <c r="BJ336" s="9">
        <v>0</v>
      </c>
      <c r="BK336" s="9">
        <v>0</v>
      </c>
      <c r="BL336" s="9">
        <f t="shared" si="158"/>
        <v>0</v>
      </c>
      <c r="BM336" s="9">
        <v>0</v>
      </c>
      <c r="BN336" s="9">
        <f t="shared" si="159"/>
        <v>0</v>
      </c>
      <c r="BO336" s="9">
        <v>0</v>
      </c>
      <c r="BP336" s="9">
        <v>0</v>
      </c>
      <c r="BQ336" s="9">
        <f t="shared" si="160"/>
        <v>0</v>
      </c>
      <c r="BR336" s="9">
        <v>0</v>
      </c>
      <c r="BS336" s="9">
        <f t="shared" si="161"/>
        <v>0</v>
      </c>
      <c r="BT336" s="9">
        <f t="shared" si="162"/>
        <v>0</v>
      </c>
      <c r="BU336" s="9">
        <f t="shared" si="163"/>
        <v>0</v>
      </c>
      <c r="BV336" s="9">
        <f t="shared" si="164"/>
        <v>122.38226</v>
      </c>
      <c r="BW336">
        <f t="shared" si="165"/>
        <v>122.38226</v>
      </c>
      <c r="BX336">
        <v>0</v>
      </c>
      <c r="BY336">
        <f t="shared" si="166"/>
        <v>614.53773360000002</v>
      </c>
      <c r="BZ336">
        <v>79.13487456</v>
      </c>
      <c r="CA336">
        <f t="shared" si="167"/>
        <v>1412.3148654399997</v>
      </c>
      <c r="CB336">
        <f t="shared" si="168"/>
        <v>2228.3697336</v>
      </c>
      <c r="CC336">
        <v>0</v>
      </c>
      <c r="CD336">
        <v>0</v>
      </c>
      <c r="CE336">
        <f t="shared" si="169"/>
        <v>0</v>
      </c>
      <c r="CF336">
        <f t="shared" si="170"/>
        <v>1613.8319999999999</v>
      </c>
      <c r="CG336">
        <f t="shared" si="171"/>
        <v>1412.3148654399997</v>
      </c>
      <c r="CH336">
        <f t="shared" si="172"/>
        <v>0</v>
      </c>
      <c r="CJ336" t="s">
        <v>278</v>
      </c>
      <c r="CL336" t="str">
        <f t="shared" si="173"/>
        <v/>
      </c>
    </row>
    <row r="337" spans="1:90" x14ac:dyDescent="0.25">
      <c r="A337" t="s">
        <v>140</v>
      </c>
      <c r="B337" t="s">
        <v>187</v>
      </c>
      <c r="C337" s="1">
        <v>46327</v>
      </c>
      <c r="D337" t="s">
        <v>174</v>
      </c>
      <c r="E337" t="s">
        <v>175</v>
      </c>
      <c r="F337" s="4">
        <v>1</v>
      </c>
      <c r="G337" s="4">
        <v>0.2</v>
      </c>
      <c r="H337" s="9">
        <v>1613.8319999999999</v>
      </c>
      <c r="I337" s="9">
        <v>268.97199999999998</v>
      </c>
      <c r="J337" s="9">
        <f t="shared" si="145"/>
        <v>1882.8039999999999</v>
      </c>
      <c r="K337" s="9">
        <v>0</v>
      </c>
      <c r="L337" s="9">
        <f t="shared" si="146"/>
        <v>0</v>
      </c>
      <c r="M337">
        <v>0</v>
      </c>
      <c r="N337" s="4">
        <f t="shared" si="147"/>
        <v>0</v>
      </c>
      <c r="O337" s="9">
        <v>1344.86</v>
      </c>
      <c r="P337" s="9">
        <v>268.97199999999998</v>
      </c>
      <c r="Q337" s="9">
        <v>0</v>
      </c>
      <c r="R337" s="9">
        <v>0</v>
      </c>
      <c r="S337" s="9">
        <v>0</v>
      </c>
      <c r="T337" s="9">
        <v>0</v>
      </c>
      <c r="U337" s="9">
        <v>0</v>
      </c>
      <c r="V337" s="9">
        <v>0</v>
      </c>
      <c r="W337" s="9">
        <f t="shared" si="148"/>
        <v>1613.8319999999999</v>
      </c>
      <c r="X337" s="9">
        <v>268.97199999999998</v>
      </c>
      <c r="Y337" s="9">
        <v>0</v>
      </c>
      <c r="Z337" s="9">
        <v>1882.8039999999999</v>
      </c>
      <c r="AA337" s="9">
        <v>0</v>
      </c>
      <c r="AB337" s="9">
        <f t="shared" si="149"/>
        <v>1882.8039999999999</v>
      </c>
      <c r="AC337" s="9">
        <v>1882.8039999999999</v>
      </c>
      <c r="AD337" s="9">
        <v>0</v>
      </c>
      <c r="AE337" s="9">
        <v>1613.8319999999999</v>
      </c>
      <c r="AF337" s="9">
        <v>88.491788</v>
      </c>
      <c r="AG337" s="9">
        <v>451.10701439999997</v>
      </c>
      <c r="AH337" s="9">
        <v>29.183461999999999</v>
      </c>
      <c r="AI337" s="9">
        <v>105.130872</v>
      </c>
      <c r="AJ337" s="9">
        <v>3.8229408</v>
      </c>
      <c r="AK337" s="9">
        <v>1.8828039999999999</v>
      </c>
      <c r="AL337" s="9">
        <v>11.468822400000001</v>
      </c>
      <c r="AM337" s="9">
        <v>2.8242059999999998</v>
      </c>
      <c r="AN337" s="9">
        <v>14.336027999999999</v>
      </c>
      <c r="AO337" s="9">
        <v>28.672055999999998</v>
      </c>
      <c r="AP337" s="9">
        <v>0</v>
      </c>
      <c r="AQ337" s="25">
        <v>0</v>
      </c>
      <c r="AR337" s="9">
        <f t="shared" si="150"/>
        <v>0</v>
      </c>
      <c r="AS337" s="25">
        <v>0</v>
      </c>
      <c r="AT337" s="9">
        <f t="shared" si="151"/>
        <v>0</v>
      </c>
      <c r="AU337" s="9">
        <v>0</v>
      </c>
      <c r="AV337" s="25">
        <v>0</v>
      </c>
      <c r="AW337" s="9">
        <f t="shared" si="152"/>
        <v>0</v>
      </c>
      <c r="AX337" s="25">
        <v>0</v>
      </c>
      <c r="AY337" s="9">
        <f t="shared" si="153"/>
        <v>0</v>
      </c>
      <c r="AZ337" s="9">
        <v>0</v>
      </c>
      <c r="BA337" s="25">
        <v>0</v>
      </c>
      <c r="BB337" s="9">
        <f t="shared" si="154"/>
        <v>0</v>
      </c>
      <c r="BC337" s="25">
        <v>0</v>
      </c>
      <c r="BD337" s="9">
        <f t="shared" si="155"/>
        <v>0</v>
      </c>
      <c r="BE337" s="9">
        <v>0</v>
      </c>
      <c r="BF337" s="9">
        <v>0</v>
      </c>
      <c r="BG337" s="9">
        <f t="shared" si="156"/>
        <v>0</v>
      </c>
      <c r="BH337" s="9">
        <v>0</v>
      </c>
      <c r="BI337" s="9">
        <f t="shared" si="157"/>
        <v>0</v>
      </c>
      <c r="BJ337" s="9">
        <v>0</v>
      </c>
      <c r="BK337" s="9">
        <v>0</v>
      </c>
      <c r="BL337" s="9">
        <f t="shared" si="158"/>
        <v>0</v>
      </c>
      <c r="BM337" s="9">
        <v>0</v>
      </c>
      <c r="BN337" s="9">
        <f t="shared" si="159"/>
        <v>0</v>
      </c>
      <c r="BO337" s="9">
        <v>0</v>
      </c>
      <c r="BP337" s="9">
        <v>0</v>
      </c>
      <c r="BQ337" s="9">
        <f t="shared" si="160"/>
        <v>0</v>
      </c>
      <c r="BR337" s="9">
        <v>0</v>
      </c>
      <c r="BS337" s="9">
        <f t="shared" si="161"/>
        <v>0</v>
      </c>
      <c r="BT337" s="9">
        <f t="shared" si="162"/>
        <v>0</v>
      </c>
      <c r="BU337" s="9">
        <f t="shared" si="163"/>
        <v>0</v>
      </c>
      <c r="BV337" s="9">
        <f t="shared" si="164"/>
        <v>122.38226</v>
      </c>
      <c r="BW337">
        <f t="shared" si="165"/>
        <v>122.38226</v>
      </c>
      <c r="BX337">
        <v>0</v>
      </c>
      <c r="BY337">
        <f t="shared" si="166"/>
        <v>614.53773360000002</v>
      </c>
      <c r="BZ337">
        <v>79.13487456</v>
      </c>
      <c r="CA337">
        <f t="shared" si="167"/>
        <v>1412.3148654399997</v>
      </c>
      <c r="CB337">
        <f t="shared" si="168"/>
        <v>2228.3697336</v>
      </c>
      <c r="CC337">
        <v>0</v>
      </c>
      <c r="CD337">
        <v>0</v>
      </c>
      <c r="CE337">
        <f t="shared" si="169"/>
        <v>0</v>
      </c>
      <c r="CF337">
        <f t="shared" si="170"/>
        <v>1613.8319999999999</v>
      </c>
      <c r="CG337">
        <f t="shared" si="171"/>
        <v>1412.3148654399997</v>
      </c>
      <c r="CH337">
        <f t="shared" si="172"/>
        <v>0</v>
      </c>
      <c r="CJ337" t="s">
        <v>278</v>
      </c>
      <c r="CL337" t="str">
        <f t="shared" si="173"/>
        <v/>
      </c>
    </row>
    <row r="338" spans="1:90" x14ac:dyDescent="0.25">
      <c r="A338" t="s">
        <v>140</v>
      </c>
      <c r="B338" t="s">
        <v>188</v>
      </c>
      <c r="C338" s="1">
        <v>46357</v>
      </c>
      <c r="D338" t="s">
        <v>182</v>
      </c>
      <c r="E338" t="s">
        <v>175</v>
      </c>
      <c r="F338" s="4">
        <v>1</v>
      </c>
      <c r="G338" s="4">
        <v>0.2</v>
      </c>
      <c r="H338" s="9">
        <v>1613.8319999999999</v>
      </c>
      <c r="I338" s="9">
        <v>268.97199999999998</v>
      </c>
      <c r="J338" s="9">
        <f t="shared" si="145"/>
        <v>1882.8039999999999</v>
      </c>
      <c r="K338" s="9">
        <v>0</v>
      </c>
      <c r="L338" s="9">
        <f t="shared" si="146"/>
        <v>0</v>
      </c>
      <c r="M338">
        <v>0</v>
      </c>
      <c r="N338" s="4">
        <f t="shared" si="147"/>
        <v>0</v>
      </c>
      <c r="O338" s="9">
        <v>1344.86</v>
      </c>
      <c r="P338" s="9">
        <v>268.97199999999998</v>
      </c>
      <c r="Q338" s="9">
        <v>0</v>
      </c>
      <c r="R338" s="9">
        <v>0</v>
      </c>
      <c r="S338" s="9">
        <v>0</v>
      </c>
      <c r="T338" s="9">
        <v>0</v>
      </c>
      <c r="U338" s="9">
        <v>0</v>
      </c>
      <c r="V338" s="9">
        <v>0</v>
      </c>
      <c r="W338" s="9">
        <f t="shared" si="148"/>
        <v>1613.8319999999999</v>
      </c>
      <c r="X338" s="9">
        <v>0</v>
      </c>
      <c r="Y338" s="9">
        <v>0</v>
      </c>
      <c r="Z338" s="9">
        <v>0</v>
      </c>
      <c r="AA338" s="9">
        <v>0</v>
      </c>
      <c r="AB338" s="9">
        <f t="shared" si="149"/>
        <v>0</v>
      </c>
      <c r="AC338" s="9">
        <v>0</v>
      </c>
      <c r="AD338" s="9">
        <v>0</v>
      </c>
      <c r="AE338" s="9">
        <v>1613.8319999999999</v>
      </c>
      <c r="AF338" s="9">
        <v>0</v>
      </c>
      <c r="AG338" s="9">
        <v>0</v>
      </c>
      <c r="AH338" s="9">
        <v>0</v>
      </c>
      <c r="AI338" s="9">
        <v>0</v>
      </c>
      <c r="AJ338" s="9">
        <v>0</v>
      </c>
      <c r="AK338" s="9">
        <v>0</v>
      </c>
      <c r="AL338" s="9">
        <v>0</v>
      </c>
      <c r="AM338" s="9">
        <v>0</v>
      </c>
      <c r="AN338" s="9">
        <v>0</v>
      </c>
      <c r="AO338" s="9">
        <v>0</v>
      </c>
      <c r="AP338" s="9">
        <v>0</v>
      </c>
      <c r="AQ338" s="25">
        <v>0</v>
      </c>
      <c r="AR338" s="9">
        <f t="shared" si="150"/>
        <v>0</v>
      </c>
      <c r="AS338" s="25">
        <v>0</v>
      </c>
      <c r="AT338" s="9">
        <f t="shared" si="151"/>
        <v>0</v>
      </c>
      <c r="AU338" s="9">
        <v>0</v>
      </c>
      <c r="AV338" s="25">
        <v>0</v>
      </c>
      <c r="AW338" s="9">
        <f t="shared" si="152"/>
        <v>0</v>
      </c>
      <c r="AX338" s="25">
        <v>0</v>
      </c>
      <c r="AY338" s="9">
        <f t="shared" si="153"/>
        <v>0</v>
      </c>
      <c r="AZ338" s="9">
        <v>0</v>
      </c>
      <c r="BA338" s="25">
        <v>0</v>
      </c>
      <c r="BB338" s="9">
        <f t="shared" si="154"/>
        <v>0</v>
      </c>
      <c r="BC338" s="25">
        <v>0</v>
      </c>
      <c r="BD338" s="9">
        <f t="shared" si="155"/>
        <v>0</v>
      </c>
      <c r="BE338" s="9">
        <v>0</v>
      </c>
      <c r="BF338" s="9">
        <v>0</v>
      </c>
      <c r="BG338" s="9">
        <f t="shared" si="156"/>
        <v>0</v>
      </c>
      <c r="BH338" s="9">
        <v>0</v>
      </c>
      <c r="BI338" s="9">
        <f t="shared" si="157"/>
        <v>0</v>
      </c>
      <c r="BJ338" s="9">
        <v>0</v>
      </c>
      <c r="BK338" s="9">
        <v>0</v>
      </c>
      <c r="BL338" s="9">
        <f t="shared" si="158"/>
        <v>0</v>
      </c>
      <c r="BM338" s="9">
        <v>0</v>
      </c>
      <c r="BN338" s="9">
        <f t="shared" si="159"/>
        <v>0</v>
      </c>
      <c r="BO338" s="9">
        <v>0</v>
      </c>
      <c r="BP338" s="9">
        <v>0</v>
      </c>
      <c r="BQ338" s="9">
        <f t="shared" si="160"/>
        <v>0</v>
      </c>
      <c r="BR338" s="9">
        <v>0</v>
      </c>
      <c r="BS338" s="9">
        <f t="shared" si="161"/>
        <v>0</v>
      </c>
      <c r="BT338" s="9">
        <f t="shared" si="162"/>
        <v>0</v>
      </c>
      <c r="BU338" s="9">
        <f t="shared" si="163"/>
        <v>0</v>
      </c>
      <c r="BV338" s="9">
        <f t="shared" si="164"/>
        <v>0</v>
      </c>
      <c r="BW338">
        <f t="shared" si="165"/>
        <v>0</v>
      </c>
      <c r="BX338">
        <v>0</v>
      </c>
      <c r="BY338">
        <f t="shared" si="166"/>
        <v>0</v>
      </c>
      <c r="BZ338">
        <v>79.13487456</v>
      </c>
      <c r="CA338">
        <f t="shared" si="167"/>
        <v>1534.6971254399998</v>
      </c>
      <c r="CB338">
        <f t="shared" si="168"/>
        <v>1613.8319999999999</v>
      </c>
      <c r="CC338">
        <v>0</v>
      </c>
      <c r="CD338">
        <v>0</v>
      </c>
      <c r="CE338">
        <f t="shared" si="169"/>
        <v>0</v>
      </c>
      <c r="CF338">
        <f t="shared" si="170"/>
        <v>1613.8319999999999</v>
      </c>
      <c r="CG338">
        <f t="shared" si="171"/>
        <v>1534.6971254399998</v>
      </c>
      <c r="CH338">
        <f t="shared" si="172"/>
        <v>0</v>
      </c>
      <c r="CJ338" t="s">
        <v>278</v>
      </c>
      <c r="CL338" t="str">
        <f t="shared" si="173"/>
        <v/>
      </c>
    </row>
    <row r="339" spans="1:90" x14ac:dyDescent="0.25">
      <c r="A339" t="s">
        <v>140</v>
      </c>
      <c r="B339" t="s">
        <v>189</v>
      </c>
      <c r="C339" s="1">
        <v>46357</v>
      </c>
      <c r="D339" t="s">
        <v>174</v>
      </c>
      <c r="E339" t="s">
        <v>175</v>
      </c>
      <c r="F339" s="4">
        <v>1</v>
      </c>
      <c r="G339" s="4">
        <v>0.2</v>
      </c>
      <c r="H339" s="9">
        <v>1613.8319999999999</v>
      </c>
      <c r="I339" s="9">
        <v>268.97199999999998</v>
      </c>
      <c r="J339" s="9">
        <f t="shared" si="145"/>
        <v>1882.8039999999999</v>
      </c>
      <c r="K339" s="9">
        <v>0</v>
      </c>
      <c r="L339" s="9">
        <f t="shared" si="146"/>
        <v>0</v>
      </c>
      <c r="M339">
        <v>0</v>
      </c>
      <c r="N339" s="4">
        <f t="shared" si="147"/>
        <v>0</v>
      </c>
      <c r="O339" s="9">
        <v>1344.86</v>
      </c>
      <c r="P339" s="9">
        <v>268.97199999999998</v>
      </c>
      <c r="Q339" s="9">
        <v>0</v>
      </c>
      <c r="R339" s="9">
        <v>0</v>
      </c>
      <c r="S339" s="9">
        <v>0</v>
      </c>
      <c r="T339" s="9">
        <v>0</v>
      </c>
      <c r="U339" s="9">
        <v>0</v>
      </c>
      <c r="V339" s="9">
        <v>0</v>
      </c>
      <c r="W339" s="9">
        <f t="shared" si="148"/>
        <v>1613.8319999999999</v>
      </c>
      <c r="X339" s="9">
        <v>268.97199999999998</v>
      </c>
      <c r="Y339" s="9">
        <v>0</v>
      </c>
      <c r="Z339" s="9">
        <v>1882.8039999999999</v>
      </c>
      <c r="AA339" s="9">
        <v>0</v>
      </c>
      <c r="AB339" s="9">
        <f t="shared" si="149"/>
        <v>1882.8039999999999</v>
      </c>
      <c r="AC339" s="9">
        <v>1882.8039999999999</v>
      </c>
      <c r="AD339" s="9">
        <v>0</v>
      </c>
      <c r="AE339" s="9">
        <v>1613.8319999999999</v>
      </c>
      <c r="AF339" s="9">
        <v>88.491788</v>
      </c>
      <c r="AG339" s="9">
        <v>451.10701439999997</v>
      </c>
      <c r="AH339" s="9">
        <v>29.183461999999999</v>
      </c>
      <c r="AI339" s="9">
        <v>105.130872</v>
      </c>
      <c r="AJ339" s="9">
        <v>3.8229408</v>
      </c>
      <c r="AK339" s="9">
        <v>1.8828039999999999</v>
      </c>
      <c r="AL339" s="9">
        <v>11.468822400000001</v>
      </c>
      <c r="AM339" s="9">
        <v>2.8242059999999998</v>
      </c>
      <c r="AN339" s="9">
        <v>14.336027999999999</v>
      </c>
      <c r="AO339" s="9">
        <v>28.672055999999998</v>
      </c>
      <c r="AP339" s="9">
        <v>0</v>
      </c>
      <c r="AQ339" s="25">
        <v>0</v>
      </c>
      <c r="AR339" s="9">
        <f t="shared" si="150"/>
        <v>0</v>
      </c>
      <c r="AS339" s="25">
        <v>0</v>
      </c>
      <c r="AT339" s="9">
        <f t="shared" si="151"/>
        <v>0</v>
      </c>
      <c r="AU339" s="9">
        <v>0</v>
      </c>
      <c r="AV339" s="25">
        <v>0</v>
      </c>
      <c r="AW339" s="9">
        <f t="shared" si="152"/>
        <v>0</v>
      </c>
      <c r="AX339" s="25">
        <v>0</v>
      </c>
      <c r="AY339" s="9">
        <f t="shared" si="153"/>
        <v>0</v>
      </c>
      <c r="AZ339" s="9">
        <v>0</v>
      </c>
      <c r="BA339" s="25">
        <v>0</v>
      </c>
      <c r="BB339" s="9">
        <f t="shared" si="154"/>
        <v>0</v>
      </c>
      <c r="BC339" s="25">
        <v>0</v>
      </c>
      <c r="BD339" s="9">
        <f t="shared" si="155"/>
        <v>0</v>
      </c>
      <c r="BE339" s="9">
        <v>0</v>
      </c>
      <c r="BF339" s="9">
        <v>0</v>
      </c>
      <c r="BG339" s="9">
        <f t="shared" si="156"/>
        <v>0</v>
      </c>
      <c r="BH339" s="9">
        <v>0</v>
      </c>
      <c r="BI339" s="9">
        <f t="shared" si="157"/>
        <v>0</v>
      </c>
      <c r="BJ339" s="9">
        <v>0</v>
      </c>
      <c r="BK339" s="9">
        <v>0</v>
      </c>
      <c r="BL339" s="9">
        <f t="shared" si="158"/>
        <v>0</v>
      </c>
      <c r="BM339" s="9">
        <v>0</v>
      </c>
      <c r="BN339" s="9">
        <f t="shared" si="159"/>
        <v>0</v>
      </c>
      <c r="BO339" s="9">
        <v>0</v>
      </c>
      <c r="BP339" s="9">
        <v>0</v>
      </c>
      <c r="BQ339" s="9">
        <f t="shared" si="160"/>
        <v>0</v>
      </c>
      <c r="BR339" s="9">
        <v>0</v>
      </c>
      <c r="BS339" s="9">
        <f t="shared" si="161"/>
        <v>0</v>
      </c>
      <c r="BT339" s="9">
        <f t="shared" si="162"/>
        <v>0</v>
      </c>
      <c r="BU339" s="9">
        <f t="shared" si="163"/>
        <v>0</v>
      </c>
      <c r="BV339" s="9">
        <f t="shared" si="164"/>
        <v>122.38226</v>
      </c>
      <c r="BW339">
        <f t="shared" si="165"/>
        <v>122.38226</v>
      </c>
      <c r="BX339">
        <v>0</v>
      </c>
      <c r="BY339">
        <f t="shared" si="166"/>
        <v>614.53773360000002</v>
      </c>
      <c r="BZ339">
        <v>79.13487456</v>
      </c>
      <c r="CA339">
        <f t="shared" si="167"/>
        <v>1412.3148654399997</v>
      </c>
      <c r="CB339">
        <f t="shared" si="168"/>
        <v>2228.3697336</v>
      </c>
      <c r="CC339">
        <v>0</v>
      </c>
      <c r="CD339">
        <v>0</v>
      </c>
      <c r="CE339">
        <f t="shared" si="169"/>
        <v>0</v>
      </c>
      <c r="CF339">
        <f t="shared" si="170"/>
        <v>1613.8319999999999</v>
      </c>
      <c r="CG339">
        <f t="shared" si="171"/>
        <v>1412.3148654399997</v>
      </c>
      <c r="CH339">
        <f t="shared" si="172"/>
        <v>0</v>
      </c>
      <c r="CJ339" t="s">
        <v>278</v>
      </c>
      <c r="CL339" t="str">
        <f t="shared" si="173"/>
        <v/>
      </c>
    </row>
    <row r="340" spans="1:90" x14ac:dyDescent="0.25">
      <c r="AF340" s="26"/>
      <c r="AG340" s="29"/>
      <c r="AH340" s="27"/>
      <c r="AK340" s="27"/>
      <c r="AM340" s="26"/>
      <c r="AN340" s="29"/>
      <c r="AT340" s="28"/>
      <c r="AY340" s="28"/>
      <c r="BG340" s="30"/>
      <c r="BL340" s="30"/>
    </row>
  </sheetData>
  <mergeCells count="3">
    <mergeCell ref="AP2:BD2"/>
    <mergeCell ref="BE2:BS2"/>
    <mergeCell ref="A1:CL1"/>
  </mergeCells>
  <conditionalFormatting sqref="BW4:BW339">
    <cfRule type="expression" dxfId="5" priority="3">
      <formula>BW4&lt;&gt;""</formula>
    </cfRule>
  </conditionalFormatting>
  <conditionalFormatting sqref="BX4:BX339">
    <cfRule type="expression" dxfId="4" priority="4">
      <formula>BX4&lt;&gt;"OK"</formula>
    </cfRule>
  </conditionalFormatting>
  <conditionalFormatting sqref="BY4:BY339">
    <cfRule type="expression" dxfId="3" priority="5">
      <formula>BY4&lt;&gt;""</formula>
    </cfRule>
  </conditionalFormatting>
  <conditionalFormatting sqref="BZ4:BZ339">
    <cfRule type="expression" dxfId="2" priority="6">
      <formula>BZ4="REVISAR"</formula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T292"/>
  <sheetViews>
    <sheetView workbookViewId="0"/>
  </sheetViews>
  <sheetFormatPr baseColWidth="10" defaultColWidth="9.140625" defaultRowHeight="15" x14ac:dyDescent="0.25"/>
  <cols>
    <col min="1" max="1" width="18" customWidth="1"/>
    <col min="2" max="2" width="10" customWidth="1"/>
    <col min="3" max="22" width="16" customWidth="1"/>
    <col min="23" max="45" width="15" customWidth="1"/>
    <col min="46" max="46" width="12" customWidth="1"/>
  </cols>
  <sheetData>
    <row r="1" spans="1:46" ht="24" customHeight="1" x14ac:dyDescent="0.25">
      <c r="A1" s="51" t="s">
        <v>279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/>
      <c r="AG1" s="51"/>
      <c r="AH1" s="51"/>
      <c r="AI1" s="51"/>
      <c r="AJ1" s="51"/>
      <c r="AK1" s="51"/>
      <c r="AL1" s="51"/>
      <c r="AM1" s="51"/>
      <c r="AN1" s="51"/>
      <c r="AO1" s="51"/>
      <c r="AP1" s="51"/>
      <c r="AQ1" s="51"/>
      <c r="AR1" s="51"/>
      <c r="AS1" s="51"/>
      <c r="AT1" s="51"/>
    </row>
    <row r="2" spans="1:46" ht="33.950000000000003" customHeight="1" x14ac:dyDescent="0.25">
      <c r="A2" s="52" t="s">
        <v>280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  <c r="Z2" s="52"/>
      <c r="AA2" s="52"/>
      <c r="AB2" s="52"/>
      <c r="AC2" s="52"/>
      <c r="AD2" s="52"/>
      <c r="AE2" s="52"/>
      <c r="AF2" s="52"/>
      <c r="AG2" s="52"/>
      <c r="AH2" s="52"/>
      <c r="AI2" s="52"/>
      <c r="AJ2" s="52"/>
      <c r="AK2" s="52"/>
      <c r="AL2" s="52"/>
      <c r="AM2" s="52"/>
      <c r="AN2" s="52"/>
      <c r="AO2" s="52"/>
      <c r="AP2" s="52"/>
      <c r="AQ2" s="52"/>
      <c r="AR2" s="52"/>
      <c r="AS2" s="52"/>
      <c r="AT2" s="52"/>
    </row>
    <row r="3" spans="1:46" x14ac:dyDescent="0.25">
      <c r="A3" s="53" t="s">
        <v>281</v>
      </c>
      <c r="B3" s="53"/>
      <c r="C3" s="53"/>
      <c r="D3" s="53"/>
      <c r="E3" s="53" t="s">
        <v>282</v>
      </c>
      <c r="F3" s="53"/>
      <c r="G3" s="53"/>
      <c r="H3" s="53" t="s">
        <v>283</v>
      </c>
      <c r="I3" s="53"/>
      <c r="J3" s="53"/>
      <c r="K3" s="53"/>
      <c r="L3" s="53"/>
      <c r="M3" s="53"/>
      <c r="N3" s="53" t="s">
        <v>284</v>
      </c>
      <c r="O3" s="53"/>
      <c r="P3" s="53"/>
      <c r="Q3" s="53"/>
      <c r="R3" s="53"/>
      <c r="S3" s="53"/>
      <c r="T3" s="53"/>
      <c r="U3" s="53"/>
      <c r="V3" s="53"/>
      <c r="W3" s="53" t="s">
        <v>285</v>
      </c>
      <c r="X3" s="53"/>
      <c r="Y3" s="53"/>
      <c r="Z3" s="53"/>
      <c r="AA3" s="53"/>
      <c r="AB3" s="53"/>
      <c r="AC3" s="53"/>
      <c r="AD3" s="53"/>
      <c r="AE3" s="53"/>
      <c r="AF3" s="53"/>
      <c r="AG3" s="53" t="s">
        <v>286</v>
      </c>
      <c r="AH3" s="53"/>
      <c r="AI3" s="53"/>
      <c r="AJ3" s="53"/>
      <c r="AK3" s="53"/>
      <c r="AL3" s="53"/>
      <c r="AM3" s="53"/>
      <c r="AN3" s="53"/>
      <c r="AO3" s="53"/>
      <c r="AP3" s="53"/>
      <c r="AQ3" s="53"/>
      <c r="AR3" s="53"/>
      <c r="AS3" s="53" t="s">
        <v>287</v>
      </c>
      <c r="AT3" s="53"/>
    </row>
    <row r="4" spans="1:46" ht="42" customHeight="1" x14ac:dyDescent="0.25">
      <c r="A4" s="33" t="s">
        <v>149</v>
      </c>
      <c r="B4" s="33" t="s">
        <v>150</v>
      </c>
      <c r="C4" s="33" t="s">
        <v>288</v>
      </c>
      <c r="D4" s="33" t="s">
        <v>289</v>
      </c>
      <c r="E4" s="33" t="s">
        <v>290</v>
      </c>
      <c r="F4" s="33" t="s">
        <v>291</v>
      </c>
      <c r="G4" s="33" t="s">
        <v>292</v>
      </c>
      <c r="H4" s="33" t="s">
        <v>293</v>
      </c>
      <c r="I4" s="33" t="s">
        <v>294</v>
      </c>
      <c r="J4" s="33" t="s">
        <v>295</v>
      </c>
      <c r="K4" s="33" t="s">
        <v>296</v>
      </c>
      <c r="L4" s="33" t="s">
        <v>297</v>
      </c>
      <c r="M4" s="33" t="s">
        <v>298</v>
      </c>
      <c r="N4" s="33" t="s">
        <v>299</v>
      </c>
      <c r="O4" s="33" t="s">
        <v>300</v>
      </c>
      <c r="P4" s="33" t="s">
        <v>301</v>
      </c>
      <c r="Q4" s="33" t="s">
        <v>302</v>
      </c>
      <c r="R4" s="33" t="s">
        <v>303</v>
      </c>
      <c r="S4" s="33" t="s">
        <v>304</v>
      </c>
      <c r="T4" s="33" t="s">
        <v>305</v>
      </c>
      <c r="U4" s="33" t="s">
        <v>306</v>
      </c>
      <c r="V4" s="33" t="s">
        <v>307</v>
      </c>
      <c r="W4" s="33" t="s">
        <v>308</v>
      </c>
      <c r="X4" s="33" t="s">
        <v>309</v>
      </c>
      <c r="Y4" s="33" t="s">
        <v>310</v>
      </c>
      <c r="Z4" s="33" t="s">
        <v>311</v>
      </c>
      <c r="AA4" s="33" t="s">
        <v>312</v>
      </c>
      <c r="AB4" s="33" t="s">
        <v>313</v>
      </c>
      <c r="AC4" s="33" t="s">
        <v>314</v>
      </c>
      <c r="AD4" s="33" t="s">
        <v>315</v>
      </c>
      <c r="AE4" s="33" t="s">
        <v>316</v>
      </c>
      <c r="AF4" s="33" t="s">
        <v>317</v>
      </c>
      <c r="AG4" s="33" t="s">
        <v>318</v>
      </c>
      <c r="AH4" s="33" t="s">
        <v>319</v>
      </c>
      <c r="AI4" s="33" t="s">
        <v>320</v>
      </c>
      <c r="AJ4" s="33" t="s">
        <v>321</v>
      </c>
      <c r="AK4" s="33" t="s">
        <v>322</v>
      </c>
      <c r="AL4" s="33" t="s">
        <v>323</v>
      </c>
      <c r="AM4" s="33" t="s">
        <v>324</v>
      </c>
      <c r="AN4" s="33" t="s">
        <v>325</v>
      </c>
      <c r="AO4" s="33" t="s">
        <v>326</v>
      </c>
      <c r="AP4" s="33" t="s">
        <v>327</v>
      </c>
      <c r="AQ4" s="33" t="s">
        <v>328</v>
      </c>
      <c r="AR4" s="33" t="s">
        <v>329</v>
      </c>
      <c r="AS4" s="33" t="s">
        <v>330</v>
      </c>
      <c r="AT4" s="33" t="s">
        <v>331</v>
      </c>
    </row>
    <row r="5" spans="1:46" x14ac:dyDescent="0.25">
      <c r="A5" t="s">
        <v>91</v>
      </c>
      <c r="B5" t="s">
        <v>173</v>
      </c>
      <c r="C5" s="34">
        <v>58200</v>
      </c>
      <c r="D5" s="34">
        <v>4850</v>
      </c>
      <c r="E5" s="34">
        <v>11770.826666666668</v>
      </c>
      <c r="F5" s="34">
        <f t="shared" ref="F5:F68" si="0">$E5+$D5</f>
        <v>16620.826666666668</v>
      </c>
      <c r="G5" s="34">
        <v>0</v>
      </c>
      <c r="H5" s="34">
        <v>5101.2</v>
      </c>
      <c r="I5" s="34">
        <v>5101.2</v>
      </c>
      <c r="J5" s="34">
        <f t="shared" ref="J5:J68" si="1">MAX(0,$I5-$H5)</f>
        <v>0</v>
      </c>
      <c r="K5" s="34">
        <v>5101.2</v>
      </c>
      <c r="L5" s="34">
        <v>5101.2</v>
      </c>
      <c r="M5" s="34">
        <f t="shared" ref="M5:M68" si="2">MAX(0,$L5-$K5)</f>
        <v>0</v>
      </c>
      <c r="N5" s="34">
        <v>510.11999999999989</v>
      </c>
      <c r="O5" s="34">
        <v>510.11999999999989</v>
      </c>
      <c r="P5" s="34">
        <f t="shared" ref="P5:P68" si="3">MAX(0,$O5-$N5)</f>
        <v>0</v>
      </c>
      <c r="Q5" s="34">
        <v>2040.4800000000005</v>
      </c>
      <c r="R5" s="34">
        <v>2040.4800000000005</v>
      </c>
      <c r="S5" s="34">
        <f t="shared" ref="S5:S68" si="4">MAX(0,$R5-$Q5)</f>
        <v>0</v>
      </c>
      <c r="T5" s="34">
        <v>4119.0266666666676</v>
      </c>
      <c r="U5" s="34">
        <v>8969.0266666666685</v>
      </c>
      <c r="V5" s="34">
        <f t="shared" ref="V5:V68" si="5">MAX(0,$U5-$T5)</f>
        <v>4850.0000000000009</v>
      </c>
      <c r="W5" s="34">
        <v>0</v>
      </c>
      <c r="X5" s="34">
        <v>0</v>
      </c>
      <c r="Y5" s="34">
        <v>0</v>
      </c>
      <c r="Z5" s="34">
        <v>0</v>
      </c>
      <c r="AA5" s="34">
        <v>0</v>
      </c>
      <c r="AB5" s="34">
        <v>0</v>
      </c>
      <c r="AC5" s="34">
        <v>11.64</v>
      </c>
      <c r="AD5" s="34">
        <v>346.71789999999999</v>
      </c>
      <c r="AE5" s="34">
        <f t="shared" ref="AE5:AE68" si="6">$AD5+SUM($W5:$AC5)</f>
        <v>358.35789999999997</v>
      </c>
      <c r="AF5" s="34">
        <f t="shared" ref="AF5:AF68" si="7">$AE5-$AD5</f>
        <v>11.639999999999986</v>
      </c>
      <c r="AG5" s="34">
        <v>0</v>
      </c>
      <c r="AH5" s="34">
        <v>0</v>
      </c>
      <c r="AI5" s="34">
        <v>0</v>
      </c>
      <c r="AJ5" s="34">
        <v>0</v>
      </c>
      <c r="AK5" s="34">
        <v>0</v>
      </c>
      <c r="AL5" s="34">
        <v>0</v>
      </c>
      <c r="AM5" s="34">
        <v>0</v>
      </c>
      <c r="AN5" s="34">
        <v>0</v>
      </c>
      <c r="AO5" s="34">
        <v>59.170000000000016</v>
      </c>
      <c r="AP5" s="34">
        <v>1716.4060693333331</v>
      </c>
      <c r="AQ5" s="34">
        <f t="shared" ref="AQ5:AQ68" si="8">$AP5+SUM($AG5:$AO5)</f>
        <v>1775.5760693333332</v>
      </c>
      <c r="AR5" s="34">
        <f t="shared" ref="AR5:AR68" si="9">$AQ5-$AP5</f>
        <v>59.170000000000073</v>
      </c>
      <c r="AS5" s="34">
        <f t="shared" ref="AS5:AS68" si="10">$AF5+$AR5</f>
        <v>70.810000000000059</v>
      </c>
      <c r="AT5" t="str">
        <f t="shared" ref="AT5:AT68" si="11">IF($C5=0,"SIN BONUS",IF(AND($J5&gt;=0,$M5&gt;=0,$P5&gt;=0,$S5&gt;=0,$V5&gt;=0),"OK","REVISAR"))</f>
        <v>OK</v>
      </c>
    </row>
    <row r="6" spans="1:46" x14ac:dyDescent="0.25">
      <c r="A6" t="s">
        <v>91</v>
      </c>
      <c r="B6" t="s">
        <v>176</v>
      </c>
      <c r="C6" s="34">
        <v>58200</v>
      </c>
      <c r="D6" s="34">
        <v>4850</v>
      </c>
      <c r="E6" s="34">
        <v>11770.826666666668</v>
      </c>
      <c r="F6" s="34">
        <f t="shared" si="0"/>
        <v>16620.826666666668</v>
      </c>
      <c r="G6" s="34">
        <v>0</v>
      </c>
      <c r="H6" s="34">
        <v>5101.2</v>
      </c>
      <c r="I6" s="34">
        <v>5101.2</v>
      </c>
      <c r="J6" s="34">
        <f t="shared" si="1"/>
        <v>0</v>
      </c>
      <c r="K6" s="34">
        <v>5101.2</v>
      </c>
      <c r="L6" s="34">
        <v>5101.2</v>
      </c>
      <c r="M6" s="34">
        <f t="shared" si="2"/>
        <v>0</v>
      </c>
      <c r="N6" s="34">
        <v>510.11999999999989</v>
      </c>
      <c r="O6" s="34">
        <v>510.11999999999989</v>
      </c>
      <c r="P6" s="34">
        <f t="shared" si="3"/>
        <v>0</v>
      </c>
      <c r="Q6" s="34">
        <v>2040.4800000000005</v>
      </c>
      <c r="R6" s="34">
        <v>2040.4800000000005</v>
      </c>
      <c r="S6" s="34">
        <f t="shared" si="4"/>
        <v>0</v>
      </c>
      <c r="T6" s="34">
        <v>4119.0266666666676</v>
      </c>
      <c r="U6" s="34">
        <v>8913.7195146666672</v>
      </c>
      <c r="V6" s="34">
        <f t="shared" si="5"/>
        <v>4794.6928479999997</v>
      </c>
      <c r="W6" s="34">
        <v>0</v>
      </c>
      <c r="X6" s="34">
        <v>0</v>
      </c>
      <c r="Y6" s="34">
        <v>0</v>
      </c>
      <c r="Z6" s="34">
        <v>0</v>
      </c>
      <c r="AA6" s="34">
        <v>0</v>
      </c>
      <c r="AB6" s="34">
        <v>0</v>
      </c>
      <c r="AC6" s="34">
        <v>12.125000000000002</v>
      </c>
      <c r="AD6" s="34">
        <v>346.10016283519997</v>
      </c>
      <c r="AE6" s="34">
        <f t="shared" si="6"/>
        <v>358.22516283519997</v>
      </c>
      <c r="AF6" s="34">
        <f t="shared" si="7"/>
        <v>12.125</v>
      </c>
      <c r="AG6" s="34">
        <v>0</v>
      </c>
      <c r="AH6" s="34">
        <v>0</v>
      </c>
      <c r="AI6" s="34">
        <v>0</v>
      </c>
      <c r="AJ6" s="34">
        <v>0</v>
      </c>
      <c r="AK6" s="34">
        <v>0</v>
      </c>
      <c r="AL6" s="34">
        <v>0</v>
      </c>
      <c r="AM6" s="34">
        <v>0</v>
      </c>
      <c r="AN6" s="34">
        <v>0</v>
      </c>
      <c r="AO6" s="34">
        <v>61.635416666666686</v>
      </c>
      <c r="AP6" s="34">
        <v>1713.2659054122664</v>
      </c>
      <c r="AQ6" s="34">
        <f t="shared" si="8"/>
        <v>1774.9013220789332</v>
      </c>
      <c r="AR6" s="34">
        <f t="shared" si="9"/>
        <v>61.635416666666742</v>
      </c>
      <c r="AS6" s="34">
        <f t="shared" si="10"/>
        <v>73.760416666666742</v>
      </c>
      <c r="AT6" t="str">
        <f t="shared" si="11"/>
        <v>OK</v>
      </c>
    </row>
    <row r="7" spans="1:46" x14ac:dyDescent="0.25">
      <c r="A7" t="s">
        <v>91</v>
      </c>
      <c r="B7" t="s">
        <v>177</v>
      </c>
      <c r="C7" s="34">
        <v>58200</v>
      </c>
      <c r="D7" s="34">
        <v>4850</v>
      </c>
      <c r="E7" s="34">
        <v>11770.826666666668</v>
      </c>
      <c r="F7" s="34">
        <f t="shared" si="0"/>
        <v>16620.826666666668</v>
      </c>
      <c r="G7" s="34">
        <v>0</v>
      </c>
      <c r="H7" s="34">
        <v>5101.2</v>
      </c>
      <c r="I7" s="34">
        <v>5101.2</v>
      </c>
      <c r="J7" s="34">
        <f t="shared" si="1"/>
        <v>0</v>
      </c>
      <c r="K7" s="34">
        <v>5101.2</v>
      </c>
      <c r="L7" s="34">
        <v>5101.2</v>
      </c>
      <c r="M7" s="34">
        <f t="shared" si="2"/>
        <v>0</v>
      </c>
      <c r="N7" s="34">
        <v>510.11999999999989</v>
      </c>
      <c r="O7" s="34">
        <v>510.11999999999989</v>
      </c>
      <c r="P7" s="34">
        <f t="shared" si="3"/>
        <v>0</v>
      </c>
      <c r="Q7" s="34">
        <v>2040.4800000000005</v>
      </c>
      <c r="R7" s="34">
        <v>2040.4800000000005</v>
      </c>
      <c r="S7" s="34">
        <f t="shared" si="4"/>
        <v>0</v>
      </c>
      <c r="T7" s="34">
        <v>4119.0266666666676</v>
      </c>
      <c r="U7" s="34">
        <v>8913.7195146666672</v>
      </c>
      <c r="V7" s="34">
        <f t="shared" si="5"/>
        <v>4794.6928479999997</v>
      </c>
      <c r="W7" s="34">
        <v>0</v>
      </c>
      <c r="X7" s="34">
        <v>0</v>
      </c>
      <c r="Y7" s="34">
        <v>0</v>
      </c>
      <c r="Z7" s="34">
        <v>0</v>
      </c>
      <c r="AA7" s="34">
        <v>0</v>
      </c>
      <c r="AB7" s="34">
        <v>0</v>
      </c>
      <c r="AC7" s="34">
        <v>12.125000000000002</v>
      </c>
      <c r="AD7" s="34">
        <v>346.10016283519997</v>
      </c>
      <c r="AE7" s="34">
        <f t="shared" si="6"/>
        <v>358.22516283519997</v>
      </c>
      <c r="AF7" s="34">
        <f t="shared" si="7"/>
        <v>12.125</v>
      </c>
      <c r="AG7" s="34">
        <v>0</v>
      </c>
      <c r="AH7" s="34">
        <v>0</v>
      </c>
      <c r="AI7" s="34">
        <v>0</v>
      </c>
      <c r="AJ7" s="34">
        <v>0</v>
      </c>
      <c r="AK7" s="34">
        <v>0</v>
      </c>
      <c r="AL7" s="34">
        <v>0</v>
      </c>
      <c r="AM7" s="34">
        <v>0</v>
      </c>
      <c r="AN7" s="34">
        <v>0</v>
      </c>
      <c r="AO7" s="34">
        <v>61.635416666666686</v>
      </c>
      <c r="AP7" s="34">
        <v>1713.2659054122664</v>
      </c>
      <c r="AQ7" s="34">
        <f t="shared" si="8"/>
        <v>1774.9013220789332</v>
      </c>
      <c r="AR7" s="34">
        <f t="shared" si="9"/>
        <v>61.635416666666742</v>
      </c>
      <c r="AS7" s="34">
        <f t="shared" si="10"/>
        <v>73.760416666666742</v>
      </c>
      <c r="AT7" t="str">
        <f t="shared" si="11"/>
        <v>OK</v>
      </c>
    </row>
    <row r="8" spans="1:46" x14ac:dyDescent="0.25">
      <c r="A8" t="s">
        <v>91</v>
      </c>
      <c r="B8" t="s">
        <v>178</v>
      </c>
      <c r="C8" s="34">
        <v>58200</v>
      </c>
      <c r="D8" s="34">
        <v>4850</v>
      </c>
      <c r="E8" s="34">
        <v>11770.826666666668</v>
      </c>
      <c r="F8" s="34">
        <f t="shared" si="0"/>
        <v>16620.826666666668</v>
      </c>
      <c r="G8" s="34">
        <v>0</v>
      </c>
      <c r="H8" s="34">
        <v>5101.2</v>
      </c>
      <c r="I8" s="34">
        <v>5101.2</v>
      </c>
      <c r="J8" s="34">
        <f t="shared" si="1"/>
        <v>0</v>
      </c>
      <c r="K8" s="34">
        <v>5101.2</v>
      </c>
      <c r="L8" s="34">
        <v>5101.2</v>
      </c>
      <c r="M8" s="34">
        <f t="shared" si="2"/>
        <v>0</v>
      </c>
      <c r="N8" s="34">
        <v>510.11999999999989</v>
      </c>
      <c r="O8" s="34">
        <v>510.11999999999989</v>
      </c>
      <c r="P8" s="34">
        <f t="shared" si="3"/>
        <v>0</v>
      </c>
      <c r="Q8" s="34">
        <v>2040.4800000000005</v>
      </c>
      <c r="R8" s="34">
        <v>2040.4800000000005</v>
      </c>
      <c r="S8" s="34">
        <f t="shared" si="4"/>
        <v>0</v>
      </c>
      <c r="T8" s="34">
        <v>4119.0266666666676</v>
      </c>
      <c r="U8" s="34">
        <v>8913.7195146666672</v>
      </c>
      <c r="V8" s="34">
        <f t="shared" si="5"/>
        <v>4794.6928479999997</v>
      </c>
      <c r="W8" s="34">
        <v>0</v>
      </c>
      <c r="X8" s="34">
        <v>0</v>
      </c>
      <c r="Y8" s="34">
        <v>0</v>
      </c>
      <c r="Z8" s="34">
        <v>0</v>
      </c>
      <c r="AA8" s="34">
        <v>0</v>
      </c>
      <c r="AB8" s="34">
        <v>0</v>
      </c>
      <c r="AC8" s="34">
        <v>12.125000000000002</v>
      </c>
      <c r="AD8" s="34">
        <v>346.10016283519997</v>
      </c>
      <c r="AE8" s="34">
        <f t="shared" si="6"/>
        <v>358.22516283519997</v>
      </c>
      <c r="AF8" s="34">
        <f t="shared" si="7"/>
        <v>12.125</v>
      </c>
      <c r="AG8" s="34">
        <v>0</v>
      </c>
      <c r="AH8" s="34">
        <v>0</v>
      </c>
      <c r="AI8" s="34">
        <v>0</v>
      </c>
      <c r="AJ8" s="34">
        <v>0</v>
      </c>
      <c r="AK8" s="34">
        <v>0</v>
      </c>
      <c r="AL8" s="34">
        <v>0</v>
      </c>
      <c r="AM8" s="34">
        <v>0</v>
      </c>
      <c r="AN8" s="34">
        <v>0</v>
      </c>
      <c r="AO8" s="34">
        <v>61.635416666666686</v>
      </c>
      <c r="AP8" s="34">
        <v>1713.2659054122664</v>
      </c>
      <c r="AQ8" s="34">
        <f t="shared" si="8"/>
        <v>1774.9013220789332</v>
      </c>
      <c r="AR8" s="34">
        <f t="shared" si="9"/>
        <v>61.635416666666742</v>
      </c>
      <c r="AS8" s="34">
        <f t="shared" si="10"/>
        <v>73.760416666666742</v>
      </c>
      <c r="AT8" t="str">
        <f t="shared" si="11"/>
        <v>OK</v>
      </c>
    </row>
    <row r="9" spans="1:46" x14ac:dyDescent="0.25">
      <c r="A9" t="s">
        <v>91</v>
      </c>
      <c r="B9" t="s">
        <v>179</v>
      </c>
      <c r="C9" s="34">
        <v>58200</v>
      </c>
      <c r="D9" s="34">
        <v>4850</v>
      </c>
      <c r="E9" s="34">
        <v>11770.826666666668</v>
      </c>
      <c r="F9" s="34">
        <f t="shared" si="0"/>
        <v>16620.826666666668</v>
      </c>
      <c r="G9" s="34">
        <v>0</v>
      </c>
      <c r="H9" s="34">
        <v>5101.2</v>
      </c>
      <c r="I9" s="34">
        <v>5101.2</v>
      </c>
      <c r="J9" s="34">
        <f t="shared" si="1"/>
        <v>0</v>
      </c>
      <c r="K9" s="34">
        <v>5101.2</v>
      </c>
      <c r="L9" s="34">
        <v>5101.2</v>
      </c>
      <c r="M9" s="34">
        <f t="shared" si="2"/>
        <v>0</v>
      </c>
      <c r="N9" s="34">
        <v>510.11999999999989</v>
      </c>
      <c r="O9" s="34">
        <v>510.11999999999989</v>
      </c>
      <c r="P9" s="34">
        <f t="shared" si="3"/>
        <v>0</v>
      </c>
      <c r="Q9" s="34">
        <v>2040.4800000000005</v>
      </c>
      <c r="R9" s="34">
        <v>2040.4800000000005</v>
      </c>
      <c r="S9" s="34">
        <f t="shared" si="4"/>
        <v>0</v>
      </c>
      <c r="T9" s="34">
        <v>4119.0266666666676</v>
      </c>
      <c r="U9" s="34">
        <v>8913.7195146666672</v>
      </c>
      <c r="V9" s="34">
        <f t="shared" si="5"/>
        <v>4794.6928479999997</v>
      </c>
      <c r="W9" s="34">
        <v>0</v>
      </c>
      <c r="X9" s="34">
        <v>0</v>
      </c>
      <c r="Y9" s="34">
        <v>0</v>
      </c>
      <c r="Z9" s="34">
        <v>0</v>
      </c>
      <c r="AA9" s="34">
        <v>0</v>
      </c>
      <c r="AB9" s="34">
        <v>0</v>
      </c>
      <c r="AC9" s="34">
        <v>12.125000000000002</v>
      </c>
      <c r="AD9" s="34">
        <v>346.10016283519997</v>
      </c>
      <c r="AE9" s="34">
        <f t="shared" si="6"/>
        <v>358.22516283519997</v>
      </c>
      <c r="AF9" s="34">
        <f t="shared" si="7"/>
        <v>12.125</v>
      </c>
      <c r="AG9" s="34">
        <v>0</v>
      </c>
      <c r="AH9" s="34">
        <v>0</v>
      </c>
      <c r="AI9" s="34">
        <v>0</v>
      </c>
      <c r="AJ9" s="34">
        <v>0</v>
      </c>
      <c r="AK9" s="34">
        <v>0</v>
      </c>
      <c r="AL9" s="34">
        <v>0</v>
      </c>
      <c r="AM9" s="34">
        <v>0</v>
      </c>
      <c r="AN9" s="34">
        <v>0</v>
      </c>
      <c r="AO9" s="34">
        <v>61.635416666666686</v>
      </c>
      <c r="AP9" s="34">
        <v>1713.2659054122664</v>
      </c>
      <c r="AQ9" s="34">
        <f t="shared" si="8"/>
        <v>1774.9013220789332</v>
      </c>
      <c r="AR9" s="34">
        <f t="shared" si="9"/>
        <v>61.635416666666742</v>
      </c>
      <c r="AS9" s="34">
        <f t="shared" si="10"/>
        <v>73.760416666666742</v>
      </c>
      <c r="AT9" t="str">
        <f t="shared" si="11"/>
        <v>OK</v>
      </c>
    </row>
    <row r="10" spans="1:46" x14ac:dyDescent="0.25">
      <c r="A10" t="s">
        <v>91</v>
      </c>
      <c r="B10" t="s">
        <v>180</v>
      </c>
      <c r="C10" s="34">
        <v>58200</v>
      </c>
      <c r="D10" s="34">
        <v>4850</v>
      </c>
      <c r="E10" s="34">
        <v>11770.826666666668</v>
      </c>
      <c r="F10" s="34">
        <f t="shared" si="0"/>
        <v>16620.826666666668</v>
      </c>
      <c r="G10" s="34">
        <v>0</v>
      </c>
      <c r="H10" s="34">
        <v>5101.2</v>
      </c>
      <c r="I10" s="34">
        <v>5101.2</v>
      </c>
      <c r="J10" s="34">
        <f t="shared" si="1"/>
        <v>0</v>
      </c>
      <c r="K10" s="34">
        <v>5101.2</v>
      </c>
      <c r="L10" s="34">
        <v>5101.2</v>
      </c>
      <c r="M10" s="34">
        <f t="shared" si="2"/>
        <v>0</v>
      </c>
      <c r="N10" s="34">
        <v>510.11999999999989</v>
      </c>
      <c r="O10" s="34">
        <v>510.11999999999989</v>
      </c>
      <c r="P10" s="34">
        <f t="shared" si="3"/>
        <v>0</v>
      </c>
      <c r="Q10" s="34">
        <v>2040.4800000000005</v>
      </c>
      <c r="R10" s="34">
        <v>2040.4800000000005</v>
      </c>
      <c r="S10" s="34">
        <f t="shared" si="4"/>
        <v>0</v>
      </c>
      <c r="T10" s="34">
        <v>4119.0266666666676</v>
      </c>
      <c r="U10" s="34">
        <v>8913.7195146666672</v>
      </c>
      <c r="V10" s="34">
        <f t="shared" si="5"/>
        <v>4794.6928479999997</v>
      </c>
      <c r="W10" s="34">
        <v>0</v>
      </c>
      <c r="X10" s="34">
        <v>0</v>
      </c>
      <c r="Y10" s="34">
        <v>0</v>
      </c>
      <c r="Z10" s="34">
        <v>0</v>
      </c>
      <c r="AA10" s="34">
        <v>0</v>
      </c>
      <c r="AB10" s="34">
        <v>0</v>
      </c>
      <c r="AC10" s="34">
        <v>12.125000000000002</v>
      </c>
      <c r="AD10" s="34">
        <v>346.10016283519997</v>
      </c>
      <c r="AE10" s="34">
        <f t="shared" si="6"/>
        <v>358.22516283519997</v>
      </c>
      <c r="AF10" s="34">
        <f t="shared" si="7"/>
        <v>12.125</v>
      </c>
      <c r="AG10" s="34">
        <v>0</v>
      </c>
      <c r="AH10" s="34">
        <v>0</v>
      </c>
      <c r="AI10" s="34">
        <v>0</v>
      </c>
      <c r="AJ10" s="34">
        <v>0</v>
      </c>
      <c r="AK10" s="34">
        <v>0</v>
      </c>
      <c r="AL10" s="34">
        <v>0</v>
      </c>
      <c r="AM10" s="34">
        <v>0</v>
      </c>
      <c r="AN10" s="34">
        <v>0</v>
      </c>
      <c r="AO10" s="34">
        <v>61.635416666666686</v>
      </c>
      <c r="AP10" s="34">
        <v>1713.2659054122664</v>
      </c>
      <c r="AQ10" s="34">
        <f t="shared" si="8"/>
        <v>1774.9013220789332</v>
      </c>
      <c r="AR10" s="34">
        <f t="shared" si="9"/>
        <v>61.635416666666742</v>
      </c>
      <c r="AS10" s="34">
        <f t="shared" si="10"/>
        <v>73.760416666666742</v>
      </c>
      <c r="AT10" t="str">
        <f t="shared" si="11"/>
        <v>OK</v>
      </c>
    </row>
    <row r="11" spans="1:46" x14ac:dyDescent="0.25">
      <c r="A11" t="s">
        <v>91</v>
      </c>
      <c r="B11" t="s">
        <v>183</v>
      </c>
      <c r="C11" s="34">
        <v>58200</v>
      </c>
      <c r="D11" s="34">
        <v>4850</v>
      </c>
      <c r="E11" s="34">
        <v>11770.826666666668</v>
      </c>
      <c r="F11" s="34">
        <f t="shared" si="0"/>
        <v>16620.826666666668</v>
      </c>
      <c r="G11" s="34">
        <v>0</v>
      </c>
      <c r="H11" s="34">
        <v>5101.2</v>
      </c>
      <c r="I11" s="34">
        <v>5101.2</v>
      </c>
      <c r="J11" s="34">
        <f t="shared" si="1"/>
        <v>0</v>
      </c>
      <c r="K11" s="34">
        <v>5101.2</v>
      </c>
      <c r="L11" s="34">
        <v>5101.2</v>
      </c>
      <c r="M11" s="34">
        <f t="shared" si="2"/>
        <v>0</v>
      </c>
      <c r="N11" s="34">
        <v>510.11999999999989</v>
      </c>
      <c r="O11" s="34">
        <v>510.11999999999989</v>
      </c>
      <c r="P11" s="34">
        <f t="shared" si="3"/>
        <v>0</v>
      </c>
      <c r="Q11" s="34">
        <v>2040.4800000000005</v>
      </c>
      <c r="R11" s="34">
        <v>2040.4800000000005</v>
      </c>
      <c r="S11" s="34">
        <f t="shared" si="4"/>
        <v>0</v>
      </c>
      <c r="T11" s="34">
        <v>4119.0266666666676</v>
      </c>
      <c r="U11" s="34">
        <v>8913.7195146666672</v>
      </c>
      <c r="V11" s="34">
        <f t="shared" si="5"/>
        <v>4794.6928479999997</v>
      </c>
      <c r="W11" s="34">
        <v>0</v>
      </c>
      <c r="X11" s="34">
        <v>0</v>
      </c>
      <c r="Y11" s="34">
        <v>0</v>
      </c>
      <c r="Z11" s="34">
        <v>0</v>
      </c>
      <c r="AA11" s="34">
        <v>0</v>
      </c>
      <c r="AB11" s="34">
        <v>0</v>
      </c>
      <c r="AC11" s="34">
        <v>12.125000000000002</v>
      </c>
      <c r="AD11" s="34">
        <v>346.10016283519997</v>
      </c>
      <c r="AE11" s="34">
        <f t="shared" si="6"/>
        <v>358.22516283519997</v>
      </c>
      <c r="AF11" s="34">
        <f t="shared" si="7"/>
        <v>12.125</v>
      </c>
      <c r="AG11" s="34">
        <v>0</v>
      </c>
      <c r="AH11" s="34">
        <v>0</v>
      </c>
      <c r="AI11" s="34">
        <v>0</v>
      </c>
      <c r="AJ11" s="34">
        <v>0</v>
      </c>
      <c r="AK11" s="34">
        <v>0</v>
      </c>
      <c r="AL11" s="34">
        <v>0</v>
      </c>
      <c r="AM11" s="34">
        <v>0</v>
      </c>
      <c r="AN11" s="34">
        <v>0</v>
      </c>
      <c r="AO11" s="34">
        <v>61.635416666666686</v>
      </c>
      <c r="AP11" s="34">
        <v>1713.2659054122664</v>
      </c>
      <c r="AQ11" s="34">
        <f t="shared" si="8"/>
        <v>1774.9013220789332</v>
      </c>
      <c r="AR11" s="34">
        <f t="shared" si="9"/>
        <v>61.635416666666742</v>
      </c>
      <c r="AS11" s="34">
        <f t="shared" si="10"/>
        <v>73.760416666666742</v>
      </c>
      <c r="AT11" t="str">
        <f t="shared" si="11"/>
        <v>OK</v>
      </c>
    </row>
    <row r="12" spans="1:46" x14ac:dyDescent="0.25">
      <c r="A12" t="s">
        <v>91</v>
      </c>
      <c r="B12" t="s">
        <v>184</v>
      </c>
      <c r="C12" s="34">
        <v>58200</v>
      </c>
      <c r="D12" s="34">
        <v>4850</v>
      </c>
      <c r="E12" s="34">
        <v>11770.826666666668</v>
      </c>
      <c r="F12" s="34">
        <f t="shared" si="0"/>
        <v>16620.826666666668</v>
      </c>
      <c r="G12" s="34">
        <v>0</v>
      </c>
      <c r="H12" s="34">
        <v>5101.2</v>
      </c>
      <c r="I12" s="34">
        <v>5101.2</v>
      </c>
      <c r="J12" s="34">
        <f t="shared" si="1"/>
        <v>0</v>
      </c>
      <c r="K12" s="34">
        <v>5101.2</v>
      </c>
      <c r="L12" s="34">
        <v>5101.2</v>
      </c>
      <c r="M12" s="34">
        <f t="shared" si="2"/>
        <v>0</v>
      </c>
      <c r="N12" s="34">
        <v>510.11999999999989</v>
      </c>
      <c r="O12" s="34">
        <v>510.11999999999989</v>
      </c>
      <c r="P12" s="34">
        <f t="shared" si="3"/>
        <v>0</v>
      </c>
      <c r="Q12" s="34">
        <v>2040.4800000000005</v>
      </c>
      <c r="R12" s="34">
        <v>2040.4800000000005</v>
      </c>
      <c r="S12" s="34">
        <f t="shared" si="4"/>
        <v>0</v>
      </c>
      <c r="T12" s="34">
        <v>4119.0266666666676</v>
      </c>
      <c r="U12" s="34">
        <v>8913.7195146666672</v>
      </c>
      <c r="V12" s="34">
        <f t="shared" si="5"/>
        <v>4794.6928479999997</v>
      </c>
      <c r="W12" s="34">
        <v>0</v>
      </c>
      <c r="X12" s="34">
        <v>0</v>
      </c>
      <c r="Y12" s="34">
        <v>0</v>
      </c>
      <c r="Z12" s="34">
        <v>0</v>
      </c>
      <c r="AA12" s="34">
        <v>0</v>
      </c>
      <c r="AB12" s="34">
        <v>0</v>
      </c>
      <c r="AC12" s="34">
        <v>12.125000000000002</v>
      </c>
      <c r="AD12" s="34">
        <v>346.10016283519997</v>
      </c>
      <c r="AE12" s="34">
        <f t="shared" si="6"/>
        <v>358.22516283519997</v>
      </c>
      <c r="AF12" s="34">
        <f t="shared" si="7"/>
        <v>12.125</v>
      </c>
      <c r="AG12" s="34">
        <v>0</v>
      </c>
      <c r="AH12" s="34">
        <v>0</v>
      </c>
      <c r="AI12" s="34">
        <v>0</v>
      </c>
      <c r="AJ12" s="34">
        <v>0</v>
      </c>
      <c r="AK12" s="34">
        <v>0</v>
      </c>
      <c r="AL12" s="34">
        <v>0</v>
      </c>
      <c r="AM12" s="34">
        <v>0</v>
      </c>
      <c r="AN12" s="34">
        <v>0</v>
      </c>
      <c r="AO12" s="34">
        <v>61.635416666666686</v>
      </c>
      <c r="AP12" s="34">
        <v>1713.2659054122664</v>
      </c>
      <c r="AQ12" s="34">
        <f t="shared" si="8"/>
        <v>1774.9013220789332</v>
      </c>
      <c r="AR12" s="34">
        <f t="shared" si="9"/>
        <v>61.635416666666742</v>
      </c>
      <c r="AS12" s="34">
        <f t="shared" si="10"/>
        <v>73.760416666666742</v>
      </c>
      <c r="AT12" t="str">
        <f t="shared" si="11"/>
        <v>OK</v>
      </c>
    </row>
    <row r="13" spans="1:46" x14ac:dyDescent="0.25">
      <c r="A13" t="s">
        <v>91</v>
      </c>
      <c r="B13" t="s">
        <v>185</v>
      </c>
      <c r="C13" s="34">
        <v>58200</v>
      </c>
      <c r="D13" s="34">
        <v>4850</v>
      </c>
      <c r="E13" s="34">
        <v>11770.826666666668</v>
      </c>
      <c r="F13" s="34">
        <f t="shared" si="0"/>
        <v>16620.826666666668</v>
      </c>
      <c r="G13" s="34">
        <v>0</v>
      </c>
      <c r="H13" s="34">
        <v>5101.2</v>
      </c>
      <c r="I13" s="34">
        <v>5101.2</v>
      </c>
      <c r="J13" s="34">
        <f t="shared" si="1"/>
        <v>0</v>
      </c>
      <c r="K13" s="34">
        <v>5101.2</v>
      </c>
      <c r="L13" s="34">
        <v>5101.2</v>
      </c>
      <c r="M13" s="34">
        <f t="shared" si="2"/>
        <v>0</v>
      </c>
      <c r="N13" s="34">
        <v>510.11999999999989</v>
      </c>
      <c r="O13" s="34">
        <v>510.11999999999989</v>
      </c>
      <c r="P13" s="34">
        <f t="shared" si="3"/>
        <v>0</v>
      </c>
      <c r="Q13" s="34">
        <v>2040.4800000000005</v>
      </c>
      <c r="R13" s="34">
        <v>2040.4800000000005</v>
      </c>
      <c r="S13" s="34">
        <f t="shared" si="4"/>
        <v>0</v>
      </c>
      <c r="T13" s="34">
        <v>4119.0266666666676</v>
      </c>
      <c r="U13" s="34">
        <v>8913.7195146666672</v>
      </c>
      <c r="V13" s="34">
        <f t="shared" si="5"/>
        <v>4794.6928479999997</v>
      </c>
      <c r="W13" s="34">
        <v>0</v>
      </c>
      <c r="X13" s="34">
        <v>0</v>
      </c>
      <c r="Y13" s="34">
        <v>0</v>
      </c>
      <c r="Z13" s="34">
        <v>0</v>
      </c>
      <c r="AA13" s="34">
        <v>0</v>
      </c>
      <c r="AB13" s="34">
        <v>0</v>
      </c>
      <c r="AC13" s="34">
        <v>12.125000000000002</v>
      </c>
      <c r="AD13" s="34">
        <v>346.10016283519997</v>
      </c>
      <c r="AE13" s="34">
        <f t="shared" si="6"/>
        <v>358.22516283519997</v>
      </c>
      <c r="AF13" s="34">
        <f t="shared" si="7"/>
        <v>12.125</v>
      </c>
      <c r="AG13" s="34">
        <v>0</v>
      </c>
      <c r="AH13" s="34">
        <v>0</v>
      </c>
      <c r="AI13" s="34">
        <v>0</v>
      </c>
      <c r="AJ13" s="34">
        <v>0</v>
      </c>
      <c r="AK13" s="34">
        <v>0</v>
      </c>
      <c r="AL13" s="34">
        <v>0</v>
      </c>
      <c r="AM13" s="34">
        <v>0</v>
      </c>
      <c r="AN13" s="34">
        <v>0</v>
      </c>
      <c r="AO13" s="34">
        <v>61.635416666666686</v>
      </c>
      <c r="AP13" s="34">
        <v>1713.2659054122664</v>
      </c>
      <c r="AQ13" s="34">
        <f t="shared" si="8"/>
        <v>1774.9013220789332</v>
      </c>
      <c r="AR13" s="34">
        <f t="shared" si="9"/>
        <v>61.635416666666742</v>
      </c>
      <c r="AS13" s="34">
        <f t="shared" si="10"/>
        <v>73.760416666666742</v>
      </c>
      <c r="AT13" t="str">
        <f t="shared" si="11"/>
        <v>OK</v>
      </c>
    </row>
    <row r="14" spans="1:46" x14ac:dyDescent="0.25">
      <c r="A14" t="s">
        <v>91</v>
      </c>
      <c r="B14" t="s">
        <v>186</v>
      </c>
      <c r="C14" s="34">
        <v>58200</v>
      </c>
      <c r="D14" s="34">
        <v>4850</v>
      </c>
      <c r="E14" s="34">
        <v>11770.826666666668</v>
      </c>
      <c r="F14" s="34">
        <f t="shared" si="0"/>
        <v>16620.826666666668</v>
      </c>
      <c r="G14" s="34">
        <v>0</v>
      </c>
      <c r="H14" s="34">
        <v>5101.2</v>
      </c>
      <c r="I14" s="34">
        <v>5101.2</v>
      </c>
      <c r="J14" s="34">
        <f t="shared" si="1"/>
        <v>0</v>
      </c>
      <c r="K14" s="34">
        <v>5101.2</v>
      </c>
      <c r="L14" s="34">
        <v>5101.2</v>
      </c>
      <c r="M14" s="34">
        <f t="shared" si="2"/>
        <v>0</v>
      </c>
      <c r="N14" s="34">
        <v>510.11999999999989</v>
      </c>
      <c r="O14" s="34">
        <v>510.11999999999989</v>
      </c>
      <c r="P14" s="34">
        <f t="shared" si="3"/>
        <v>0</v>
      </c>
      <c r="Q14" s="34">
        <v>2040.4800000000005</v>
      </c>
      <c r="R14" s="34">
        <v>2040.4800000000005</v>
      </c>
      <c r="S14" s="34">
        <f t="shared" si="4"/>
        <v>0</v>
      </c>
      <c r="T14" s="34">
        <v>4119.0266666666676</v>
      </c>
      <c r="U14" s="34">
        <v>8913.7195146666672</v>
      </c>
      <c r="V14" s="34">
        <f t="shared" si="5"/>
        <v>4794.6928479999997</v>
      </c>
      <c r="W14" s="34">
        <v>0</v>
      </c>
      <c r="X14" s="34">
        <v>0</v>
      </c>
      <c r="Y14" s="34">
        <v>0</v>
      </c>
      <c r="Z14" s="34">
        <v>0</v>
      </c>
      <c r="AA14" s="34">
        <v>0</v>
      </c>
      <c r="AB14" s="34">
        <v>0</v>
      </c>
      <c r="AC14" s="34">
        <v>12.125000000000002</v>
      </c>
      <c r="AD14" s="34">
        <v>346.10016283519997</v>
      </c>
      <c r="AE14" s="34">
        <f t="shared" si="6"/>
        <v>358.22516283519997</v>
      </c>
      <c r="AF14" s="34">
        <f t="shared" si="7"/>
        <v>12.125</v>
      </c>
      <c r="AG14" s="34">
        <v>0</v>
      </c>
      <c r="AH14" s="34">
        <v>0</v>
      </c>
      <c r="AI14" s="34">
        <v>0</v>
      </c>
      <c r="AJ14" s="34">
        <v>0</v>
      </c>
      <c r="AK14" s="34">
        <v>0</v>
      </c>
      <c r="AL14" s="34">
        <v>0</v>
      </c>
      <c r="AM14" s="34">
        <v>0</v>
      </c>
      <c r="AN14" s="34">
        <v>0</v>
      </c>
      <c r="AO14" s="34">
        <v>61.635416666666686</v>
      </c>
      <c r="AP14" s="34">
        <v>1713.2659054122664</v>
      </c>
      <c r="AQ14" s="34">
        <f t="shared" si="8"/>
        <v>1774.9013220789332</v>
      </c>
      <c r="AR14" s="34">
        <f t="shared" si="9"/>
        <v>61.635416666666742</v>
      </c>
      <c r="AS14" s="34">
        <f t="shared" si="10"/>
        <v>73.760416666666742</v>
      </c>
      <c r="AT14" t="str">
        <f t="shared" si="11"/>
        <v>OK</v>
      </c>
    </row>
    <row r="15" spans="1:46" x14ac:dyDescent="0.25">
      <c r="A15" t="s">
        <v>91</v>
      </c>
      <c r="B15" t="s">
        <v>187</v>
      </c>
      <c r="C15" s="34">
        <v>58200</v>
      </c>
      <c r="D15" s="34">
        <v>4850</v>
      </c>
      <c r="E15" s="34">
        <v>11770.826666666668</v>
      </c>
      <c r="F15" s="34">
        <f t="shared" si="0"/>
        <v>16620.826666666668</v>
      </c>
      <c r="G15" s="34">
        <v>0</v>
      </c>
      <c r="H15" s="34">
        <v>5101.2</v>
      </c>
      <c r="I15" s="34">
        <v>5101.2</v>
      </c>
      <c r="J15" s="34">
        <f t="shared" si="1"/>
        <v>0</v>
      </c>
      <c r="K15" s="34">
        <v>5101.2</v>
      </c>
      <c r="L15" s="34">
        <v>5101.2</v>
      </c>
      <c r="M15" s="34">
        <f t="shared" si="2"/>
        <v>0</v>
      </c>
      <c r="N15" s="34">
        <v>510.11999999999989</v>
      </c>
      <c r="O15" s="34">
        <v>510.11999999999989</v>
      </c>
      <c r="P15" s="34">
        <f t="shared" si="3"/>
        <v>0</v>
      </c>
      <c r="Q15" s="34">
        <v>2040.4800000000005</v>
      </c>
      <c r="R15" s="34">
        <v>2040.4800000000005</v>
      </c>
      <c r="S15" s="34">
        <f t="shared" si="4"/>
        <v>0</v>
      </c>
      <c r="T15" s="34">
        <v>4119.0266666666676</v>
      </c>
      <c r="U15" s="34">
        <v>8913.7195146666672</v>
      </c>
      <c r="V15" s="34">
        <f t="shared" si="5"/>
        <v>4794.6928479999997</v>
      </c>
      <c r="W15" s="34">
        <v>0</v>
      </c>
      <c r="X15" s="34">
        <v>0</v>
      </c>
      <c r="Y15" s="34">
        <v>0</v>
      </c>
      <c r="Z15" s="34">
        <v>0</v>
      </c>
      <c r="AA15" s="34">
        <v>0</v>
      </c>
      <c r="AB15" s="34">
        <v>0</v>
      </c>
      <c r="AC15" s="34">
        <v>12.125000000000002</v>
      </c>
      <c r="AD15" s="34">
        <v>346.10016283519997</v>
      </c>
      <c r="AE15" s="34">
        <f t="shared" si="6"/>
        <v>358.22516283519997</v>
      </c>
      <c r="AF15" s="34">
        <f t="shared" si="7"/>
        <v>12.125</v>
      </c>
      <c r="AG15" s="34">
        <v>0</v>
      </c>
      <c r="AH15" s="34">
        <v>0</v>
      </c>
      <c r="AI15" s="34">
        <v>0</v>
      </c>
      <c r="AJ15" s="34">
        <v>0</v>
      </c>
      <c r="AK15" s="34">
        <v>0</v>
      </c>
      <c r="AL15" s="34">
        <v>0</v>
      </c>
      <c r="AM15" s="34">
        <v>0</v>
      </c>
      <c r="AN15" s="34">
        <v>0</v>
      </c>
      <c r="AO15" s="34">
        <v>61.635416666666686</v>
      </c>
      <c r="AP15" s="34">
        <v>1713.2659054122664</v>
      </c>
      <c r="AQ15" s="34">
        <f t="shared" si="8"/>
        <v>1774.9013220789332</v>
      </c>
      <c r="AR15" s="34">
        <f t="shared" si="9"/>
        <v>61.635416666666742</v>
      </c>
      <c r="AS15" s="34">
        <f t="shared" si="10"/>
        <v>73.760416666666742</v>
      </c>
      <c r="AT15" t="str">
        <f t="shared" si="11"/>
        <v>OK</v>
      </c>
    </row>
    <row r="16" spans="1:46" x14ac:dyDescent="0.25">
      <c r="A16" t="s">
        <v>91</v>
      </c>
      <c r="B16" t="s">
        <v>189</v>
      </c>
      <c r="C16" s="34">
        <v>58200</v>
      </c>
      <c r="D16" s="34">
        <v>4850</v>
      </c>
      <c r="E16" s="34">
        <v>11770.826666666668</v>
      </c>
      <c r="F16" s="34">
        <f t="shared" si="0"/>
        <v>16620.826666666668</v>
      </c>
      <c r="G16" s="34">
        <v>0</v>
      </c>
      <c r="H16" s="34">
        <v>5101.2</v>
      </c>
      <c r="I16" s="34">
        <v>5101.2</v>
      </c>
      <c r="J16" s="34">
        <f t="shared" si="1"/>
        <v>0</v>
      </c>
      <c r="K16" s="34">
        <v>5101.2</v>
      </c>
      <c r="L16" s="34">
        <v>5101.2</v>
      </c>
      <c r="M16" s="34">
        <f t="shared" si="2"/>
        <v>0</v>
      </c>
      <c r="N16" s="34">
        <v>510.11999999999989</v>
      </c>
      <c r="O16" s="34">
        <v>510.11999999999989</v>
      </c>
      <c r="P16" s="34">
        <f t="shared" si="3"/>
        <v>0</v>
      </c>
      <c r="Q16" s="34">
        <v>2040.4800000000005</v>
      </c>
      <c r="R16" s="34">
        <v>2040.4800000000005</v>
      </c>
      <c r="S16" s="34">
        <f t="shared" si="4"/>
        <v>0</v>
      </c>
      <c r="T16" s="34">
        <v>4119.0266666666676</v>
      </c>
      <c r="U16" s="34">
        <v>8913.7195146666672</v>
      </c>
      <c r="V16" s="34">
        <f t="shared" si="5"/>
        <v>4794.6928479999997</v>
      </c>
      <c r="W16" s="34">
        <v>0</v>
      </c>
      <c r="X16" s="34">
        <v>0</v>
      </c>
      <c r="Y16" s="34">
        <v>0</v>
      </c>
      <c r="Z16" s="34">
        <v>0</v>
      </c>
      <c r="AA16" s="34">
        <v>0</v>
      </c>
      <c r="AB16" s="34">
        <v>0</v>
      </c>
      <c r="AC16" s="34">
        <v>12.125000000000002</v>
      </c>
      <c r="AD16" s="34">
        <v>346.10016283519997</v>
      </c>
      <c r="AE16" s="34">
        <f t="shared" si="6"/>
        <v>358.22516283519997</v>
      </c>
      <c r="AF16" s="34">
        <f t="shared" si="7"/>
        <v>12.125</v>
      </c>
      <c r="AG16" s="34">
        <v>0</v>
      </c>
      <c r="AH16" s="34">
        <v>0</v>
      </c>
      <c r="AI16" s="34">
        <v>0</v>
      </c>
      <c r="AJ16" s="34">
        <v>0</v>
      </c>
      <c r="AK16" s="34">
        <v>0</v>
      </c>
      <c r="AL16" s="34">
        <v>0</v>
      </c>
      <c r="AM16" s="34">
        <v>0</v>
      </c>
      <c r="AN16" s="34">
        <v>0</v>
      </c>
      <c r="AO16" s="34">
        <v>61.635416666666686</v>
      </c>
      <c r="AP16" s="34">
        <v>1713.2659054122664</v>
      </c>
      <c r="AQ16" s="34">
        <f t="shared" si="8"/>
        <v>1774.9013220789332</v>
      </c>
      <c r="AR16" s="34">
        <f t="shared" si="9"/>
        <v>61.635416666666742</v>
      </c>
      <c r="AS16" s="34">
        <f t="shared" si="10"/>
        <v>73.760416666666742</v>
      </c>
      <c r="AT16" t="str">
        <f t="shared" si="11"/>
        <v>OK</v>
      </c>
    </row>
    <row r="17" spans="1:46" x14ac:dyDescent="0.25">
      <c r="A17" t="s">
        <v>96</v>
      </c>
      <c r="B17" t="s">
        <v>173</v>
      </c>
      <c r="C17" s="34">
        <v>0</v>
      </c>
      <c r="D17" s="34">
        <v>0</v>
      </c>
      <c r="E17" s="34">
        <v>14557.778666666669</v>
      </c>
      <c r="F17" s="34">
        <f t="shared" si="0"/>
        <v>14557.778666666669</v>
      </c>
      <c r="G17" s="34">
        <v>0</v>
      </c>
      <c r="H17" s="34">
        <v>5101.2</v>
      </c>
      <c r="I17" s="34">
        <v>5101.2</v>
      </c>
      <c r="J17" s="34">
        <f t="shared" si="1"/>
        <v>0</v>
      </c>
      <c r="K17" s="34">
        <v>5101.2</v>
      </c>
      <c r="L17" s="34">
        <v>5101.2</v>
      </c>
      <c r="M17" s="34">
        <f t="shared" si="2"/>
        <v>0</v>
      </c>
      <c r="N17" s="34">
        <v>510.11999999999989</v>
      </c>
      <c r="O17" s="34">
        <v>510.11999999999989</v>
      </c>
      <c r="P17" s="34">
        <f t="shared" si="3"/>
        <v>0</v>
      </c>
      <c r="Q17" s="34">
        <v>2040.4800000000005</v>
      </c>
      <c r="R17" s="34">
        <v>2040.4800000000005</v>
      </c>
      <c r="S17" s="34">
        <f t="shared" si="4"/>
        <v>0</v>
      </c>
      <c r="T17" s="34">
        <v>6905.9786666666687</v>
      </c>
      <c r="U17" s="34">
        <v>7151.8933333333307</v>
      </c>
      <c r="V17" s="34">
        <f t="shared" si="5"/>
        <v>245.91466666666201</v>
      </c>
      <c r="W17" s="34">
        <v>0</v>
      </c>
      <c r="X17" s="34">
        <v>0</v>
      </c>
      <c r="Y17" s="34">
        <v>0</v>
      </c>
      <c r="Z17" s="34">
        <v>0</v>
      </c>
      <c r="AA17" s="34">
        <v>0</v>
      </c>
      <c r="AB17" s="34">
        <v>0</v>
      </c>
      <c r="AC17" s="34">
        <v>0</v>
      </c>
      <c r="AD17" s="34">
        <v>353.99677999999994</v>
      </c>
      <c r="AE17" s="34">
        <f t="shared" si="6"/>
        <v>353.99677999999994</v>
      </c>
      <c r="AF17" s="34">
        <f t="shared" si="7"/>
        <v>0</v>
      </c>
      <c r="AG17" s="34">
        <v>0</v>
      </c>
      <c r="AH17" s="34">
        <v>0</v>
      </c>
      <c r="AI17" s="34">
        <v>0</v>
      </c>
      <c r="AJ17" s="34">
        <v>0</v>
      </c>
      <c r="AK17" s="34">
        <v>0</v>
      </c>
      <c r="AL17" s="34">
        <v>0</v>
      </c>
      <c r="AM17" s="34">
        <v>0</v>
      </c>
      <c r="AN17" s="34">
        <v>0</v>
      </c>
      <c r="AO17" s="34">
        <v>0</v>
      </c>
      <c r="AP17" s="34">
        <v>1753.4070426666665</v>
      </c>
      <c r="AQ17" s="34">
        <f t="shared" si="8"/>
        <v>1753.4070426666665</v>
      </c>
      <c r="AR17" s="34">
        <f t="shared" si="9"/>
        <v>0</v>
      </c>
      <c r="AS17" s="34">
        <f t="shared" si="10"/>
        <v>0</v>
      </c>
      <c r="AT17" t="str">
        <f t="shared" si="11"/>
        <v>SIN BONUS</v>
      </c>
    </row>
    <row r="18" spans="1:46" x14ac:dyDescent="0.25">
      <c r="A18" t="s">
        <v>96</v>
      </c>
      <c r="B18" t="s">
        <v>176</v>
      </c>
      <c r="C18" s="34">
        <v>0</v>
      </c>
      <c r="D18" s="34">
        <v>0</v>
      </c>
      <c r="E18" s="34">
        <v>14557.778666666669</v>
      </c>
      <c r="F18" s="34">
        <f t="shared" si="0"/>
        <v>14557.778666666669</v>
      </c>
      <c r="G18" s="34">
        <v>0</v>
      </c>
      <c r="H18" s="34">
        <v>5101.2</v>
      </c>
      <c r="I18" s="34">
        <v>5101.2</v>
      </c>
      <c r="J18" s="34">
        <f t="shared" si="1"/>
        <v>0</v>
      </c>
      <c r="K18" s="34">
        <v>5101.2</v>
      </c>
      <c r="L18" s="34">
        <v>5101.2</v>
      </c>
      <c r="M18" s="34">
        <f t="shared" si="2"/>
        <v>0</v>
      </c>
      <c r="N18" s="34">
        <v>510.11999999999989</v>
      </c>
      <c r="O18" s="34">
        <v>510.11999999999989</v>
      </c>
      <c r="P18" s="34">
        <f t="shared" si="3"/>
        <v>0</v>
      </c>
      <c r="Q18" s="34">
        <v>2040.4800000000005</v>
      </c>
      <c r="R18" s="34">
        <v>2040.4800000000005</v>
      </c>
      <c r="S18" s="34">
        <f t="shared" si="4"/>
        <v>0</v>
      </c>
      <c r="T18" s="34">
        <v>6905.9786666666687</v>
      </c>
      <c r="U18" s="34">
        <v>7151.8933333333307</v>
      </c>
      <c r="V18" s="34">
        <f t="shared" si="5"/>
        <v>245.91466666666201</v>
      </c>
      <c r="W18" s="34">
        <v>0</v>
      </c>
      <c r="X18" s="34">
        <v>0</v>
      </c>
      <c r="Y18" s="34">
        <v>0</v>
      </c>
      <c r="Z18" s="34">
        <v>0</v>
      </c>
      <c r="AA18" s="34">
        <v>0</v>
      </c>
      <c r="AB18" s="34">
        <v>0</v>
      </c>
      <c r="AC18" s="34">
        <v>0</v>
      </c>
      <c r="AD18" s="34">
        <v>353.99677999999994</v>
      </c>
      <c r="AE18" s="34">
        <f t="shared" si="6"/>
        <v>353.99677999999994</v>
      </c>
      <c r="AF18" s="34">
        <f t="shared" si="7"/>
        <v>0</v>
      </c>
      <c r="AG18" s="34">
        <v>0</v>
      </c>
      <c r="AH18" s="34">
        <v>0</v>
      </c>
      <c r="AI18" s="34">
        <v>0</v>
      </c>
      <c r="AJ18" s="34">
        <v>0</v>
      </c>
      <c r="AK18" s="34">
        <v>0</v>
      </c>
      <c r="AL18" s="34">
        <v>0</v>
      </c>
      <c r="AM18" s="34">
        <v>0</v>
      </c>
      <c r="AN18" s="34">
        <v>0</v>
      </c>
      <c r="AO18" s="34">
        <v>0</v>
      </c>
      <c r="AP18" s="34">
        <v>1753.4070426666665</v>
      </c>
      <c r="AQ18" s="34">
        <f t="shared" si="8"/>
        <v>1753.4070426666665</v>
      </c>
      <c r="AR18" s="34">
        <f t="shared" si="9"/>
        <v>0</v>
      </c>
      <c r="AS18" s="34">
        <f t="shared" si="10"/>
        <v>0</v>
      </c>
      <c r="AT18" t="str">
        <f t="shared" si="11"/>
        <v>SIN BONUS</v>
      </c>
    </row>
    <row r="19" spans="1:46" x14ac:dyDescent="0.25">
      <c r="A19" t="s">
        <v>96</v>
      </c>
      <c r="B19" t="s">
        <v>177</v>
      </c>
      <c r="C19" s="34">
        <v>0</v>
      </c>
      <c r="D19" s="34">
        <v>0</v>
      </c>
      <c r="E19" s="34">
        <v>14557.778666666669</v>
      </c>
      <c r="F19" s="34">
        <f t="shared" si="0"/>
        <v>14557.778666666669</v>
      </c>
      <c r="G19" s="34">
        <v>0</v>
      </c>
      <c r="H19" s="34">
        <v>5101.2</v>
      </c>
      <c r="I19" s="34">
        <v>5101.2</v>
      </c>
      <c r="J19" s="34">
        <f t="shared" si="1"/>
        <v>0</v>
      </c>
      <c r="K19" s="34">
        <v>5101.2</v>
      </c>
      <c r="L19" s="34">
        <v>5101.2</v>
      </c>
      <c r="M19" s="34">
        <f t="shared" si="2"/>
        <v>0</v>
      </c>
      <c r="N19" s="34">
        <v>510.11999999999989</v>
      </c>
      <c r="O19" s="34">
        <v>510.11999999999989</v>
      </c>
      <c r="P19" s="34">
        <f t="shared" si="3"/>
        <v>0</v>
      </c>
      <c r="Q19" s="34">
        <v>2040.4800000000005</v>
      </c>
      <c r="R19" s="34">
        <v>2040.4800000000005</v>
      </c>
      <c r="S19" s="34">
        <f t="shared" si="4"/>
        <v>0</v>
      </c>
      <c r="T19" s="34">
        <v>6905.9786666666687</v>
      </c>
      <c r="U19" s="34">
        <v>7151.8933333333307</v>
      </c>
      <c r="V19" s="34">
        <f t="shared" si="5"/>
        <v>245.91466666666201</v>
      </c>
      <c r="W19" s="34">
        <v>0</v>
      </c>
      <c r="X19" s="34">
        <v>0</v>
      </c>
      <c r="Y19" s="34">
        <v>0</v>
      </c>
      <c r="Z19" s="34">
        <v>0</v>
      </c>
      <c r="AA19" s="34">
        <v>0</v>
      </c>
      <c r="AB19" s="34">
        <v>0</v>
      </c>
      <c r="AC19" s="34">
        <v>0</v>
      </c>
      <c r="AD19" s="34">
        <v>353.99677999999994</v>
      </c>
      <c r="AE19" s="34">
        <f t="shared" si="6"/>
        <v>353.99677999999994</v>
      </c>
      <c r="AF19" s="34">
        <f t="shared" si="7"/>
        <v>0</v>
      </c>
      <c r="AG19" s="34">
        <v>0</v>
      </c>
      <c r="AH19" s="34">
        <v>0</v>
      </c>
      <c r="AI19" s="34">
        <v>0</v>
      </c>
      <c r="AJ19" s="34">
        <v>0</v>
      </c>
      <c r="AK19" s="34">
        <v>0</v>
      </c>
      <c r="AL19" s="34">
        <v>0</v>
      </c>
      <c r="AM19" s="34">
        <v>0</v>
      </c>
      <c r="AN19" s="34">
        <v>0</v>
      </c>
      <c r="AO19" s="34">
        <v>0</v>
      </c>
      <c r="AP19" s="34">
        <v>1753.4070426666665</v>
      </c>
      <c r="AQ19" s="34">
        <f t="shared" si="8"/>
        <v>1753.4070426666665</v>
      </c>
      <c r="AR19" s="34">
        <f t="shared" si="9"/>
        <v>0</v>
      </c>
      <c r="AS19" s="34">
        <f t="shared" si="10"/>
        <v>0</v>
      </c>
      <c r="AT19" t="str">
        <f t="shared" si="11"/>
        <v>SIN BONUS</v>
      </c>
    </row>
    <row r="20" spans="1:46" x14ac:dyDescent="0.25">
      <c r="A20" t="s">
        <v>96</v>
      </c>
      <c r="B20" t="s">
        <v>178</v>
      </c>
      <c r="C20" s="34">
        <v>0</v>
      </c>
      <c r="D20" s="34">
        <v>0</v>
      </c>
      <c r="E20" s="34">
        <v>14557.778666666669</v>
      </c>
      <c r="F20" s="34">
        <f t="shared" si="0"/>
        <v>14557.778666666669</v>
      </c>
      <c r="G20" s="34">
        <v>0</v>
      </c>
      <c r="H20" s="34">
        <v>5101.2</v>
      </c>
      <c r="I20" s="34">
        <v>5101.2</v>
      </c>
      <c r="J20" s="34">
        <f t="shared" si="1"/>
        <v>0</v>
      </c>
      <c r="K20" s="34">
        <v>5101.2</v>
      </c>
      <c r="L20" s="34">
        <v>5101.2</v>
      </c>
      <c r="M20" s="34">
        <f t="shared" si="2"/>
        <v>0</v>
      </c>
      <c r="N20" s="34">
        <v>510.11999999999989</v>
      </c>
      <c r="O20" s="34">
        <v>510.11999999999989</v>
      </c>
      <c r="P20" s="34">
        <f t="shared" si="3"/>
        <v>0</v>
      </c>
      <c r="Q20" s="34">
        <v>2040.4800000000005</v>
      </c>
      <c r="R20" s="34">
        <v>2040.4800000000005</v>
      </c>
      <c r="S20" s="34">
        <f t="shared" si="4"/>
        <v>0</v>
      </c>
      <c r="T20" s="34">
        <v>6905.9786666666687</v>
      </c>
      <c r="U20" s="34">
        <v>7151.8933333333307</v>
      </c>
      <c r="V20" s="34">
        <f t="shared" si="5"/>
        <v>245.91466666666201</v>
      </c>
      <c r="W20" s="34">
        <v>0</v>
      </c>
      <c r="X20" s="34">
        <v>0</v>
      </c>
      <c r="Y20" s="34">
        <v>0</v>
      </c>
      <c r="Z20" s="34">
        <v>0</v>
      </c>
      <c r="AA20" s="34">
        <v>0</v>
      </c>
      <c r="AB20" s="34">
        <v>0</v>
      </c>
      <c r="AC20" s="34">
        <v>0</v>
      </c>
      <c r="AD20" s="34">
        <v>353.99677999999994</v>
      </c>
      <c r="AE20" s="34">
        <f t="shared" si="6"/>
        <v>353.99677999999994</v>
      </c>
      <c r="AF20" s="34">
        <f t="shared" si="7"/>
        <v>0</v>
      </c>
      <c r="AG20" s="34">
        <v>0</v>
      </c>
      <c r="AH20" s="34">
        <v>0</v>
      </c>
      <c r="AI20" s="34">
        <v>0</v>
      </c>
      <c r="AJ20" s="34">
        <v>0</v>
      </c>
      <c r="AK20" s="34">
        <v>0</v>
      </c>
      <c r="AL20" s="34">
        <v>0</v>
      </c>
      <c r="AM20" s="34">
        <v>0</v>
      </c>
      <c r="AN20" s="34">
        <v>0</v>
      </c>
      <c r="AO20" s="34">
        <v>0</v>
      </c>
      <c r="AP20" s="34">
        <v>1753.4070426666665</v>
      </c>
      <c r="AQ20" s="34">
        <f t="shared" si="8"/>
        <v>1753.4070426666665</v>
      </c>
      <c r="AR20" s="34">
        <f t="shared" si="9"/>
        <v>0</v>
      </c>
      <c r="AS20" s="34">
        <f t="shared" si="10"/>
        <v>0</v>
      </c>
      <c r="AT20" t="str">
        <f t="shared" si="11"/>
        <v>SIN BONUS</v>
      </c>
    </row>
    <row r="21" spans="1:46" x14ac:dyDescent="0.25">
      <c r="A21" t="s">
        <v>96</v>
      </c>
      <c r="B21" t="s">
        <v>179</v>
      </c>
      <c r="C21" s="34">
        <v>0</v>
      </c>
      <c r="D21" s="34">
        <v>0</v>
      </c>
      <c r="E21" s="34">
        <v>14557.778666666669</v>
      </c>
      <c r="F21" s="34">
        <f t="shared" si="0"/>
        <v>14557.778666666669</v>
      </c>
      <c r="G21" s="34">
        <v>0</v>
      </c>
      <c r="H21" s="34">
        <v>5101.2</v>
      </c>
      <c r="I21" s="34">
        <v>5101.2</v>
      </c>
      <c r="J21" s="34">
        <f t="shared" si="1"/>
        <v>0</v>
      </c>
      <c r="K21" s="34">
        <v>5101.2</v>
      </c>
      <c r="L21" s="34">
        <v>5101.2</v>
      </c>
      <c r="M21" s="34">
        <f t="shared" si="2"/>
        <v>0</v>
      </c>
      <c r="N21" s="34">
        <v>510.11999999999989</v>
      </c>
      <c r="O21" s="34">
        <v>510.11999999999989</v>
      </c>
      <c r="P21" s="34">
        <f t="shared" si="3"/>
        <v>0</v>
      </c>
      <c r="Q21" s="34">
        <v>2040.4800000000005</v>
      </c>
      <c r="R21" s="34">
        <v>2040.4800000000005</v>
      </c>
      <c r="S21" s="34">
        <f t="shared" si="4"/>
        <v>0</v>
      </c>
      <c r="T21" s="34">
        <v>6905.9786666666687</v>
      </c>
      <c r="U21" s="34">
        <v>7151.8933333333307</v>
      </c>
      <c r="V21" s="34">
        <f t="shared" si="5"/>
        <v>245.91466666666201</v>
      </c>
      <c r="W21" s="34">
        <v>0</v>
      </c>
      <c r="X21" s="34">
        <v>0</v>
      </c>
      <c r="Y21" s="34">
        <v>0</v>
      </c>
      <c r="Z21" s="34">
        <v>0</v>
      </c>
      <c r="AA21" s="34">
        <v>0</v>
      </c>
      <c r="AB21" s="34">
        <v>0</v>
      </c>
      <c r="AC21" s="34">
        <v>0</v>
      </c>
      <c r="AD21" s="34">
        <v>353.99677999999994</v>
      </c>
      <c r="AE21" s="34">
        <f t="shared" si="6"/>
        <v>353.99677999999994</v>
      </c>
      <c r="AF21" s="34">
        <f t="shared" si="7"/>
        <v>0</v>
      </c>
      <c r="AG21" s="34">
        <v>0</v>
      </c>
      <c r="AH21" s="34">
        <v>0</v>
      </c>
      <c r="AI21" s="34">
        <v>0</v>
      </c>
      <c r="AJ21" s="34">
        <v>0</v>
      </c>
      <c r="AK21" s="34">
        <v>0</v>
      </c>
      <c r="AL21" s="34">
        <v>0</v>
      </c>
      <c r="AM21" s="34">
        <v>0</v>
      </c>
      <c r="AN21" s="34">
        <v>0</v>
      </c>
      <c r="AO21" s="34">
        <v>0</v>
      </c>
      <c r="AP21" s="34">
        <v>1753.4070426666665</v>
      </c>
      <c r="AQ21" s="34">
        <f t="shared" si="8"/>
        <v>1753.4070426666665</v>
      </c>
      <c r="AR21" s="34">
        <f t="shared" si="9"/>
        <v>0</v>
      </c>
      <c r="AS21" s="34">
        <f t="shared" si="10"/>
        <v>0</v>
      </c>
      <c r="AT21" t="str">
        <f t="shared" si="11"/>
        <v>SIN BONUS</v>
      </c>
    </row>
    <row r="22" spans="1:46" x14ac:dyDescent="0.25">
      <c r="A22" t="s">
        <v>96</v>
      </c>
      <c r="B22" t="s">
        <v>180</v>
      </c>
      <c r="C22" s="34">
        <v>0</v>
      </c>
      <c r="D22" s="34">
        <v>0</v>
      </c>
      <c r="E22" s="34">
        <v>14557.778666666669</v>
      </c>
      <c r="F22" s="34">
        <f t="shared" si="0"/>
        <v>14557.778666666669</v>
      </c>
      <c r="G22" s="34">
        <v>0</v>
      </c>
      <c r="H22" s="34">
        <v>5101.2</v>
      </c>
      <c r="I22" s="34">
        <v>5101.2</v>
      </c>
      <c r="J22" s="34">
        <f t="shared" si="1"/>
        <v>0</v>
      </c>
      <c r="K22" s="34">
        <v>5101.2</v>
      </c>
      <c r="L22" s="34">
        <v>5101.2</v>
      </c>
      <c r="M22" s="34">
        <f t="shared" si="2"/>
        <v>0</v>
      </c>
      <c r="N22" s="34">
        <v>510.11999999999989</v>
      </c>
      <c r="O22" s="34">
        <v>510.11999999999989</v>
      </c>
      <c r="P22" s="34">
        <f t="shared" si="3"/>
        <v>0</v>
      </c>
      <c r="Q22" s="34">
        <v>2040.4800000000005</v>
      </c>
      <c r="R22" s="34">
        <v>2040.4800000000005</v>
      </c>
      <c r="S22" s="34">
        <f t="shared" si="4"/>
        <v>0</v>
      </c>
      <c r="T22" s="34">
        <v>6905.9786666666687</v>
      </c>
      <c r="U22" s="34">
        <v>7151.8933333333307</v>
      </c>
      <c r="V22" s="34">
        <f t="shared" si="5"/>
        <v>245.91466666666201</v>
      </c>
      <c r="W22" s="34">
        <v>0</v>
      </c>
      <c r="X22" s="34">
        <v>0</v>
      </c>
      <c r="Y22" s="34">
        <v>0</v>
      </c>
      <c r="Z22" s="34">
        <v>0</v>
      </c>
      <c r="AA22" s="34">
        <v>0</v>
      </c>
      <c r="AB22" s="34">
        <v>0</v>
      </c>
      <c r="AC22" s="34">
        <v>0</v>
      </c>
      <c r="AD22" s="34">
        <v>353.99677999999994</v>
      </c>
      <c r="AE22" s="34">
        <f t="shared" si="6"/>
        <v>353.99677999999994</v>
      </c>
      <c r="AF22" s="34">
        <f t="shared" si="7"/>
        <v>0</v>
      </c>
      <c r="AG22" s="34">
        <v>0</v>
      </c>
      <c r="AH22" s="34">
        <v>0</v>
      </c>
      <c r="AI22" s="34">
        <v>0</v>
      </c>
      <c r="AJ22" s="34">
        <v>0</v>
      </c>
      <c r="AK22" s="34">
        <v>0</v>
      </c>
      <c r="AL22" s="34">
        <v>0</v>
      </c>
      <c r="AM22" s="34">
        <v>0</v>
      </c>
      <c r="AN22" s="34">
        <v>0</v>
      </c>
      <c r="AO22" s="34">
        <v>0</v>
      </c>
      <c r="AP22" s="34">
        <v>1753.4070426666665</v>
      </c>
      <c r="AQ22" s="34">
        <f t="shared" si="8"/>
        <v>1753.4070426666665</v>
      </c>
      <c r="AR22" s="34">
        <f t="shared" si="9"/>
        <v>0</v>
      </c>
      <c r="AS22" s="34">
        <f t="shared" si="10"/>
        <v>0</v>
      </c>
      <c r="AT22" t="str">
        <f t="shared" si="11"/>
        <v>SIN BONUS</v>
      </c>
    </row>
    <row r="23" spans="1:46" x14ac:dyDescent="0.25">
      <c r="A23" t="s">
        <v>96</v>
      </c>
      <c r="B23" t="s">
        <v>183</v>
      </c>
      <c r="C23" s="34">
        <v>0</v>
      </c>
      <c r="D23" s="34">
        <v>0</v>
      </c>
      <c r="E23" s="34">
        <v>14557.778666666669</v>
      </c>
      <c r="F23" s="34">
        <f t="shared" si="0"/>
        <v>14557.778666666669</v>
      </c>
      <c r="G23" s="34">
        <v>0</v>
      </c>
      <c r="H23" s="34">
        <v>5101.2</v>
      </c>
      <c r="I23" s="34">
        <v>5101.2</v>
      </c>
      <c r="J23" s="34">
        <f t="shared" si="1"/>
        <v>0</v>
      </c>
      <c r="K23" s="34">
        <v>5101.2</v>
      </c>
      <c r="L23" s="34">
        <v>5101.2</v>
      </c>
      <c r="M23" s="34">
        <f t="shared" si="2"/>
        <v>0</v>
      </c>
      <c r="N23" s="34">
        <v>510.11999999999989</v>
      </c>
      <c r="O23" s="34">
        <v>510.11999999999989</v>
      </c>
      <c r="P23" s="34">
        <f t="shared" si="3"/>
        <v>0</v>
      </c>
      <c r="Q23" s="34">
        <v>2040.4800000000005</v>
      </c>
      <c r="R23" s="34">
        <v>2040.4800000000005</v>
      </c>
      <c r="S23" s="34">
        <f t="shared" si="4"/>
        <v>0</v>
      </c>
      <c r="T23" s="34">
        <v>6905.9786666666687</v>
      </c>
      <c r="U23" s="34">
        <v>7151.8933333333307</v>
      </c>
      <c r="V23" s="34">
        <f t="shared" si="5"/>
        <v>245.91466666666201</v>
      </c>
      <c r="W23" s="34">
        <v>0</v>
      </c>
      <c r="X23" s="34">
        <v>0</v>
      </c>
      <c r="Y23" s="34">
        <v>0</v>
      </c>
      <c r="Z23" s="34">
        <v>0</v>
      </c>
      <c r="AA23" s="34">
        <v>0</v>
      </c>
      <c r="AB23" s="34">
        <v>0</v>
      </c>
      <c r="AC23" s="34">
        <v>0</v>
      </c>
      <c r="AD23" s="34">
        <v>353.99677999999994</v>
      </c>
      <c r="AE23" s="34">
        <f t="shared" si="6"/>
        <v>353.99677999999994</v>
      </c>
      <c r="AF23" s="34">
        <f t="shared" si="7"/>
        <v>0</v>
      </c>
      <c r="AG23" s="34">
        <v>0</v>
      </c>
      <c r="AH23" s="34">
        <v>0</v>
      </c>
      <c r="AI23" s="34">
        <v>0</v>
      </c>
      <c r="AJ23" s="34">
        <v>0</v>
      </c>
      <c r="AK23" s="34">
        <v>0</v>
      </c>
      <c r="AL23" s="34">
        <v>0</v>
      </c>
      <c r="AM23" s="34">
        <v>0</v>
      </c>
      <c r="AN23" s="34">
        <v>0</v>
      </c>
      <c r="AO23" s="34">
        <v>0</v>
      </c>
      <c r="AP23" s="34">
        <v>1753.4070426666665</v>
      </c>
      <c r="AQ23" s="34">
        <f t="shared" si="8"/>
        <v>1753.4070426666665</v>
      </c>
      <c r="AR23" s="34">
        <f t="shared" si="9"/>
        <v>0</v>
      </c>
      <c r="AS23" s="34">
        <f t="shared" si="10"/>
        <v>0</v>
      </c>
      <c r="AT23" t="str">
        <f t="shared" si="11"/>
        <v>SIN BONUS</v>
      </c>
    </row>
    <row r="24" spans="1:46" x14ac:dyDescent="0.25">
      <c r="A24" t="s">
        <v>96</v>
      </c>
      <c r="B24" t="s">
        <v>184</v>
      </c>
      <c r="C24" s="34">
        <v>0</v>
      </c>
      <c r="D24" s="34">
        <v>0</v>
      </c>
      <c r="E24" s="34">
        <v>14557.778666666669</v>
      </c>
      <c r="F24" s="34">
        <f t="shared" si="0"/>
        <v>14557.778666666669</v>
      </c>
      <c r="G24" s="34">
        <v>0</v>
      </c>
      <c r="H24" s="34">
        <v>5101.2</v>
      </c>
      <c r="I24" s="34">
        <v>5101.2</v>
      </c>
      <c r="J24" s="34">
        <f t="shared" si="1"/>
        <v>0</v>
      </c>
      <c r="K24" s="34">
        <v>5101.2</v>
      </c>
      <c r="L24" s="34">
        <v>5101.2</v>
      </c>
      <c r="M24" s="34">
        <f t="shared" si="2"/>
        <v>0</v>
      </c>
      <c r="N24" s="34">
        <v>510.11999999999989</v>
      </c>
      <c r="O24" s="34">
        <v>510.11999999999989</v>
      </c>
      <c r="P24" s="34">
        <f t="shared" si="3"/>
        <v>0</v>
      </c>
      <c r="Q24" s="34">
        <v>2040.4800000000005</v>
      </c>
      <c r="R24" s="34">
        <v>2040.4800000000005</v>
      </c>
      <c r="S24" s="34">
        <f t="shared" si="4"/>
        <v>0</v>
      </c>
      <c r="T24" s="34">
        <v>6905.9786666666687</v>
      </c>
      <c r="U24" s="34">
        <v>7151.8933333333307</v>
      </c>
      <c r="V24" s="34">
        <f t="shared" si="5"/>
        <v>245.91466666666201</v>
      </c>
      <c r="W24" s="34">
        <v>0</v>
      </c>
      <c r="X24" s="34">
        <v>0</v>
      </c>
      <c r="Y24" s="34">
        <v>0</v>
      </c>
      <c r="Z24" s="34">
        <v>0</v>
      </c>
      <c r="AA24" s="34">
        <v>0</v>
      </c>
      <c r="AB24" s="34">
        <v>0</v>
      </c>
      <c r="AC24" s="34">
        <v>0</v>
      </c>
      <c r="AD24" s="34">
        <v>353.99677999999994</v>
      </c>
      <c r="AE24" s="34">
        <f t="shared" si="6"/>
        <v>353.99677999999994</v>
      </c>
      <c r="AF24" s="34">
        <f t="shared" si="7"/>
        <v>0</v>
      </c>
      <c r="AG24" s="34">
        <v>0</v>
      </c>
      <c r="AH24" s="34">
        <v>0</v>
      </c>
      <c r="AI24" s="34">
        <v>0</v>
      </c>
      <c r="AJ24" s="34">
        <v>0</v>
      </c>
      <c r="AK24" s="34">
        <v>0</v>
      </c>
      <c r="AL24" s="34">
        <v>0</v>
      </c>
      <c r="AM24" s="34">
        <v>0</v>
      </c>
      <c r="AN24" s="34">
        <v>0</v>
      </c>
      <c r="AO24" s="34">
        <v>0</v>
      </c>
      <c r="AP24" s="34">
        <v>1753.4070426666665</v>
      </c>
      <c r="AQ24" s="34">
        <f t="shared" si="8"/>
        <v>1753.4070426666665</v>
      </c>
      <c r="AR24" s="34">
        <f t="shared" si="9"/>
        <v>0</v>
      </c>
      <c r="AS24" s="34">
        <f t="shared" si="10"/>
        <v>0</v>
      </c>
      <c r="AT24" t="str">
        <f t="shared" si="11"/>
        <v>SIN BONUS</v>
      </c>
    </row>
    <row r="25" spans="1:46" x14ac:dyDescent="0.25">
      <c r="A25" t="s">
        <v>96</v>
      </c>
      <c r="B25" t="s">
        <v>185</v>
      </c>
      <c r="C25" s="34">
        <v>0</v>
      </c>
      <c r="D25" s="34">
        <v>0</v>
      </c>
      <c r="E25" s="34">
        <v>14557.778666666669</v>
      </c>
      <c r="F25" s="34">
        <f t="shared" si="0"/>
        <v>14557.778666666669</v>
      </c>
      <c r="G25" s="34">
        <v>0</v>
      </c>
      <c r="H25" s="34">
        <v>5101.2</v>
      </c>
      <c r="I25" s="34">
        <v>5101.2</v>
      </c>
      <c r="J25" s="34">
        <f t="shared" si="1"/>
        <v>0</v>
      </c>
      <c r="K25" s="34">
        <v>5101.2</v>
      </c>
      <c r="L25" s="34">
        <v>5101.2</v>
      </c>
      <c r="M25" s="34">
        <f t="shared" si="2"/>
        <v>0</v>
      </c>
      <c r="N25" s="34">
        <v>510.11999999999989</v>
      </c>
      <c r="O25" s="34">
        <v>510.11999999999989</v>
      </c>
      <c r="P25" s="34">
        <f t="shared" si="3"/>
        <v>0</v>
      </c>
      <c r="Q25" s="34">
        <v>2040.4800000000005</v>
      </c>
      <c r="R25" s="34">
        <v>2040.4800000000005</v>
      </c>
      <c r="S25" s="34">
        <f t="shared" si="4"/>
        <v>0</v>
      </c>
      <c r="T25" s="34">
        <v>6905.9786666666687</v>
      </c>
      <c r="U25" s="34">
        <v>7151.8933333333307</v>
      </c>
      <c r="V25" s="34">
        <f t="shared" si="5"/>
        <v>245.91466666666201</v>
      </c>
      <c r="W25" s="34">
        <v>0</v>
      </c>
      <c r="X25" s="34">
        <v>0</v>
      </c>
      <c r="Y25" s="34">
        <v>0</v>
      </c>
      <c r="Z25" s="34">
        <v>0</v>
      </c>
      <c r="AA25" s="34">
        <v>0</v>
      </c>
      <c r="AB25" s="34">
        <v>0</v>
      </c>
      <c r="AC25" s="34">
        <v>0</v>
      </c>
      <c r="AD25" s="34">
        <v>353.99677999999994</v>
      </c>
      <c r="AE25" s="34">
        <f t="shared" si="6"/>
        <v>353.99677999999994</v>
      </c>
      <c r="AF25" s="34">
        <f t="shared" si="7"/>
        <v>0</v>
      </c>
      <c r="AG25" s="34">
        <v>0</v>
      </c>
      <c r="AH25" s="34">
        <v>0</v>
      </c>
      <c r="AI25" s="34">
        <v>0</v>
      </c>
      <c r="AJ25" s="34">
        <v>0</v>
      </c>
      <c r="AK25" s="34">
        <v>0</v>
      </c>
      <c r="AL25" s="34">
        <v>0</v>
      </c>
      <c r="AM25" s="34">
        <v>0</v>
      </c>
      <c r="AN25" s="34">
        <v>0</v>
      </c>
      <c r="AO25" s="34">
        <v>0</v>
      </c>
      <c r="AP25" s="34">
        <v>1753.4070426666665</v>
      </c>
      <c r="AQ25" s="34">
        <f t="shared" si="8"/>
        <v>1753.4070426666665</v>
      </c>
      <c r="AR25" s="34">
        <f t="shared" si="9"/>
        <v>0</v>
      </c>
      <c r="AS25" s="34">
        <f t="shared" si="10"/>
        <v>0</v>
      </c>
      <c r="AT25" t="str">
        <f t="shared" si="11"/>
        <v>SIN BONUS</v>
      </c>
    </row>
    <row r="26" spans="1:46" x14ac:dyDescent="0.25">
      <c r="A26" t="s">
        <v>96</v>
      </c>
      <c r="B26" t="s">
        <v>186</v>
      </c>
      <c r="C26" s="34">
        <v>0</v>
      </c>
      <c r="D26" s="34">
        <v>0</v>
      </c>
      <c r="E26" s="34">
        <v>14557.778666666669</v>
      </c>
      <c r="F26" s="34">
        <f t="shared" si="0"/>
        <v>14557.778666666669</v>
      </c>
      <c r="G26" s="34">
        <v>0</v>
      </c>
      <c r="H26" s="34">
        <v>5101.2</v>
      </c>
      <c r="I26" s="34">
        <v>5101.2</v>
      </c>
      <c r="J26" s="34">
        <f t="shared" si="1"/>
        <v>0</v>
      </c>
      <c r="K26" s="34">
        <v>5101.2</v>
      </c>
      <c r="L26" s="34">
        <v>5101.2</v>
      </c>
      <c r="M26" s="34">
        <f t="shared" si="2"/>
        <v>0</v>
      </c>
      <c r="N26" s="34">
        <v>510.11999999999989</v>
      </c>
      <c r="O26" s="34">
        <v>510.11999999999989</v>
      </c>
      <c r="P26" s="34">
        <f t="shared" si="3"/>
        <v>0</v>
      </c>
      <c r="Q26" s="34">
        <v>2040.4800000000005</v>
      </c>
      <c r="R26" s="34">
        <v>2040.4800000000005</v>
      </c>
      <c r="S26" s="34">
        <f t="shared" si="4"/>
        <v>0</v>
      </c>
      <c r="T26" s="34">
        <v>6905.9786666666687</v>
      </c>
      <c r="U26" s="34">
        <v>7151.8933333333307</v>
      </c>
      <c r="V26" s="34">
        <f t="shared" si="5"/>
        <v>245.91466666666201</v>
      </c>
      <c r="W26" s="34">
        <v>0</v>
      </c>
      <c r="X26" s="34">
        <v>0</v>
      </c>
      <c r="Y26" s="34">
        <v>0</v>
      </c>
      <c r="Z26" s="34">
        <v>0</v>
      </c>
      <c r="AA26" s="34">
        <v>0</v>
      </c>
      <c r="AB26" s="34">
        <v>0</v>
      </c>
      <c r="AC26" s="34">
        <v>0</v>
      </c>
      <c r="AD26" s="34">
        <v>353.99677999999994</v>
      </c>
      <c r="AE26" s="34">
        <f t="shared" si="6"/>
        <v>353.99677999999994</v>
      </c>
      <c r="AF26" s="34">
        <f t="shared" si="7"/>
        <v>0</v>
      </c>
      <c r="AG26" s="34">
        <v>0</v>
      </c>
      <c r="AH26" s="34">
        <v>0</v>
      </c>
      <c r="AI26" s="34">
        <v>0</v>
      </c>
      <c r="AJ26" s="34">
        <v>0</v>
      </c>
      <c r="AK26" s="34">
        <v>0</v>
      </c>
      <c r="AL26" s="34">
        <v>0</v>
      </c>
      <c r="AM26" s="34">
        <v>0</v>
      </c>
      <c r="AN26" s="34">
        <v>0</v>
      </c>
      <c r="AO26" s="34">
        <v>0</v>
      </c>
      <c r="AP26" s="34">
        <v>1753.4070426666665</v>
      </c>
      <c r="AQ26" s="34">
        <f t="shared" si="8"/>
        <v>1753.4070426666665</v>
      </c>
      <c r="AR26" s="34">
        <f t="shared" si="9"/>
        <v>0</v>
      </c>
      <c r="AS26" s="34">
        <f t="shared" si="10"/>
        <v>0</v>
      </c>
      <c r="AT26" t="str">
        <f t="shared" si="11"/>
        <v>SIN BONUS</v>
      </c>
    </row>
    <row r="27" spans="1:46" x14ac:dyDescent="0.25">
      <c r="A27" t="s">
        <v>96</v>
      </c>
      <c r="B27" t="s">
        <v>187</v>
      </c>
      <c r="C27" s="34">
        <v>0</v>
      </c>
      <c r="D27" s="34">
        <v>0</v>
      </c>
      <c r="E27" s="34">
        <v>14557.778666666669</v>
      </c>
      <c r="F27" s="34">
        <f t="shared" si="0"/>
        <v>14557.778666666669</v>
      </c>
      <c r="G27" s="34">
        <v>0</v>
      </c>
      <c r="H27" s="34">
        <v>5101.2</v>
      </c>
      <c r="I27" s="34">
        <v>5101.2</v>
      </c>
      <c r="J27" s="34">
        <f t="shared" si="1"/>
        <v>0</v>
      </c>
      <c r="K27" s="34">
        <v>5101.2</v>
      </c>
      <c r="L27" s="34">
        <v>5101.2</v>
      </c>
      <c r="M27" s="34">
        <f t="shared" si="2"/>
        <v>0</v>
      </c>
      <c r="N27" s="34">
        <v>510.11999999999989</v>
      </c>
      <c r="O27" s="34">
        <v>510.11999999999989</v>
      </c>
      <c r="P27" s="34">
        <f t="shared" si="3"/>
        <v>0</v>
      </c>
      <c r="Q27" s="34">
        <v>2040.4800000000005</v>
      </c>
      <c r="R27" s="34">
        <v>2040.4800000000005</v>
      </c>
      <c r="S27" s="34">
        <f t="shared" si="4"/>
        <v>0</v>
      </c>
      <c r="T27" s="34">
        <v>6905.9786666666687</v>
      </c>
      <c r="U27" s="34">
        <v>7151.8933333333307</v>
      </c>
      <c r="V27" s="34">
        <f t="shared" si="5"/>
        <v>245.91466666666201</v>
      </c>
      <c r="W27" s="34">
        <v>0</v>
      </c>
      <c r="X27" s="34">
        <v>0</v>
      </c>
      <c r="Y27" s="34">
        <v>0</v>
      </c>
      <c r="Z27" s="34">
        <v>0</v>
      </c>
      <c r="AA27" s="34">
        <v>0</v>
      </c>
      <c r="AB27" s="34">
        <v>0</v>
      </c>
      <c r="AC27" s="34">
        <v>0</v>
      </c>
      <c r="AD27" s="34">
        <v>353.99677999999994</v>
      </c>
      <c r="AE27" s="34">
        <f t="shared" si="6"/>
        <v>353.99677999999994</v>
      </c>
      <c r="AF27" s="34">
        <f t="shared" si="7"/>
        <v>0</v>
      </c>
      <c r="AG27" s="34">
        <v>0</v>
      </c>
      <c r="AH27" s="34">
        <v>0</v>
      </c>
      <c r="AI27" s="34">
        <v>0</v>
      </c>
      <c r="AJ27" s="34">
        <v>0</v>
      </c>
      <c r="AK27" s="34">
        <v>0</v>
      </c>
      <c r="AL27" s="34">
        <v>0</v>
      </c>
      <c r="AM27" s="34">
        <v>0</v>
      </c>
      <c r="AN27" s="34">
        <v>0</v>
      </c>
      <c r="AO27" s="34">
        <v>0</v>
      </c>
      <c r="AP27" s="34">
        <v>1753.4070426666665</v>
      </c>
      <c r="AQ27" s="34">
        <f t="shared" si="8"/>
        <v>1753.4070426666665</v>
      </c>
      <c r="AR27" s="34">
        <f t="shared" si="9"/>
        <v>0</v>
      </c>
      <c r="AS27" s="34">
        <f t="shared" si="10"/>
        <v>0</v>
      </c>
      <c r="AT27" t="str">
        <f t="shared" si="11"/>
        <v>SIN BONUS</v>
      </c>
    </row>
    <row r="28" spans="1:46" x14ac:dyDescent="0.25">
      <c r="A28" t="s">
        <v>96</v>
      </c>
      <c r="B28" t="s">
        <v>189</v>
      </c>
      <c r="C28" s="34">
        <v>0</v>
      </c>
      <c r="D28" s="34">
        <v>0</v>
      </c>
      <c r="E28" s="34">
        <v>14557.778666666669</v>
      </c>
      <c r="F28" s="34">
        <f t="shared" si="0"/>
        <v>14557.778666666669</v>
      </c>
      <c r="G28" s="34">
        <v>0</v>
      </c>
      <c r="H28" s="34">
        <v>5101.2</v>
      </c>
      <c r="I28" s="34">
        <v>5101.2</v>
      </c>
      <c r="J28" s="34">
        <f t="shared" si="1"/>
        <v>0</v>
      </c>
      <c r="K28" s="34">
        <v>5101.2</v>
      </c>
      <c r="L28" s="34">
        <v>5101.2</v>
      </c>
      <c r="M28" s="34">
        <f t="shared" si="2"/>
        <v>0</v>
      </c>
      <c r="N28" s="34">
        <v>510.11999999999989</v>
      </c>
      <c r="O28" s="34">
        <v>510.11999999999989</v>
      </c>
      <c r="P28" s="34">
        <f t="shared" si="3"/>
        <v>0</v>
      </c>
      <c r="Q28" s="34">
        <v>2040.4800000000005</v>
      </c>
      <c r="R28" s="34">
        <v>2040.4800000000005</v>
      </c>
      <c r="S28" s="34">
        <f t="shared" si="4"/>
        <v>0</v>
      </c>
      <c r="T28" s="34">
        <v>6905.9786666666687</v>
      </c>
      <c r="U28" s="34">
        <v>7151.8933333333307</v>
      </c>
      <c r="V28" s="34">
        <f t="shared" si="5"/>
        <v>245.91466666666201</v>
      </c>
      <c r="W28" s="34">
        <v>0</v>
      </c>
      <c r="X28" s="34">
        <v>0</v>
      </c>
      <c r="Y28" s="34">
        <v>0</v>
      </c>
      <c r="Z28" s="34">
        <v>0</v>
      </c>
      <c r="AA28" s="34">
        <v>0</v>
      </c>
      <c r="AB28" s="34">
        <v>0</v>
      </c>
      <c r="AC28" s="34">
        <v>0</v>
      </c>
      <c r="AD28" s="34">
        <v>353.99677999999994</v>
      </c>
      <c r="AE28" s="34">
        <f t="shared" si="6"/>
        <v>353.99677999999994</v>
      </c>
      <c r="AF28" s="34">
        <f t="shared" si="7"/>
        <v>0</v>
      </c>
      <c r="AG28" s="34">
        <v>0</v>
      </c>
      <c r="AH28" s="34">
        <v>0</v>
      </c>
      <c r="AI28" s="34">
        <v>0</v>
      </c>
      <c r="AJ28" s="34">
        <v>0</v>
      </c>
      <c r="AK28" s="34">
        <v>0</v>
      </c>
      <c r="AL28" s="34">
        <v>0</v>
      </c>
      <c r="AM28" s="34">
        <v>0</v>
      </c>
      <c r="AN28" s="34">
        <v>0</v>
      </c>
      <c r="AO28" s="34">
        <v>0</v>
      </c>
      <c r="AP28" s="34">
        <v>1753.4070426666665</v>
      </c>
      <c r="AQ28" s="34">
        <f t="shared" si="8"/>
        <v>1753.4070426666665</v>
      </c>
      <c r="AR28" s="34">
        <f t="shared" si="9"/>
        <v>0</v>
      </c>
      <c r="AS28" s="34">
        <f t="shared" si="10"/>
        <v>0</v>
      </c>
      <c r="AT28" t="str">
        <f t="shared" si="11"/>
        <v>SIN BONUS</v>
      </c>
    </row>
    <row r="29" spans="1:46" x14ac:dyDescent="0.25">
      <c r="A29" t="s">
        <v>98</v>
      </c>
      <c r="B29" t="s">
        <v>173</v>
      </c>
      <c r="C29" s="34">
        <v>5300</v>
      </c>
      <c r="D29" s="34">
        <v>441.66666666666669</v>
      </c>
      <c r="E29" s="34">
        <v>1616.6861666666666</v>
      </c>
      <c r="F29" s="34">
        <f t="shared" si="0"/>
        <v>2058.3528333333334</v>
      </c>
      <c r="G29" s="34">
        <v>0</v>
      </c>
      <c r="H29" s="34">
        <v>1616.6861666666666</v>
      </c>
      <c r="I29" s="34">
        <v>1984.741759166667</v>
      </c>
      <c r="J29" s="34">
        <f t="shared" si="1"/>
        <v>368.05559250000033</v>
      </c>
      <c r="K29" s="34">
        <v>1568.0750925000002</v>
      </c>
      <c r="L29" s="34">
        <v>2009.741759166667</v>
      </c>
      <c r="M29" s="34">
        <f t="shared" si="2"/>
        <v>441.66666666666674</v>
      </c>
      <c r="N29" s="34">
        <v>0</v>
      </c>
      <c r="O29" s="34">
        <v>0</v>
      </c>
      <c r="P29" s="34">
        <f t="shared" si="3"/>
        <v>0</v>
      </c>
      <c r="Q29" s="34">
        <v>0</v>
      </c>
      <c r="R29" s="34">
        <v>0</v>
      </c>
      <c r="S29" s="34">
        <f t="shared" si="4"/>
        <v>0</v>
      </c>
      <c r="T29" s="34">
        <v>0</v>
      </c>
      <c r="U29" s="34">
        <v>0</v>
      </c>
      <c r="V29" s="34">
        <f t="shared" si="5"/>
        <v>0</v>
      </c>
      <c r="W29" s="34">
        <v>19.583333333333336</v>
      </c>
      <c r="X29" s="34">
        <v>6.4583333333333348</v>
      </c>
      <c r="Y29" s="34">
        <v>0.41666666666666674</v>
      </c>
      <c r="Z29" s="34">
        <v>0.62500000000000011</v>
      </c>
      <c r="AA29" s="34">
        <v>0</v>
      </c>
      <c r="AB29" s="34">
        <v>0</v>
      </c>
      <c r="AC29" s="34">
        <v>0</v>
      </c>
      <c r="AD29" s="34">
        <v>101.92488101250001</v>
      </c>
      <c r="AE29" s="34">
        <f t="shared" si="6"/>
        <v>129.00821434583335</v>
      </c>
      <c r="AF29" s="34">
        <f t="shared" si="7"/>
        <v>27.083333333333343</v>
      </c>
      <c r="AG29" s="34">
        <v>98.333333333333343</v>
      </c>
      <c r="AH29" s="34">
        <v>22.916666666666671</v>
      </c>
      <c r="AI29" s="34">
        <v>0.83333333333333348</v>
      </c>
      <c r="AJ29" s="34">
        <v>2.5000000000000004</v>
      </c>
      <c r="AK29" s="34">
        <v>3.1250000000000004</v>
      </c>
      <c r="AL29" s="34">
        <v>6.2500000000000009</v>
      </c>
      <c r="AM29" s="34">
        <v>0</v>
      </c>
      <c r="AN29" s="34">
        <v>0</v>
      </c>
      <c r="AO29" s="34">
        <v>0</v>
      </c>
      <c r="AP29" s="34">
        <v>504.13614223875004</v>
      </c>
      <c r="AQ29" s="34">
        <f t="shared" si="8"/>
        <v>638.09447557208341</v>
      </c>
      <c r="AR29" s="34">
        <f t="shared" si="9"/>
        <v>133.95833333333337</v>
      </c>
      <c r="AS29" s="34">
        <f t="shared" si="10"/>
        <v>161.04166666666671</v>
      </c>
      <c r="AT29" t="str">
        <f t="shared" si="11"/>
        <v>OK</v>
      </c>
    </row>
    <row r="30" spans="1:46" x14ac:dyDescent="0.25">
      <c r="A30" t="s">
        <v>98</v>
      </c>
      <c r="B30" t="s">
        <v>176</v>
      </c>
      <c r="C30" s="34">
        <v>5300</v>
      </c>
      <c r="D30" s="34">
        <v>441.66666666666669</v>
      </c>
      <c r="E30" s="34">
        <v>1616.6861666666666</v>
      </c>
      <c r="F30" s="34">
        <f t="shared" si="0"/>
        <v>2058.3528333333334</v>
      </c>
      <c r="G30" s="34">
        <v>0</v>
      </c>
      <c r="H30" s="34">
        <v>1616.6861666666666</v>
      </c>
      <c r="I30" s="34">
        <v>1984.741759166667</v>
      </c>
      <c r="J30" s="34">
        <f t="shared" si="1"/>
        <v>368.05559250000033</v>
      </c>
      <c r="K30" s="34">
        <v>1568.0750925000002</v>
      </c>
      <c r="L30" s="34">
        <v>2009.741759166667</v>
      </c>
      <c r="M30" s="34">
        <f t="shared" si="2"/>
        <v>441.66666666666674</v>
      </c>
      <c r="N30" s="34">
        <v>0</v>
      </c>
      <c r="O30" s="34">
        <v>0</v>
      </c>
      <c r="P30" s="34">
        <f t="shared" si="3"/>
        <v>0</v>
      </c>
      <c r="Q30" s="34">
        <v>0</v>
      </c>
      <c r="R30" s="34">
        <v>0</v>
      </c>
      <c r="S30" s="34">
        <f t="shared" si="4"/>
        <v>0</v>
      </c>
      <c r="T30" s="34">
        <v>0</v>
      </c>
      <c r="U30" s="34">
        <v>0</v>
      </c>
      <c r="V30" s="34">
        <f t="shared" si="5"/>
        <v>0</v>
      </c>
      <c r="W30" s="34">
        <v>19.583333333333336</v>
      </c>
      <c r="X30" s="34">
        <v>6.4583333333333348</v>
      </c>
      <c r="Y30" s="34">
        <v>0.41666666666666674</v>
      </c>
      <c r="Z30" s="34">
        <v>0.62500000000000011</v>
      </c>
      <c r="AA30" s="34">
        <v>0</v>
      </c>
      <c r="AB30" s="34">
        <v>0</v>
      </c>
      <c r="AC30" s="34">
        <v>0</v>
      </c>
      <c r="AD30" s="34">
        <v>101.92488101250001</v>
      </c>
      <c r="AE30" s="34">
        <f t="shared" si="6"/>
        <v>129.00821434583335</v>
      </c>
      <c r="AF30" s="34">
        <f t="shared" si="7"/>
        <v>27.083333333333343</v>
      </c>
      <c r="AG30" s="34">
        <v>98.333333333333343</v>
      </c>
      <c r="AH30" s="34">
        <v>22.916666666666671</v>
      </c>
      <c r="AI30" s="34">
        <v>0.83333333333333348</v>
      </c>
      <c r="AJ30" s="34">
        <v>2.5000000000000004</v>
      </c>
      <c r="AK30" s="34">
        <v>3.1250000000000004</v>
      </c>
      <c r="AL30" s="34">
        <v>6.2500000000000009</v>
      </c>
      <c r="AM30" s="34">
        <v>0</v>
      </c>
      <c r="AN30" s="34">
        <v>0</v>
      </c>
      <c r="AO30" s="34">
        <v>0</v>
      </c>
      <c r="AP30" s="34">
        <v>504.13614223875004</v>
      </c>
      <c r="AQ30" s="34">
        <f t="shared" si="8"/>
        <v>638.09447557208341</v>
      </c>
      <c r="AR30" s="34">
        <f t="shared" si="9"/>
        <v>133.95833333333337</v>
      </c>
      <c r="AS30" s="34">
        <f t="shared" si="10"/>
        <v>161.04166666666671</v>
      </c>
      <c r="AT30" t="str">
        <f t="shared" si="11"/>
        <v>OK</v>
      </c>
    </row>
    <row r="31" spans="1:46" x14ac:dyDescent="0.25">
      <c r="A31" t="s">
        <v>98</v>
      </c>
      <c r="B31" t="s">
        <v>177</v>
      </c>
      <c r="C31" s="34">
        <v>5300</v>
      </c>
      <c r="D31" s="34">
        <v>441.66666666666669</v>
      </c>
      <c r="E31" s="34">
        <v>1616.6861666666666</v>
      </c>
      <c r="F31" s="34">
        <f t="shared" si="0"/>
        <v>2058.3528333333334</v>
      </c>
      <c r="G31" s="34">
        <v>0</v>
      </c>
      <c r="H31" s="34">
        <v>1616.6861666666666</v>
      </c>
      <c r="I31" s="34">
        <v>1984.741759166667</v>
      </c>
      <c r="J31" s="34">
        <f t="shared" si="1"/>
        <v>368.05559250000033</v>
      </c>
      <c r="K31" s="34">
        <v>1568.0750925000002</v>
      </c>
      <c r="L31" s="34">
        <v>2009.741759166667</v>
      </c>
      <c r="M31" s="34">
        <f t="shared" si="2"/>
        <v>441.66666666666674</v>
      </c>
      <c r="N31" s="34">
        <v>0</v>
      </c>
      <c r="O31" s="34">
        <v>0</v>
      </c>
      <c r="P31" s="34">
        <f t="shared" si="3"/>
        <v>0</v>
      </c>
      <c r="Q31" s="34">
        <v>0</v>
      </c>
      <c r="R31" s="34">
        <v>0</v>
      </c>
      <c r="S31" s="34">
        <f t="shared" si="4"/>
        <v>0</v>
      </c>
      <c r="T31" s="34">
        <v>0</v>
      </c>
      <c r="U31" s="34">
        <v>0</v>
      </c>
      <c r="V31" s="34">
        <f t="shared" si="5"/>
        <v>0</v>
      </c>
      <c r="W31" s="34">
        <v>19.583333333333336</v>
      </c>
      <c r="X31" s="34">
        <v>6.4583333333333348</v>
      </c>
      <c r="Y31" s="34">
        <v>0.41666666666666674</v>
      </c>
      <c r="Z31" s="34">
        <v>0.62500000000000011</v>
      </c>
      <c r="AA31" s="34">
        <v>0</v>
      </c>
      <c r="AB31" s="34">
        <v>0</v>
      </c>
      <c r="AC31" s="34">
        <v>0</v>
      </c>
      <c r="AD31" s="34">
        <v>101.92488101250001</v>
      </c>
      <c r="AE31" s="34">
        <f t="shared" si="6"/>
        <v>129.00821434583335</v>
      </c>
      <c r="AF31" s="34">
        <f t="shared" si="7"/>
        <v>27.083333333333343</v>
      </c>
      <c r="AG31" s="34">
        <v>98.333333333333343</v>
      </c>
      <c r="AH31" s="34">
        <v>22.916666666666671</v>
      </c>
      <c r="AI31" s="34">
        <v>0.83333333333333348</v>
      </c>
      <c r="AJ31" s="34">
        <v>2.5000000000000004</v>
      </c>
      <c r="AK31" s="34">
        <v>3.1250000000000004</v>
      </c>
      <c r="AL31" s="34">
        <v>6.2500000000000009</v>
      </c>
      <c r="AM31" s="34">
        <v>0</v>
      </c>
      <c r="AN31" s="34">
        <v>0</v>
      </c>
      <c r="AO31" s="34">
        <v>0</v>
      </c>
      <c r="AP31" s="34">
        <v>504.13614223875004</v>
      </c>
      <c r="AQ31" s="34">
        <f t="shared" si="8"/>
        <v>638.09447557208341</v>
      </c>
      <c r="AR31" s="34">
        <f t="shared" si="9"/>
        <v>133.95833333333337</v>
      </c>
      <c r="AS31" s="34">
        <f t="shared" si="10"/>
        <v>161.04166666666671</v>
      </c>
      <c r="AT31" t="str">
        <f t="shared" si="11"/>
        <v>OK</v>
      </c>
    </row>
    <row r="32" spans="1:46" x14ac:dyDescent="0.25">
      <c r="A32" t="s">
        <v>98</v>
      </c>
      <c r="B32" t="s">
        <v>178</v>
      </c>
      <c r="C32" s="34">
        <v>5300</v>
      </c>
      <c r="D32" s="34">
        <v>441.66666666666669</v>
      </c>
      <c r="E32" s="34">
        <v>1616.6861666666666</v>
      </c>
      <c r="F32" s="34">
        <f t="shared" si="0"/>
        <v>2058.3528333333334</v>
      </c>
      <c r="G32" s="34">
        <v>0</v>
      </c>
      <c r="H32" s="34">
        <v>1616.6861666666666</v>
      </c>
      <c r="I32" s="34">
        <v>1984.741759166667</v>
      </c>
      <c r="J32" s="34">
        <f t="shared" si="1"/>
        <v>368.05559250000033</v>
      </c>
      <c r="K32" s="34">
        <v>1568.0750925000002</v>
      </c>
      <c r="L32" s="34">
        <v>2009.741759166667</v>
      </c>
      <c r="M32" s="34">
        <f t="shared" si="2"/>
        <v>441.66666666666674</v>
      </c>
      <c r="N32" s="34">
        <v>0</v>
      </c>
      <c r="O32" s="34">
        <v>0</v>
      </c>
      <c r="P32" s="34">
        <f t="shared" si="3"/>
        <v>0</v>
      </c>
      <c r="Q32" s="34">
        <v>0</v>
      </c>
      <c r="R32" s="34">
        <v>0</v>
      </c>
      <c r="S32" s="34">
        <f t="shared" si="4"/>
        <v>0</v>
      </c>
      <c r="T32" s="34">
        <v>0</v>
      </c>
      <c r="U32" s="34">
        <v>0</v>
      </c>
      <c r="V32" s="34">
        <f t="shared" si="5"/>
        <v>0</v>
      </c>
      <c r="W32" s="34">
        <v>19.583333333333336</v>
      </c>
      <c r="X32" s="34">
        <v>6.4583333333333348</v>
      </c>
      <c r="Y32" s="34">
        <v>0.41666666666666674</v>
      </c>
      <c r="Z32" s="34">
        <v>0.62500000000000011</v>
      </c>
      <c r="AA32" s="34">
        <v>0</v>
      </c>
      <c r="AB32" s="34">
        <v>0</v>
      </c>
      <c r="AC32" s="34">
        <v>0</v>
      </c>
      <c r="AD32" s="34">
        <v>101.92488101250001</v>
      </c>
      <c r="AE32" s="34">
        <f t="shared" si="6"/>
        <v>129.00821434583335</v>
      </c>
      <c r="AF32" s="34">
        <f t="shared" si="7"/>
        <v>27.083333333333343</v>
      </c>
      <c r="AG32" s="34">
        <v>98.333333333333343</v>
      </c>
      <c r="AH32" s="34">
        <v>22.916666666666671</v>
      </c>
      <c r="AI32" s="34">
        <v>0.83333333333333348</v>
      </c>
      <c r="AJ32" s="34">
        <v>2.5000000000000004</v>
      </c>
      <c r="AK32" s="34">
        <v>3.1250000000000004</v>
      </c>
      <c r="AL32" s="34">
        <v>6.2500000000000009</v>
      </c>
      <c r="AM32" s="34">
        <v>0</v>
      </c>
      <c r="AN32" s="34">
        <v>0</v>
      </c>
      <c r="AO32" s="34">
        <v>0</v>
      </c>
      <c r="AP32" s="34">
        <v>504.13614223875004</v>
      </c>
      <c r="AQ32" s="34">
        <f t="shared" si="8"/>
        <v>638.09447557208341</v>
      </c>
      <c r="AR32" s="34">
        <f t="shared" si="9"/>
        <v>133.95833333333337</v>
      </c>
      <c r="AS32" s="34">
        <f t="shared" si="10"/>
        <v>161.04166666666671</v>
      </c>
      <c r="AT32" t="str">
        <f t="shared" si="11"/>
        <v>OK</v>
      </c>
    </row>
    <row r="33" spans="1:46" x14ac:dyDescent="0.25">
      <c r="A33" t="s">
        <v>98</v>
      </c>
      <c r="B33" t="s">
        <v>179</v>
      </c>
      <c r="C33" s="34">
        <v>5300</v>
      </c>
      <c r="D33" s="34">
        <v>441.66666666666669</v>
      </c>
      <c r="E33" s="34">
        <v>1616.6861666666666</v>
      </c>
      <c r="F33" s="34">
        <f t="shared" si="0"/>
        <v>2058.3528333333334</v>
      </c>
      <c r="G33" s="34">
        <v>0</v>
      </c>
      <c r="H33" s="34">
        <v>1616.6861666666666</v>
      </c>
      <c r="I33" s="34">
        <v>1984.741759166667</v>
      </c>
      <c r="J33" s="34">
        <f t="shared" si="1"/>
        <v>368.05559250000033</v>
      </c>
      <c r="K33" s="34">
        <v>1568.0750925000002</v>
      </c>
      <c r="L33" s="34">
        <v>2009.741759166667</v>
      </c>
      <c r="M33" s="34">
        <f t="shared" si="2"/>
        <v>441.66666666666674</v>
      </c>
      <c r="N33" s="34">
        <v>0</v>
      </c>
      <c r="O33" s="34">
        <v>0</v>
      </c>
      <c r="P33" s="34">
        <f t="shared" si="3"/>
        <v>0</v>
      </c>
      <c r="Q33" s="34">
        <v>0</v>
      </c>
      <c r="R33" s="34">
        <v>0</v>
      </c>
      <c r="S33" s="34">
        <f t="shared" si="4"/>
        <v>0</v>
      </c>
      <c r="T33" s="34">
        <v>0</v>
      </c>
      <c r="U33" s="34">
        <v>0</v>
      </c>
      <c r="V33" s="34">
        <f t="shared" si="5"/>
        <v>0</v>
      </c>
      <c r="W33" s="34">
        <v>19.583333333333336</v>
      </c>
      <c r="X33" s="34">
        <v>6.4583333333333348</v>
      </c>
      <c r="Y33" s="34">
        <v>0.41666666666666674</v>
      </c>
      <c r="Z33" s="34">
        <v>0.62500000000000011</v>
      </c>
      <c r="AA33" s="34">
        <v>0</v>
      </c>
      <c r="AB33" s="34">
        <v>0</v>
      </c>
      <c r="AC33" s="34">
        <v>0</v>
      </c>
      <c r="AD33" s="34">
        <v>101.92488101250001</v>
      </c>
      <c r="AE33" s="34">
        <f t="shared" si="6"/>
        <v>129.00821434583335</v>
      </c>
      <c r="AF33" s="34">
        <f t="shared" si="7"/>
        <v>27.083333333333343</v>
      </c>
      <c r="AG33" s="34">
        <v>98.333333333333343</v>
      </c>
      <c r="AH33" s="34">
        <v>22.916666666666671</v>
      </c>
      <c r="AI33" s="34">
        <v>0.83333333333333348</v>
      </c>
      <c r="AJ33" s="34">
        <v>2.5000000000000004</v>
      </c>
      <c r="AK33" s="34">
        <v>3.1250000000000004</v>
      </c>
      <c r="AL33" s="34">
        <v>6.2500000000000009</v>
      </c>
      <c r="AM33" s="34">
        <v>0</v>
      </c>
      <c r="AN33" s="34">
        <v>0</v>
      </c>
      <c r="AO33" s="34">
        <v>0</v>
      </c>
      <c r="AP33" s="34">
        <v>504.13614223875004</v>
      </c>
      <c r="AQ33" s="34">
        <f t="shared" si="8"/>
        <v>638.09447557208341</v>
      </c>
      <c r="AR33" s="34">
        <f t="shared" si="9"/>
        <v>133.95833333333337</v>
      </c>
      <c r="AS33" s="34">
        <f t="shared" si="10"/>
        <v>161.04166666666671</v>
      </c>
      <c r="AT33" t="str">
        <f t="shared" si="11"/>
        <v>OK</v>
      </c>
    </row>
    <row r="34" spans="1:46" x14ac:dyDescent="0.25">
      <c r="A34" t="s">
        <v>98</v>
      </c>
      <c r="B34" t="s">
        <v>180</v>
      </c>
      <c r="C34" s="34">
        <v>5300</v>
      </c>
      <c r="D34" s="34">
        <v>441.66666666666669</v>
      </c>
      <c r="E34" s="34">
        <v>1616.6861666666666</v>
      </c>
      <c r="F34" s="34">
        <f t="shared" si="0"/>
        <v>2058.3528333333334</v>
      </c>
      <c r="G34" s="34">
        <v>0</v>
      </c>
      <c r="H34" s="34">
        <v>1616.6861666666666</v>
      </c>
      <c r="I34" s="34">
        <v>1984.741759166667</v>
      </c>
      <c r="J34" s="34">
        <f t="shared" si="1"/>
        <v>368.05559250000033</v>
      </c>
      <c r="K34" s="34">
        <v>1568.0750925000002</v>
      </c>
      <c r="L34" s="34">
        <v>2009.741759166667</v>
      </c>
      <c r="M34" s="34">
        <f t="shared" si="2"/>
        <v>441.66666666666674</v>
      </c>
      <c r="N34" s="34">
        <v>0</v>
      </c>
      <c r="O34" s="34">
        <v>0</v>
      </c>
      <c r="P34" s="34">
        <f t="shared" si="3"/>
        <v>0</v>
      </c>
      <c r="Q34" s="34">
        <v>0</v>
      </c>
      <c r="R34" s="34">
        <v>0</v>
      </c>
      <c r="S34" s="34">
        <f t="shared" si="4"/>
        <v>0</v>
      </c>
      <c r="T34" s="34">
        <v>0</v>
      </c>
      <c r="U34" s="34">
        <v>0</v>
      </c>
      <c r="V34" s="34">
        <f t="shared" si="5"/>
        <v>0</v>
      </c>
      <c r="W34" s="34">
        <v>19.583333333333336</v>
      </c>
      <c r="X34" s="34">
        <v>6.4583333333333348</v>
      </c>
      <c r="Y34" s="34">
        <v>0.41666666666666674</v>
      </c>
      <c r="Z34" s="34">
        <v>0.62500000000000011</v>
      </c>
      <c r="AA34" s="34">
        <v>0</v>
      </c>
      <c r="AB34" s="34">
        <v>0</v>
      </c>
      <c r="AC34" s="34">
        <v>0</v>
      </c>
      <c r="AD34" s="34">
        <v>101.92488101250001</v>
      </c>
      <c r="AE34" s="34">
        <f t="shared" si="6"/>
        <v>129.00821434583335</v>
      </c>
      <c r="AF34" s="34">
        <f t="shared" si="7"/>
        <v>27.083333333333343</v>
      </c>
      <c r="AG34" s="34">
        <v>98.333333333333343</v>
      </c>
      <c r="AH34" s="34">
        <v>22.916666666666671</v>
      </c>
      <c r="AI34" s="34">
        <v>0.83333333333333348</v>
      </c>
      <c r="AJ34" s="34">
        <v>2.5000000000000004</v>
      </c>
      <c r="AK34" s="34">
        <v>3.1250000000000004</v>
      </c>
      <c r="AL34" s="34">
        <v>6.2500000000000009</v>
      </c>
      <c r="AM34" s="34">
        <v>0</v>
      </c>
      <c r="AN34" s="34">
        <v>0</v>
      </c>
      <c r="AO34" s="34">
        <v>0</v>
      </c>
      <c r="AP34" s="34">
        <v>504.13614223875004</v>
      </c>
      <c r="AQ34" s="34">
        <f t="shared" si="8"/>
        <v>638.09447557208341</v>
      </c>
      <c r="AR34" s="34">
        <f t="shared" si="9"/>
        <v>133.95833333333337</v>
      </c>
      <c r="AS34" s="34">
        <f t="shared" si="10"/>
        <v>161.04166666666671</v>
      </c>
      <c r="AT34" t="str">
        <f t="shared" si="11"/>
        <v>OK</v>
      </c>
    </row>
    <row r="35" spans="1:46" x14ac:dyDescent="0.25">
      <c r="A35" t="s">
        <v>98</v>
      </c>
      <c r="B35" t="s">
        <v>183</v>
      </c>
      <c r="C35" s="34">
        <v>5300</v>
      </c>
      <c r="D35" s="34">
        <v>441.66666666666669</v>
      </c>
      <c r="E35" s="34">
        <v>1616.6861666666666</v>
      </c>
      <c r="F35" s="34">
        <f t="shared" si="0"/>
        <v>2058.3528333333334</v>
      </c>
      <c r="G35" s="34">
        <v>0</v>
      </c>
      <c r="H35" s="34">
        <v>1616.6861666666666</v>
      </c>
      <c r="I35" s="34">
        <v>1984.741759166667</v>
      </c>
      <c r="J35" s="34">
        <f t="shared" si="1"/>
        <v>368.05559250000033</v>
      </c>
      <c r="K35" s="34">
        <v>1568.0750925000002</v>
      </c>
      <c r="L35" s="34">
        <v>2009.741759166667</v>
      </c>
      <c r="M35" s="34">
        <f t="shared" si="2"/>
        <v>441.66666666666674</v>
      </c>
      <c r="N35" s="34">
        <v>0</v>
      </c>
      <c r="O35" s="34">
        <v>0</v>
      </c>
      <c r="P35" s="34">
        <f t="shared" si="3"/>
        <v>0</v>
      </c>
      <c r="Q35" s="34">
        <v>0</v>
      </c>
      <c r="R35" s="34">
        <v>0</v>
      </c>
      <c r="S35" s="34">
        <f t="shared" si="4"/>
        <v>0</v>
      </c>
      <c r="T35" s="34">
        <v>0</v>
      </c>
      <c r="U35" s="34">
        <v>0</v>
      </c>
      <c r="V35" s="34">
        <f t="shared" si="5"/>
        <v>0</v>
      </c>
      <c r="W35" s="34">
        <v>19.583333333333336</v>
      </c>
      <c r="X35" s="34">
        <v>6.4583333333333348</v>
      </c>
      <c r="Y35" s="34">
        <v>0.41666666666666674</v>
      </c>
      <c r="Z35" s="34">
        <v>0.62500000000000011</v>
      </c>
      <c r="AA35" s="34">
        <v>0</v>
      </c>
      <c r="AB35" s="34">
        <v>0</v>
      </c>
      <c r="AC35" s="34">
        <v>0</v>
      </c>
      <c r="AD35" s="34">
        <v>101.92488101250001</v>
      </c>
      <c r="AE35" s="34">
        <f t="shared" si="6"/>
        <v>129.00821434583335</v>
      </c>
      <c r="AF35" s="34">
        <f t="shared" si="7"/>
        <v>27.083333333333343</v>
      </c>
      <c r="AG35" s="34">
        <v>98.333333333333343</v>
      </c>
      <c r="AH35" s="34">
        <v>22.916666666666671</v>
      </c>
      <c r="AI35" s="34">
        <v>0.83333333333333348</v>
      </c>
      <c r="AJ35" s="34">
        <v>2.5000000000000004</v>
      </c>
      <c r="AK35" s="34">
        <v>3.1250000000000004</v>
      </c>
      <c r="AL35" s="34">
        <v>6.2500000000000009</v>
      </c>
      <c r="AM35" s="34">
        <v>0</v>
      </c>
      <c r="AN35" s="34">
        <v>0</v>
      </c>
      <c r="AO35" s="34">
        <v>0</v>
      </c>
      <c r="AP35" s="34">
        <v>504.13614223875004</v>
      </c>
      <c r="AQ35" s="34">
        <f t="shared" si="8"/>
        <v>638.09447557208341</v>
      </c>
      <c r="AR35" s="34">
        <f t="shared" si="9"/>
        <v>133.95833333333337</v>
      </c>
      <c r="AS35" s="34">
        <f t="shared" si="10"/>
        <v>161.04166666666671</v>
      </c>
      <c r="AT35" t="str">
        <f t="shared" si="11"/>
        <v>OK</v>
      </c>
    </row>
    <row r="36" spans="1:46" x14ac:dyDescent="0.25">
      <c r="A36" t="s">
        <v>98</v>
      </c>
      <c r="B36" t="s">
        <v>184</v>
      </c>
      <c r="C36" s="34">
        <v>5300</v>
      </c>
      <c r="D36" s="34">
        <v>441.66666666666669</v>
      </c>
      <c r="E36" s="34">
        <v>1616.6861666666666</v>
      </c>
      <c r="F36" s="34">
        <f t="shared" si="0"/>
        <v>2058.3528333333334</v>
      </c>
      <c r="G36" s="34">
        <v>0</v>
      </c>
      <c r="H36" s="34">
        <v>1616.6861666666666</v>
      </c>
      <c r="I36" s="34">
        <v>1984.741759166667</v>
      </c>
      <c r="J36" s="34">
        <f t="shared" si="1"/>
        <v>368.05559250000033</v>
      </c>
      <c r="K36" s="34">
        <v>1568.0750925000002</v>
      </c>
      <c r="L36" s="34">
        <v>2009.741759166667</v>
      </c>
      <c r="M36" s="34">
        <f t="shared" si="2"/>
        <v>441.66666666666674</v>
      </c>
      <c r="N36" s="34">
        <v>0</v>
      </c>
      <c r="O36" s="34">
        <v>0</v>
      </c>
      <c r="P36" s="34">
        <f t="shared" si="3"/>
        <v>0</v>
      </c>
      <c r="Q36" s="34">
        <v>0</v>
      </c>
      <c r="R36" s="34">
        <v>0</v>
      </c>
      <c r="S36" s="34">
        <f t="shared" si="4"/>
        <v>0</v>
      </c>
      <c r="T36" s="34">
        <v>0</v>
      </c>
      <c r="U36" s="34">
        <v>0</v>
      </c>
      <c r="V36" s="34">
        <f t="shared" si="5"/>
        <v>0</v>
      </c>
      <c r="W36" s="34">
        <v>19.583333333333336</v>
      </c>
      <c r="X36" s="34">
        <v>6.4583333333333348</v>
      </c>
      <c r="Y36" s="34">
        <v>0.41666666666666674</v>
      </c>
      <c r="Z36" s="34">
        <v>0.62500000000000011</v>
      </c>
      <c r="AA36" s="34">
        <v>0</v>
      </c>
      <c r="AB36" s="34">
        <v>0</v>
      </c>
      <c r="AC36" s="34">
        <v>0</v>
      </c>
      <c r="AD36" s="34">
        <v>101.92488101250001</v>
      </c>
      <c r="AE36" s="34">
        <f t="shared" si="6"/>
        <v>129.00821434583335</v>
      </c>
      <c r="AF36" s="34">
        <f t="shared" si="7"/>
        <v>27.083333333333343</v>
      </c>
      <c r="AG36" s="34">
        <v>98.333333333333343</v>
      </c>
      <c r="AH36" s="34">
        <v>22.916666666666671</v>
      </c>
      <c r="AI36" s="34">
        <v>0.83333333333333348</v>
      </c>
      <c r="AJ36" s="34">
        <v>2.5000000000000004</v>
      </c>
      <c r="AK36" s="34">
        <v>3.1250000000000004</v>
      </c>
      <c r="AL36" s="34">
        <v>6.2500000000000009</v>
      </c>
      <c r="AM36" s="34">
        <v>0</v>
      </c>
      <c r="AN36" s="34">
        <v>0</v>
      </c>
      <c r="AO36" s="34">
        <v>0</v>
      </c>
      <c r="AP36" s="34">
        <v>504.13614223875004</v>
      </c>
      <c r="AQ36" s="34">
        <f t="shared" si="8"/>
        <v>638.09447557208341</v>
      </c>
      <c r="AR36" s="34">
        <f t="shared" si="9"/>
        <v>133.95833333333337</v>
      </c>
      <c r="AS36" s="34">
        <f t="shared" si="10"/>
        <v>161.04166666666671</v>
      </c>
      <c r="AT36" t="str">
        <f t="shared" si="11"/>
        <v>OK</v>
      </c>
    </row>
    <row r="37" spans="1:46" x14ac:dyDescent="0.25">
      <c r="A37" t="s">
        <v>98</v>
      </c>
      <c r="B37" t="s">
        <v>185</v>
      </c>
      <c r="C37" s="34">
        <v>5300</v>
      </c>
      <c r="D37" s="34">
        <v>441.66666666666669</v>
      </c>
      <c r="E37" s="34">
        <v>1616.6861666666666</v>
      </c>
      <c r="F37" s="34">
        <f t="shared" si="0"/>
        <v>2058.3528333333334</v>
      </c>
      <c r="G37" s="34">
        <v>0</v>
      </c>
      <c r="H37" s="34">
        <v>1616.6861666666666</v>
      </c>
      <c r="I37" s="34">
        <v>1984.741759166667</v>
      </c>
      <c r="J37" s="34">
        <f t="shared" si="1"/>
        <v>368.05559250000033</v>
      </c>
      <c r="K37" s="34">
        <v>1568.0750925000002</v>
      </c>
      <c r="L37" s="34">
        <v>2009.741759166667</v>
      </c>
      <c r="M37" s="34">
        <f t="shared" si="2"/>
        <v>441.66666666666674</v>
      </c>
      <c r="N37" s="34">
        <v>0</v>
      </c>
      <c r="O37" s="34">
        <v>0</v>
      </c>
      <c r="P37" s="34">
        <f t="shared" si="3"/>
        <v>0</v>
      </c>
      <c r="Q37" s="34">
        <v>0</v>
      </c>
      <c r="R37" s="34">
        <v>0</v>
      </c>
      <c r="S37" s="34">
        <f t="shared" si="4"/>
        <v>0</v>
      </c>
      <c r="T37" s="34">
        <v>0</v>
      </c>
      <c r="U37" s="34">
        <v>0</v>
      </c>
      <c r="V37" s="34">
        <f t="shared" si="5"/>
        <v>0</v>
      </c>
      <c r="W37" s="34">
        <v>19.583333333333336</v>
      </c>
      <c r="X37" s="34">
        <v>6.4583333333333348</v>
      </c>
      <c r="Y37" s="34">
        <v>0.41666666666666674</v>
      </c>
      <c r="Z37" s="34">
        <v>0.62500000000000011</v>
      </c>
      <c r="AA37" s="34">
        <v>0</v>
      </c>
      <c r="AB37" s="34">
        <v>0</v>
      </c>
      <c r="AC37" s="34">
        <v>0</v>
      </c>
      <c r="AD37" s="34">
        <v>101.92488101250001</v>
      </c>
      <c r="AE37" s="34">
        <f t="shared" si="6"/>
        <v>129.00821434583335</v>
      </c>
      <c r="AF37" s="34">
        <f t="shared" si="7"/>
        <v>27.083333333333343</v>
      </c>
      <c r="AG37" s="34">
        <v>98.333333333333343</v>
      </c>
      <c r="AH37" s="34">
        <v>22.916666666666671</v>
      </c>
      <c r="AI37" s="34">
        <v>0.83333333333333348</v>
      </c>
      <c r="AJ37" s="34">
        <v>2.5000000000000004</v>
      </c>
      <c r="AK37" s="34">
        <v>3.1250000000000004</v>
      </c>
      <c r="AL37" s="34">
        <v>6.2500000000000009</v>
      </c>
      <c r="AM37" s="34">
        <v>0</v>
      </c>
      <c r="AN37" s="34">
        <v>0</v>
      </c>
      <c r="AO37" s="34">
        <v>0</v>
      </c>
      <c r="AP37" s="34">
        <v>504.13614223875004</v>
      </c>
      <c r="AQ37" s="34">
        <f t="shared" si="8"/>
        <v>638.09447557208341</v>
      </c>
      <c r="AR37" s="34">
        <f t="shared" si="9"/>
        <v>133.95833333333337</v>
      </c>
      <c r="AS37" s="34">
        <f t="shared" si="10"/>
        <v>161.04166666666671</v>
      </c>
      <c r="AT37" t="str">
        <f t="shared" si="11"/>
        <v>OK</v>
      </c>
    </row>
    <row r="38" spans="1:46" x14ac:dyDescent="0.25">
      <c r="A38" t="s">
        <v>98</v>
      </c>
      <c r="B38" t="s">
        <v>186</v>
      </c>
      <c r="C38" s="34">
        <v>5300</v>
      </c>
      <c r="D38" s="34">
        <v>441.66666666666669</v>
      </c>
      <c r="E38" s="34">
        <v>1616.6861666666666</v>
      </c>
      <c r="F38" s="34">
        <f t="shared" si="0"/>
        <v>2058.3528333333334</v>
      </c>
      <c r="G38" s="34">
        <v>0</v>
      </c>
      <c r="H38" s="34">
        <v>1616.6861666666666</v>
      </c>
      <c r="I38" s="34">
        <v>1984.741759166667</v>
      </c>
      <c r="J38" s="34">
        <f t="shared" si="1"/>
        <v>368.05559250000033</v>
      </c>
      <c r="K38" s="34">
        <v>1568.0750925000002</v>
      </c>
      <c r="L38" s="34">
        <v>2009.741759166667</v>
      </c>
      <c r="M38" s="34">
        <f t="shared" si="2"/>
        <v>441.66666666666674</v>
      </c>
      <c r="N38" s="34">
        <v>0</v>
      </c>
      <c r="O38" s="34">
        <v>0</v>
      </c>
      <c r="P38" s="34">
        <f t="shared" si="3"/>
        <v>0</v>
      </c>
      <c r="Q38" s="34">
        <v>0</v>
      </c>
      <c r="R38" s="34">
        <v>0</v>
      </c>
      <c r="S38" s="34">
        <f t="shared" si="4"/>
        <v>0</v>
      </c>
      <c r="T38" s="34">
        <v>0</v>
      </c>
      <c r="U38" s="34">
        <v>0</v>
      </c>
      <c r="V38" s="34">
        <f t="shared" si="5"/>
        <v>0</v>
      </c>
      <c r="W38" s="34">
        <v>19.583333333333336</v>
      </c>
      <c r="X38" s="34">
        <v>6.4583333333333348</v>
      </c>
      <c r="Y38" s="34">
        <v>0.41666666666666674</v>
      </c>
      <c r="Z38" s="34">
        <v>0.62500000000000011</v>
      </c>
      <c r="AA38" s="34">
        <v>0</v>
      </c>
      <c r="AB38" s="34">
        <v>0</v>
      </c>
      <c r="AC38" s="34">
        <v>0</v>
      </c>
      <c r="AD38" s="34">
        <v>101.92488101250001</v>
      </c>
      <c r="AE38" s="34">
        <f t="shared" si="6"/>
        <v>129.00821434583335</v>
      </c>
      <c r="AF38" s="34">
        <f t="shared" si="7"/>
        <v>27.083333333333343</v>
      </c>
      <c r="AG38" s="34">
        <v>98.333333333333343</v>
      </c>
      <c r="AH38" s="34">
        <v>22.916666666666671</v>
      </c>
      <c r="AI38" s="34">
        <v>0.83333333333333348</v>
      </c>
      <c r="AJ38" s="34">
        <v>2.5000000000000004</v>
      </c>
      <c r="AK38" s="34">
        <v>3.1250000000000004</v>
      </c>
      <c r="AL38" s="34">
        <v>6.2500000000000009</v>
      </c>
      <c r="AM38" s="34">
        <v>0</v>
      </c>
      <c r="AN38" s="34">
        <v>0</v>
      </c>
      <c r="AO38" s="34">
        <v>0</v>
      </c>
      <c r="AP38" s="34">
        <v>504.13614223875004</v>
      </c>
      <c r="AQ38" s="34">
        <f t="shared" si="8"/>
        <v>638.09447557208341</v>
      </c>
      <c r="AR38" s="34">
        <f t="shared" si="9"/>
        <v>133.95833333333337</v>
      </c>
      <c r="AS38" s="34">
        <f t="shared" si="10"/>
        <v>161.04166666666671</v>
      </c>
      <c r="AT38" t="str">
        <f t="shared" si="11"/>
        <v>OK</v>
      </c>
    </row>
    <row r="39" spans="1:46" x14ac:dyDescent="0.25">
      <c r="A39" t="s">
        <v>98</v>
      </c>
      <c r="B39" t="s">
        <v>187</v>
      </c>
      <c r="C39" s="34">
        <v>5300</v>
      </c>
      <c r="D39" s="34">
        <v>441.66666666666669</v>
      </c>
      <c r="E39" s="34">
        <v>1616.6861666666666</v>
      </c>
      <c r="F39" s="34">
        <f t="shared" si="0"/>
        <v>2058.3528333333334</v>
      </c>
      <c r="G39" s="34">
        <v>0</v>
      </c>
      <c r="H39" s="34">
        <v>1616.6861666666666</v>
      </c>
      <c r="I39" s="34">
        <v>1984.741759166667</v>
      </c>
      <c r="J39" s="34">
        <f t="shared" si="1"/>
        <v>368.05559250000033</v>
      </c>
      <c r="K39" s="34">
        <v>1568.0750925000002</v>
      </c>
      <c r="L39" s="34">
        <v>2009.741759166667</v>
      </c>
      <c r="M39" s="34">
        <f t="shared" si="2"/>
        <v>441.66666666666674</v>
      </c>
      <c r="N39" s="34">
        <v>0</v>
      </c>
      <c r="O39" s="34">
        <v>0</v>
      </c>
      <c r="P39" s="34">
        <f t="shared" si="3"/>
        <v>0</v>
      </c>
      <c r="Q39" s="34">
        <v>0</v>
      </c>
      <c r="R39" s="34">
        <v>0</v>
      </c>
      <c r="S39" s="34">
        <f t="shared" si="4"/>
        <v>0</v>
      </c>
      <c r="T39" s="34">
        <v>0</v>
      </c>
      <c r="U39" s="34">
        <v>0</v>
      </c>
      <c r="V39" s="34">
        <f t="shared" si="5"/>
        <v>0</v>
      </c>
      <c r="W39" s="34">
        <v>19.583333333333336</v>
      </c>
      <c r="X39" s="34">
        <v>6.4583333333333348</v>
      </c>
      <c r="Y39" s="34">
        <v>0.41666666666666674</v>
      </c>
      <c r="Z39" s="34">
        <v>0.62500000000000011</v>
      </c>
      <c r="AA39" s="34">
        <v>0</v>
      </c>
      <c r="AB39" s="34">
        <v>0</v>
      </c>
      <c r="AC39" s="34">
        <v>0</v>
      </c>
      <c r="AD39" s="34">
        <v>101.92488101250001</v>
      </c>
      <c r="AE39" s="34">
        <f t="shared" si="6"/>
        <v>129.00821434583335</v>
      </c>
      <c r="AF39" s="34">
        <f t="shared" si="7"/>
        <v>27.083333333333343</v>
      </c>
      <c r="AG39" s="34">
        <v>98.333333333333343</v>
      </c>
      <c r="AH39" s="34">
        <v>22.916666666666671</v>
      </c>
      <c r="AI39" s="34">
        <v>0.83333333333333348</v>
      </c>
      <c r="AJ39" s="34">
        <v>2.5000000000000004</v>
      </c>
      <c r="AK39" s="34">
        <v>3.1250000000000004</v>
      </c>
      <c r="AL39" s="34">
        <v>6.2500000000000009</v>
      </c>
      <c r="AM39" s="34">
        <v>0</v>
      </c>
      <c r="AN39" s="34">
        <v>0</v>
      </c>
      <c r="AO39" s="34">
        <v>0</v>
      </c>
      <c r="AP39" s="34">
        <v>504.13614223875004</v>
      </c>
      <c r="AQ39" s="34">
        <f t="shared" si="8"/>
        <v>638.09447557208341</v>
      </c>
      <c r="AR39" s="34">
        <f t="shared" si="9"/>
        <v>133.95833333333337</v>
      </c>
      <c r="AS39" s="34">
        <f t="shared" si="10"/>
        <v>161.04166666666671</v>
      </c>
      <c r="AT39" t="str">
        <f t="shared" si="11"/>
        <v>OK</v>
      </c>
    </row>
    <row r="40" spans="1:46" x14ac:dyDescent="0.25">
      <c r="A40" t="s">
        <v>98</v>
      </c>
      <c r="B40" t="s">
        <v>189</v>
      </c>
      <c r="C40" s="34">
        <v>5300</v>
      </c>
      <c r="D40" s="34">
        <v>441.66666666666669</v>
      </c>
      <c r="E40" s="34">
        <v>1616.6861666666666</v>
      </c>
      <c r="F40" s="34">
        <f t="shared" si="0"/>
        <v>2058.3528333333334</v>
      </c>
      <c r="G40" s="34">
        <v>0</v>
      </c>
      <c r="H40" s="34">
        <v>1616.6861666666666</v>
      </c>
      <c r="I40" s="34">
        <v>1984.741759166667</v>
      </c>
      <c r="J40" s="34">
        <f t="shared" si="1"/>
        <v>368.05559250000033</v>
      </c>
      <c r="K40" s="34">
        <v>1568.0750925000002</v>
      </c>
      <c r="L40" s="34">
        <v>2009.741759166667</v>
      </c>
      <c r="M40" s="34">
        <f t="shared" si="2"/>
        <v>441.66666666666674</v>
      </c>
      <c r="N40" s="34">
        <v>0</v>
      </c>
      <c r="O40" s="34">
        <v>0</v>
      </c>
      <c r="P40" s="34">
        <f t="shared" si="3"/>
        <v>0</v>
      </c>
      <c r="Q40" s="34">
        <v>0</v>
      </c>
      <c r="R40" s="34">
        <v>0</v>
      </c>
      <c r="S40" s="34">
        <f t="shared" si="4"/>
        <v>0</v>
      </c>
      <c r="T40" s="34">
        <v>0</v>
      </c>
      <c r="U40" s="34">
        <v>0</v>
      </c>
      <c r="V40" s="34">
        <f t="shared" si="5"/>
        <v>0</v>
      </c>
      <c r="W40" s="34">
        <v>19.583333333333336</v>
      </c>
      <c r="X40" s="34">
        <v>6.4583333333333348</v>
      </c>
      <c r="Y40" s="34">
        <v>0.41666666666666674</v>
      </c>
      <c r="Z40" s="34">
        <v>0.62500000000000011</v>
      </c>
      <c r="AA40" s="34">
        <v>0</v>
      </c>
      <c r="AB40" s="34">
        <v>0</v>
      </c>
      <c r="AC40" s="34">
        <v>0</v>
      </c>
      <c r="AD40" s="34">
        <v>101.92488101250001</v>
      </c>
      <c r="AE40" s="34">
        <f t="shared" si="6"/>
        <v>129.00821434583335</v>
      </c>
      <c r="AF40" s="34">
        <f t="shared" si="7"/>
        <v>27.083333333333343</v>
      </c>
      <c r="AG40" s="34">
        <v>98.333333333333343</v>
      </c>
      <c r="AH40" s="34">
        <v>22.916666666666671</v>
      </c>
      <c r="AI40" s="34">
        <v>0.83333333333333348</v>
      </c>
      <c r="AJ40" s="34">
        <v>2.5000000000000004</v>
      </c>
      <c r="AK40" s="34">
        <v>3.1250000000000004</v>
      </c>
      <c r="AL40" s="34">
        <v>6.2500000000000009</v>
      </c>
      <c r="AM40" s="34">
        <v>0</v>
      </c>
      <c r="AN40" s="34">
        <v>0</v>
      </c>
      <c r="AO40" s="34">
        <v>0</v>
      </c>
      <c r="AP40" s="34">
        <v>504.13614223875004</v>
      </c>
      <c r="AQ40" s="34">
        <f t="shared" si="8"/>
        <v>638.09447557208341</v>
      </c>
      <c r="AR40" s="34">
        <f t="shared" si="9"/>
        <v>133.95833333333337</v>
      </c>
      <c r="AS40" s="34">
        <f t="shared" si="10"/>
        <v>161.04166666666671</v>
      </c>
      <c r="AT40" t="str">
        <f t="shared" si="11"/>
        <v>OK</v>
      </c>
    </row>
    <row r="41" spans="1:46" x14ac:dyDescent="0.25">
      <c r="A41" t="s">
        <v>100</v>
      </c>
      <c r="B41" t="s">
        <v>173</v>
      </c>
      <c r="C41" s="34">
        <v>20978</v>
      </c>
      <c r="D41" s="34">
        <v>1748.1666666666667</v>
      </c>
      <c r="E41" s="34">
        <v>4495.3439999999991</v>
      </c>
      <c r="F41" s="34">
        <f t="shared" si="0"/>
        <v>6243.5106666666661</v>
      </c>
      <c r="G41" s="34">
        <v>0</v>
      </c>
      <c r="H41" s="34">
        <v>4495.3439999999991</v>
      </c>
      <c r="I41" s="34">
        <v>5101.2</v>
      </c>
      <c r="J41" s="34">
        <f t="shared" si="1"/>
        <v>605.85600000000068</v>
      </c>
      <c r="K41" s="34">
        <v>4605.8863199999996</v>
      </c>
      <c r="L41" s="34">
        <v>5101.2</v>
      </c>
      <c r="M41" s="34">
        <f t="shared" si="2"/>
        <v>495.3136800000002</v>
      </c>
      <c r="N41" s="34">
        <v>0</v>
      </c>
      <c r="O41" s="34">
        <v>510.11999999999989</v>
      </c>
      <c r="P41" s="34">
        <f t="shared" si="3"/>
        <v>510.11999999999989</v>
      </c>
      <c r="Q41" s="34">
        <v>0</v>
      </c>
      <c r="R41" s="34">
        <v>796.81631999999991</v>
      </c>
      <c r="S41" s="34">
        <f t="shared" si="4"/>
        <v>796.81631999999991</v>
      </c>
      <c r="T41" s="34">
        <v>0</v>
      </c>
      <c r="U41" s="34">
        <v>0</v>
      </c>
      <c r="V41" s="34">
        <f t="shared" si="5"/>
        <v>0</v>
      </c>
      <c r="W41" s="34">
        <v>23.279742960000011</v>
      </c>
      <c r="X41" s="34">
        <v>7.6773620400000029</v>
      </c>
      <c r="Y41" s="34">
        <v>0.4953136800000002</v>
      </c>
      <c r="Z41" s="34">
        <v>0.7429705200000003</v>
      </c>
      <c r="AA41" s="34">
        <v>0.96922799999999976</v>
      </c>
      <c r="AB41" s="34">
        <v>1.6733142719999996</v>
      </c>
      <c r="AC41" s="34">
        <v>0</v>
      </c>
      <c r="AD41" s="34">
        <v>299.38261080000001</v>
      </c>
      <c r="AE41" s="34">
        <f t="shared" si="6"/>
        <v>334.22054227200005</v>
      </c>
      <c r="AF41" s="34">
        <f t="shared" si="7"/>
        <v>34.837931472000037</v>
      </c>
      <c r="AG41" s="34">
        <v>116.89402848000005</v>
      </c>
      <c r="AH41" s="34">
        <v>27.242252400000012</v>
      </c>
      <c r="AI41" s="34">
        <v>0.9906273600000004</v>
      </c>
      <c r="AJ41" s="34">
        <v>2.9718820800000012</v>
      </c>
      <c r="AK41" s="34">
        <v>3.7148526000000013</v>
      </c>
      <c r="AL41" s="34">
        <v>7.4297052000000026</v>
      </c>
      <c r="AM41" s="34">
        <v>4.8971519999999984</v>
      </c>
      <c r="AN41" s="34">
        <v>8.2868897279999985</v>
      </c>
      <c r="AO41" s="34">
        <v>0</v>
      </c>
      <c r="AP41" s="34">
        <v>1480.7924518799998</v>
      </c>
      <c r="AQ41" s="34">
        <f t="shared" si="8"/>
        <v>1653.2198417279999</v>
      </c>
      <c r="AR41" s="34">
        <f t="shared" si="9"/>
        <v>172.42738984800008</v>
      </c>
      <c r="AS41" s="34">
        <f t="shared" si="10"/>
        <v>207.26532132000011</v>
      </c>
      <c r="AT41" t="str">
        <f t="shared" si="11"/>
        <v>OK</v>
      </c>
    </row>
    <row r="42" spans="1:46" x14ac:dyDescent="0.25">
      <c r="A42" t="s">
        <v>100</v>
      </c>
      <c r="B42" t="s">
        <v>176</v>
      </c>
      <c r="C42" s="34">
        <v>20978</v>
      </c>
      <c r="D42" s="34">
        <v>1748.1666666666667</v>
      </c>
      <c r="E42" s="34">
        <v>4495.3439999999991</v>
      </c>
      <c r="F42" s="34">
        <f t="shared" si="0"/>
        <v>6243.5106666666661</v>
      </c>
      <c r="G42" s="34">
        <v>0</v>
      </c>
      <c r="H42" s="34">
        <v>4495.3439999999991</v>
      </c>
      <c r="I42" s="34">
        <v>5101.2</v>
      </c>
      <c r="J42" s="34">
        <f t="shared" si="1"/>
        <v>605.85600000000068</v>
      </c>
      <c r="K42" s="34">
        <v>4605.8863199999996</v>
      </c>
      <c r="L42" s="34">
        <v>5101.2</v>
      </c>
      <c r="M42" s="34">
        <f t="shared" si="2"/>
        <v>495.3136800000002</v>
      </c>
      <c r="N42" s="34">
        <v>0</v>
      </c>
      <c r="O42" s="34">
        <v>510.11999999999989</v>
      </c>
      <c r="P42" s="34">
        <f t="shared" si="3"/>
        <v>510.11999999999989</v>
      </c>
      <c r="Q42" s="34">
        <v>0</v>
      </c>
      <c r="R42" s="34">
        <v>796.81631999999991</v>
      </c>
      <c r="S42" s="34">
        <f t="shared" si="4"/>
        <v>796.81631999999991</v>
      </c>
      <c r="T42" s="34">
        <v>0</v>
      </c>
      <c r="U42" s="34">
        <v>0</v>
      </c>
      <c r="V42" s="34">
        <f t="shared" si="5"/>
        <v>0</v>
      </c>
      <c r="W42" s="34">
        <v>23.279742960000011</v>
      </c>
      <c r="X42" s="34">
        <v>7.6773620400000029</v>
      </c>
      <c r="Y42" s="34">
        <v>0.4953136800000002</v>
      </c>
      <c r="Z42" s="34">
        <v>0.7429705200000003</v>
      </c>
      <c r="AA42" s="34">
        <v>0.96922799999999976</v>
      </c>
      <c r="AB42" s="34">
        <v>1.6733142719999996</v>
      </c>
      <c r="AC42" s="34">
        <v>0</v>
      </c>
      <c r="AD42" s="34">
        <v>299.38261080000001</v>
      </c>
      <c r="AE42" s="34">
        <f t="shared" si="6"/>
        <v>334.22054227200005</v>
      </c>
      <c r="AF42" s="34">
        <f t="shared" si="7"/>
        <v>34.837931472000037</v>
      </c>
      <c r="AG42" s="34">
        <v>116.89402848000005</v>
      </c>
      <c r="AH42" s="34">
        <v>27.242252400000012</v>
      </c>
      <c r="AI42" s="34">
        <v>0.9906273600000004</v>
      </c>
      <c r="AJ42" s="34">
        <v>2.9718820800000012</v>
      </c>
      <c r="AK42" s="34">
        <v>3.7148526000000013</v>
      </c>
      <c r="AL42" s="34">
        <v>7.4297052000000026</v>
      </c>
      <c r="AM42" s="34">
        <v>4.8971519999999984</v>
      </c>
      <c r="AN42" s="34">
        <v>8.2868897279999985</v>
      </c>
      <c r="AO42" s="34">
        <v>0</v>
      </c>
      <c r="AP42" s="34">
        <v>1480.7924518799998</v>
      </c>
      <c r="AQ42" s="34">
        <f t="shared" si="8"/>
        <v>1653.2198417279999</v>
      </c>
      <c r="AR42" s="34">
        <f t="shared" si="9"/>
        <v>172.42738984800008</v>
      </c>
      <c r="AS42" s="34">
        <f t="shared" si="10"/>
        <v>207.26532132000011</v>
      </c>
      <c r="AT42" t="str">
        <f t="shared" si="11"/>
        <v>OK</v>
      </c>
    </row>
    <row r="43" spans="1:46" x14ac:dyDescent="0.25">
      <c r="A43" t="s">
        <v>100</v>
      </c>
      <c r="B43" t="s">
        <v>177</v>
      </c>
      <c r="C43" s="34">
        <v>20978</v>
      </c>
      <c r="D43" s="34">
        <v>1748.1666666666667</v>
      </c>
      <c r="E43" s="34">
        <v>4495.3439999999991</v>
      </c>
      <c r="F43" s="34">
        <f t="shared" si="0"/>
        <v>6243.5106666666661</v>
      </c>
      <c r="G43" s="34">
        <v>0</v>
      </c>
      <c r="H43" s="34">
        <v>4495.3439999999991</v>
      </c>
      <c r="I43" s="34">
        <v>5101.2</v>
      </c>
      <c r="J43" s="34">
        <f t="shared" si="1"/>
        <v>605.85600000000068</v>
      </c>
      <c r="K43" s="34">
        <v>4605.8863199999996</v>
      </c>
      <c r="L43" s="34">
        <v>5101.2</v>
      </c>
      <c r="M43" s="34">
        <f t="shared" si="2"/>
        <v>495.3136800000002</v>
      </c>
      <c r="N43" s="34">
        <v>0</v>
      </c>
      <c r="O43" s="34">
        <v>510.11999999999989</v>
      </c>
      <c r="P43" s="34">
        <f t="shared" si="3"/>
        <v>510.11999999999989</v>
      </c>
      <c r="Q43" s="34">
        <v>0</v>
      </c>
      <c r="R43" s="34">
        <v>796.81631999999991</v>
      </c>
      <c r="S43" s="34">
        <f t="shared" si="4"/>
        <v>796.81631999999991</v>
      </c>
      <c r="T43" s="34">
        <v>0</v>
      </c>
      <c r="U43" s="34">
        <v>0</v>
      </c>
      <c r="V43" s="34">
        <f t="shared" si="5"/>
        <v>0</v>
      </c>
      <c r="W43" s="34">
        <v>23.279742960000011</v>
      </c>
      <c r="X43" s="34">
        <v>7.6773620400000029</v>
      </c>
      <c r="Y43" s="34">
        <v>0.4953136800000002</v>
      </c>
      <c r="Z43" s="34">
        <v>0.7429705200000003</v>
      </c>
      <c r="AA43" s="34">
        <v>0.96922799999999976</v>
      </c>
      <c r="AB43" s="34">
        <v>1.6733142719999996</v>
      </c>
      <c r="AC43" s="34">
        <v>0</v>
      </c>
      <c r="AD43" s="34">
        <v>299.38261080000001</v>
      </c>
      <c r="AE43" s="34">
        <f t="shared" si="6"/>
        <v>334.22054227200005</v>
      </c>
      <c r="AF43" s="34">
        <f t="shared" si="7"/>
        <v>34.837931472000037</v>
      </c>
      <c r="AG43" s="34">
        <v>116.89402848000005</v>
      </c>
      <c r="AH43" s="34">
        <v>27.242252400000012</v>
      </c>
      <c r="AI43" s="34">
        <v>0.9906273600000004</v>
      </c>
      <c r="AJ43" s="34">
        <v>2.9718820800000012</v>
      </c>
      <c r="AK43" s="34">
        <v>3.7148526000000013</v>
      </c>
      <c r="AL43" s="34">
        <v>7.4297052000000026</v>
      </c>
      <c r="AM43" s="34">
        <v>4.8971519999999984</v>
      </c>
      <c r="AN43" s="34">
        <v>8.2868897279999985</v>
      </c>
      <c r="AO43" s="34">
        <v>0</v>
      </c>
      <c r="AP43" s="34">
        <v>1480.7924518799998</v>
      </c>
      <c r="AQ43" s="34">
        <f t="shared" si="8"/>
        <v>1653.2198417279999</v>
      </c>
      <c r="AR43" s="34">
        <f t="shared" si="9"/>
        <v>172.42738984800008</v>
      </c>
      <c r="AS43" s="34">
        <f t="shared" si="10"/>
        <v>207.26532132000011</v>
      </c>
      <c r="AT43" t="str">
        <f t="shared" si="11"/>
        <v>OK</v>
      </c>
    </row>
    <row r="44" spans="1:46" x14ac:dyDescent="0.25">
      <c r="A44" t="s">
        <v>100</v>
      </c>
      <c r="B44" t="s">
        <v>178</v>
      </c>
      <c r="C44" s="34">
        <v>20978</v>
      </c>
      <c r="D44" s="34">
        <v>1748.1666666666667</v>
      </c>
      <c r="E44" s="34">
        <v>4495.3439999999991</v>
      </c>
      <c r="F44" s="34">
        <f t="shared" si="0"/>
        <v>6243.5106666666661</v>
      </c>
      <c r="G44" s="34">
        <v>0</v>
      </c>
      <c r="H44" s="34">
        <v>4495.3439999999991</v>
      </c>
      <c r="I44" s="34">
        <v>5101.2</v>
      </c>
      <c r="J44" s="34">
        <f t="shared" si="1"/>
        <v>605.85600000000068</v>
      </c>
      <c r="K44" s="34">
        <v>4605.8863199999996</v>
      </c>
      <c r="L44" s="34">
        <v>5101.2</v>
      </c>
      <c r="M44" s="34">
        <f t="shared" si="2"/>
        <v>495.3136800000002</v>
      </c>
      <c r="N44" s="34">
        <v>0</v>
      </c>
      <c r="O44" s="34">
        <v>510.11999999999989</v>
      </c>
      <c r="P44" s="34">
        <f t="shared" si="3"/>
        <v>510.11999999999989</v>
      </c>
      <c r="Q44" s="34">
        <v>0</v>
      </c>
      <c r="R44" s="34">
        <v>796.81631999999991</v>
      </c>
      <c r="S44" s="34">
        <f t="shared" si="4"/>
        <v>796.81631999999991</v>
      </c>
      <c r="T44" s="34">
        <v>0</v>
      </c>
      <c r="U44" s="34">
        <v>0</v>
      </c>
      <c r="V44" s="34">
        <f t="shared" si="5"/>
        <v>0</v>
      </c>
      <c r="W44" s="34">
        <v>23.279742960000011</v>
      </c>
      <c r="X44" s="34">
        <v>7.6773620400000029</v>
      </c>
      <c r="Y44" s="34">
        <v>0.4953136800000002</v>
      </c>
      <c r="Z44" s="34">
        <v>0.7429705200000003</v>
      </c>
      <c r="AA44" s="34">
        <v>0.96922799999999976</v>
      </c>
      <c r="AB44" s="34">
        <v>1.6733142719999996</v>
      </c>
      <c r="AC44" s="34">
        <v>0</v>
      </c>
      <c r="AD44" s="34">
        <v>299.38261080000001</v>
      </c>
      <c r="AE44" s="34">
        <f t="shared" si="6"/>
        <v>334.22054227200005</v>
      </c>
      <c r="AF44" s="34">
        <f t="shared" si="7"/>
        <v>34.837931472000037</v>
      </c>
      <c r="AG44" s="34">
        <v>116.89402848000005</v>
      </c>
      <c r="AH44" s="34">
        <v>27.242252400000012</v>
      </c>
      <c r="AI44" s="34">
        <v>0.9906273600000004</v>
      </c>
      <c r="AJ44" s="34">
        <v>2.9718820800000012</v>
      </c>
      <c r="AK44" s="34">
        <v>3.7148526000000013</v>
      </c>
      <c r="AL44" s="34">
        <v>7.4297052000000026</v>
      </c>
      <c r="AM44" s="34">
        <v>4.8971519999999984</v>
      </c>
      <c r="AN44" s="34">
        <v>8.2868897279999985</v>
      </c>
      <c r="AO44" s="34">
        <v>0</v>
      </c>
      <c r="AP44" s="34">
        <v>1480.7924518799998</v>
      </c>
      <c r="AQ44" s="34">
        <f t="shared" si="8"/>
        <v>1653.2198417279999</v>
      </c>
      <c r="AR44" s="34">
        <f t="shared" si="9"/>
        <v>172.42738984800008</v>
      </c>
      <c r="AS44" s="34">
        <f t="shared" si="10"/>
        <v>207.26532132000011</v>
      </c>
      <c r="AT44" t="str">
        <f t="shared" si="11"/>
        <v>OK</v>
      </c>
    </row>
    <row r="45" spans="1:46" x14ac:dyDescent="0.25">
      <c r="A45" t="s">
        <v>100</v>
      </c>
      <c r="B45" t="s">
        <v>179</v>
      </c>
      <c r="C45" s="34">
        <v>20978</v>
      </c>
      <c r="D45" s="34">
        <v>1748.1666666666667</v>
      </c>
      <c r="E45" s="34">
        <v>4495.3439999999991</v>
      </c>
      <c r="F45" s="34">
        <f t="shared" si="0"/>
        <v>6243.5106666666661</v>
      </c>
      <c r="G45" s="34">
        <v>0</v>
      </c>
      <c r="H45" s="34">
        <v>4495.3439999999991</v>
      </c>
      <c r="I45" s="34">
        <v>5101.2</v>
      </c>
      <c r="J45" s="34">
        <f t="shared" si="1"/>
        <v>605.85600000000068</v>
      </c>
      <c r="K45" s="34">
        <v>4605.8863199999996</v>
      </c>
      <c r="L45" s="34">
        <v>5101.2</v>
      </c>
      <c r="M45" s="34">
        <f t="shared" si="2"/>
        <v>495.3136800000002</v>
      </c>
      <c r="N45" s="34">
        <v>0</v>
      </c>
      <c r="O45" s="34">
        <v>510.11999999999989</v>
      </c>
      <c r="P45" s="34">
        <f t="shared" si="3"/>
        <v>510.11999999999989</v>
      </c>
      <c r="Q45" s="34">
        <v>0</v>
      </c>
      <c r="R45" s="34">
        <v>796.81631999999991</v>
      </c>
      <c r="S45" s="34">
        <f t="shared" si="4"/>
        <v>796.81631999999991</v>
      </c>
      <c r="T45" s="34">
        <v>0</v>
      </c>
      <c r="U45" s="34">
        <v>0</v>
      </c>
      <c r="V45" s="34">
        <f t="shared" si="5"/>
        <v>0</v>
      </c>
      <c r="W45" s="34">
        <v>23.279742960000011</v>
      </c>
      <c r="X45" s="34">
        <v>7.6773620400000029</v>
      </c>
      <c r="Y45" s="34">
        <v>0.4953136800000002</v>
      </c>
      <c r="Z45" s="34">
        <v>0.7429705200000003</v>
      </c>
      <c r="AA45" s="34">
        <v>0.96922799999999976</v>
      </c>
      <c r="AB45" s="34">
        <v>1.6733142719999996</v>
      </c>
      <c r="AC45" s="34">
        <v>0</v>
      </c>
      <c r="AD45" s="34">
        <v>299.38261080000001</v>
      </c>
      <c r="AE45" s="34">
        <f t="shared" si="6"/>
        <v>334.22054227200005</v>
      </c>
      <c r="AF45" s="34">
        <f t="shared" si="7"/>
        <v>34.837931472000037</v>
      </c>
      <c r="AG45" s="34">
        <v>116.89402848000005</v>
      </c>
      <c r="AH45" s="34">
        <v>27.242252400000012</v>
      </c>
      <c r="AI45" s="34">
        <v>0.9906273600000004</v>
      </c>
      <c r="AJ45" s="34">
        <v>2.9718820800000012</v>
      </c>
      <c r="AK45" s="34">
        <v>3.7148526000000013</v>
      </c>
      <c r="AL45" s="34">
        <v>7.4297052000000026</v>
      </c>
      <c r="AM45" s="34">
        <v>4.8971519999999984</v>
      </c>
      <c r="AN45" s="34">
        <v>8.2868897279999985</v>
      </c>
      <c r="AO45" s="34">
        <v>0</v>
      </c>
      <c r="AP45" s="34">
        <v>1480.7924518799998</v>
      </c>
      <c r="AQ45" s="34">
        <f t="shared" si="8"/>
        <v>1653.2198417279999</v>
      </c>
      <c r="AR45" s="34">
        <f t="shared" si="9"/>
        <v>172.42738984800008</v>
      </c>
      <c r="AS45" s="34">
        <f t="shared" si="10"/>
        <v>207.26532132000011</v>
      </c>
      <c r="AT45" t="str">
        <f t="shared" si="11"/>
        <v>OK</v>
      </c>
    </row>
    <row r="46" spans="1:46" x14ac:dyDescent="0.25">
      <c r="A46" t="s">
        <v>100</v>
      </c>
      <c r="B46" t="s">
        <v>180</v>
      </c>
      <c r="C46" s="34">
        <v>20978</v>
      </c>
      <c r="D46" s="34">
        <v>1748.1666666666667</v>
      </c>
      <c r="E46" s="34">
        <v>4495.3439999999991</v>
      </c>
      <c r="F46" s="34">
        <f t="shared" si="0"/>
        <v>6243.5106666666661</v>
      </c>
      <c r="G46" s="34">
        <v>0</v>
      </c>
      <c r="H46" s="34">
        <v>4495.3439999999991</v>
      </c>
      <c r="I46" s="34">
        <v>5101.2</v>
      </c>
      <c r="J46" s="34">
        <f t="shared" si="1"/>
        <v>605.85600000000068</v>
      </c>
      <c r="K46" s="34">
        <v>4605.8863199999996</v>
      </c>
      <c r="L46" s="34">
        <v>5101.2</v>
      </c>
      <c r="M46" s="34">
        <f t="shared" si="2"/>
        <v>495.3136800000002</v>
      </c>
      <c r="N46" s="34">
        <v>0</v>
      </c>
      <c r="O46" s="34">
        <v>510.11999999999989</v>
      </c>
      <c r="P46" s="34">
        <f t="shared" si="3"/>
        <v>510.11999999999989</v>
      </c>
      <c r="Q46" s="34">
        <v>0</v>
      </c>
      <c r="R46" s="34">
        <v>796.81631999999991</v>
      </c>
      <c r="S46" s="34">
        <f t="shared" si="4"/>
        <v>796.81631999999991</v>
      </c>
      <c r="T46" s="34">
        <v>0</v>
      </c>
      <c r="U46" s="34">
        <v>0</v>
      </c>
      <c r="V46" s="34">
        <f t="shared" si="5"/>
        <v>0</v>
      </c>
      <c r="W46" s="34">
        <v>23.279742960000011</v>
      </c>
      <c r="X46" s="34">
        <v>7.6773620400000029</v>
      </c>
      <c r="Y46" s="34">
        <v>0.4953136800000002</v>
      </c>
      <c r="Z46" s="34">
        <v>0.7429705200000003</v>
      </c>
      <c r="AA46" s="34">
        <v>0.96922799999999976</v>
      </c>
      <c r="AB46" s="34">
        <v>1.6733142719999996</v>
      </c>
      <c r="AC46" s="34">
        <v>0</v>
      </c>
      <c r="AD46" s="34">
        <v>299.38261080000001</v>
      </c>
      <c r="AE46" s="34">
        <f t="shared" si="6"/>
        <v>334.22054227200005</v>
      </c>
      <c r="AF46" s="34">
        <f t="shared" si="7"/>
        <v>34.837931472000037</v>
      </c>
      <c r="AG46" s="34">
        <v>116.89402848000005</v>
      </c>
      <c r="AH46" s="34">
        <v>27.242252400000012</v>
      </c>
      <c r="AI46" s="34">
        <v>0.9906273600000004</v>
      </c>
      <c r="AJ46" s="34">
        <v>2.9718820800000012</v>
      </c>
      <c r="AK46" s="34">
        <v>3.7148526000000013</v>
      </c>
      <c r="AL46" s="34">
        <v>7.4297052000000026</v>
      </c>
      <c r="AM46" s="34">
        <v>4.8971519999999984</v>
      </c>
      <c r="AN46" s="34">
        <v>8.2868897279999985</v>
      </c>
      <c r="AO46" s="34">
        <v>0</v>
      </c>
      <c r="AP46" s="34">
        <v>1480.7924518799998</v>
      </c>
      <c r="AQ46" s="34">
        <f t="shared" si="8"/>
        <v>1653.2198417279999</v>
      </c>
      <c r="AR46" s="34">
        <f t="shared" si="9"/>
        <v>172.42738984800008</v>
      </c>
      <c r="AS46" s="34">
        <f t="shared" si="10"/>
        <v>207.26532132000011</v>
      </c>
      <c r="AT46" t="str">
        <f t="shared" si="11"/>
        <v>OK</v>
      </c>
    </row>
    <row r="47" spans="1:46" x14ac:dyDescent="0.25">
      <c r="A47" t="s">
        <v>100</v>
      </c>
      <c r="B47" t="s">
        <v>183</v>
      </c>
      <c r="C47" s="34">
        <v>20978</v>
      </c>
      <c r="D47" s="34">
        <v>1748.1666666666667</v>
      </c>
      <c r="E47" s="34">
        <v>4495.3439999999991</v>
      </c>
      <c r="F47" s="34">
        <f t="shared" si="0"/>
        <v>6243.5106666666661</v>
      </c>
      <c r="G47" s="34">
        <v>0</v>
      </c>
      <c r="H47" s="34">
        <v>4495.3439999999991</v>
      </c>
      <c r="I47" s="34">
        <v>5101.2</v>
      </c>
      <c r="J47" s="34">
        <f t="shared" si="1"/>
        <v>605.85600000000068</v>
      </c>
      <c r="K47" s="34">
        <v>4605.8863199999996</v>
      </c>
      <c r="L47" s="34">
        <v>5101.2</v>
      </c>
      <c r="M47" s="34">
        <f t="shared" si="2"/>
        <v>495.3136800000002</v>
      </c>
      <c r="N47" s="34">
        <v>0</v>
      </c>
      <c r="O47" s="34">
        <v>510.11999999999989</v>
      </c>
      <c r="P47" s="34">
        <f t="shared" si="3"/>
        <v>510.11999999999989</v>
      </c>
      <c r="Q47" s="34">
        <v>0</v>
      </c>
      <c r="R47" s="34">
        <v>796.81631999999991</v>
      </c>
      <c r="S47" s="34">
        <f t="shared" si="4"/>
        <v>796.81631999999991</v>
      </c>
      <c r="T47" s="34">
        <v>0</v>
      </c>
      <c r="U47" s="34">
        <v>0</v>
      </c>
      <c r="V47" s="34">
        <f t="shared" si="5"/>
        <v>0</v>
      </c>
      <c r="W47" s="34">
        <v>23.279742960000011</v>
      </c>
      <c r="X47" s="34">
        <v>7.6773620400000029</v>
      </c>
      <c r="Y47" s="34">
        <v>0.4953136800000002</v>
      </c>
      <c r="Z47" s="34">
        <v>0.7429705200000003</v>
      </c>
      <c r="AA47" s="34">
        <v>0.96922799999999976</v>
      </c>
      <c r="AB47" s="34">
        <v>1.6733142719999996</v>
      </c>
      <c r="AC47" s="34">
        <v>0</v>
      </c>
      <c r="AD47" s="34">
        <v>299.38261080000001</v>
      </c>
      <c r="AE47" s="34">
        <f t="shared" si="6"/>
        <v>334.22054227200005</v>
      </c>
      <c r="AF47" s="34">
        <f t="shared" si="7"/>
        <v>34.837931472000037</v>
      </c>
      <c r="AG47" s="34">
        <v>116.89402848000005</v>
      </c>
      <c r="AH47" s="34">
        <v>27.242252400000012</v>
      </c>
      <c r="AI47" s="34">
        <v>0.9906273600000004</v>
      </c>
      <c r="AJ47" s="34">
        <v>2.9718820800000012</v>
      </c>
      <c r="AK47" s="34">
        <v>3.7148526000000013</v>
      </c>
      <c r="AL47" s="34">
        <v>7.4297052000000026</v>
      </c>
      <c r="AM47" s="34">
        <v>4.8971519999999984</v>
      </c>
      <c r="AN47" s="34">
        <v>8.2868897279999985</v>
      </c>
      <c r="AO47" s="34">
        <v>0</v>
      </c>
      <c r="AP47" s="34">
        <v>1480.7924518799998</v>
      </c>
      <c r="AQ47" s="34">
        <f t="shared" si="8"/>
        <v>1653.2198417279999</v>
      </c>
      <c r="AR47" s="34">
        <f t="shared" si="9"/>
        <v>172.42738984800008</v>
      </c>
      <c r="AS47" s="34">
        <f t="shared" si="10"/>
        <v>207.26532132000011</v>
      </c>
      <c r="AT47" t="str">
        <f t="shared" si="11"/>
        <v>OK</v>
      </c>
    </row>
    <row r="48" spans="1:46" x14ac:dyDescent="0.25">
      <c r="A48" t="s">
        <v>100</v>
      </c>
      <c r="B48" t="s">
        <v>184</v>
      </c>
      <c r="C48" s="34">
        <v>20978</v>
      </c>
      <c r="D48" s="34">
        <v>1748.1666666666667</v>
      </c>
      <c r="E48" s="34">
        <v>4495.3439999999991</v>
      </c>
      <c r="F48" s="34">
        <f t="shared" si="0"/>
        <v>6243.5106666666661</v>
      </c>
      <c r="G48" s="34">
        <v>0</v>
      </c>
      <c r="H48" s="34">
        <v>4495.3439999999991</v>
      </c>
      <c r="I48" s="34">
        <v>5101.2</v>
      </c>
      <c r="J48" s="34">
        <f t="shared" si="1"/>
        <v>605.85600000000068</v>
      </c>
      <c r="K48" s="34">
        <v>4605.8863199999996</v>
      </c>
      <c r="L48" s="34">
        <v>5101.2</v>
      </c>
      <c r="M48" s="34">
        <f t="shared" si="2"/>
        <v>495.3136800000002</v>
      </c>
      <c r="N48" s="34">
        <v>0</v>
      </c>
      <c r="O48" s="34">
        <v>510.11999999999989</v>
      </c>
      <c r="P48" s="34">
        <f t="shared" si="3"/>
        <v>510.11999999999989</v>
      </c>
      <c r="Q48" s="34">
        <v>0</v>
      </c>
      <c r="R48" s="34">
        <v>796.81631999999991</v>
      </c>
      <c r="S48" s="34">
        <f t="shared" si="4"/>
        <v>796.81631999999991</v>
      </c>
      <c r="T48" s="34">
        <v>0</v>
      </c>
      <c r="U48" s="34">
        <v>0</v>
      </c>
      <c r="V48" s="34">
        <f t="shared" si="5"/>
        <v>0</v>
      </c>
      <c r="W48" s="34">
        <v>23.279742960000011</v>
      </c>
      <c r="X48" s="34">
        <v>7.6773620400000029</v>
      </c>
      <c r="Y48" s="34">
        <v>0.4953136800000002</v>
      </c>
      <c r="Z48" s="34">
        <v>0.7429705200000003</v>
      </c>
      <c r="AA48" s="34">
        <v>0.96922799999999976</v>
      </c>
      <c r="AB48" s="34">
        <v>1.6733142719999996</v>
      </c>
      <c r="AC48" s="34">
        <v>0</v>
      </c>
      <c r="AD48" s="34">
        <v>299.38261080000001</v>
      </c>
      <c r="AE48" s="34">
        <f t="shared" si="6"/>
        <v>334.22054227200005</v>
      </c>
      <c r="AF48" s="34">
        <f t="shared" si="7"/>
        <v>34.837931472000037</v>
      </c>
      <c r="AG48" s="34">
        <v>116.89402848000005</v>
      </c>
      <c r="AH48" s="34">
        <v>27.242252400000012</v>
      </c>
      <c r="AI48" s="34">
        <v>0.9906273600000004</v>
      </c>
      <c r="AJ48" s="34">
        <v>2.9718820800000012</v>
      </c>
      <c r="AK48" s="34">
        <v>3.7148526000000013</v>
      </c>
      <c r="AL48" s="34">
        <v>7.4297052000000026</v>
      </c>
      <c r="AM48" s="34">
        <v>4.8971519999999984</v>
      </c>
      <c r="AN48" s="34">
        <v>8.2868897279999985</v>
      </c>
      <c r="AO48" s="34">
        <v>0</v>
      </c>
      <c r="AP48" s="34">
        <v>1480.7924518799998</v>
      </c>
      <c r="AQ48" s="34">
        <f t="shared" si="8"/>
        <v>1653.2198417279999</v>
      </c>
      <c r="AR48" s="34">
        <f t="shared" si="9"/>
        <v>172.42738984800008</v>
      </c>
      <c r="AS48" s="34">
        <f t="shared" si="10"/>
        <v>207.26532132000011</v>
      </c>
      <c r="AT48" t="str">
        <f t="shared" si="11"/>
        <v>OK</v>
      </c>
    </row>
    <row r="49" spans="1:46" x14ac:dyDescent="0.25">
      <c r="A49" t="s">
        <v>100</v>
      </c>
      <c r="B49" t="s">
        <v>185</v>
      </c>
      <c r="C49" s="34">
        <v>20978</v>
      </c>
      <c r="D49" s="34">
        <v>1748.1666666666667</v>
      </c>
      <c r="E49" s="34">
        <v>4495.3439999999991</v>
      </c>
      <c r="F49" s="34">
        <f t="shared" si="0"/>
        <v>6243.5106666666661</v>
      </c>
      <c r="G49" s="34">
        <v>0</v>
      </c>
      <c r="H49" s="34">
        <v>4495.3439999999991</v>
      </c>
      <c r="I49" s="34">
        <v>5101.2</v>
      </c>
      <c r="J49" s="34">
        <f t="shared" si="1"/>
        <v>605.85600000000068</v>
      </c>
      <c r="K49" s="34">
        <v>4605.8863199999996</v>
      </c>
      <c r="L49" s="34">
        <v>5101.2</v>
      </c>
      <c r="M49" s="34">
        <f t="shared" si="2"/>
        <v>495.3136800000002</v>
      </c>
      <c r="N49" s="34">
        <v>0</v>
      </c>
      <c r="O49" s="34">
        <v>510.11999999999989</v>
      </c>
      <c r="P49" s="34">
        <f t="shared" si="3"/>
        <v>510.11999999999989</v>
      </c>
      <c r="Q49" s="34">
        <v>0</v>
      </c>
      <c r="R49" s="34">
        <v>796.81631999999991</v>
      </c>
      <c r="S49" s="34">
        <f t="shared" si="4"/>
        <v>796.81631999999991</v>
      </c>
      <c r="T49" s="34">
        <v>0</v>
      </c>
      <c r="U49" s="34">
        <v>0</v>
      </c>
      <c r="V49" s="34">
        <f t="shared" si="5"/>
        <v>0</v>
      </c>
      <c r="W49" s="34">
        <v>23.279742960000011</v>
      </c>
      <c r="X49" s="34">
        <v>7.6773620400000029</v>
      </c>
      <c r="Y49" s="34">
        <v>0.4953136800000002</v>
      </c>
      <c r="Z49" s="34">
        <v>0.7429705200000003</v>
      </c>
      <c r="AA49" s="34">
        <v>0.96922799999999976</v>
      </c>
      <c r="AB49" s="34">
        <v>1.6733142719999996</v>
      </c>
      <c r="AC49" s="34">
        <v>0</v>
      </c>
      <c r="AD49" s="34">
        <v>299.38261080000001</v>
      </c>
      <c r="AE49" s="34">
        <f t="shared" si="6"/>
        <v>334.22054227200005</v>
      </c>
      <c r="AF49" s="34">
        <f t="shared" si="7"/>
        <v>34.837931472000037</v>
      </c>
      <c r="AG49" s="34">
        <v>116.89402848000005</v>
      </c>
      <c r="AH49" s="34">
        <v>27.242252400000012</v>
      </c>
      <c r="AI49" s="34">
        <v>0.9906273600000004</v>
      </c>
      <c r="AJ49" s="34">
        <v>2.9718820800000012</v>
      </c>
      <c r="AK49" s="34">
        <v>3.7148526000000013</v>
      </c>
      <c r="AL49" s="34">
        <v>7.4297052000000026</v>
      </c>
      <c r="AM49" s="34">
        <v>4.8971519999999984</v>
      </c>
      <c r="AN49" s="34">
        <v>8.2868897279999985</v>
      </c>
      <c r="AO49" s="34">
        <v>0</v>
      </c>
      <c r="AP49" s="34">
        <v>1480.7924518799998</v>
      </c>
      <c r="AQ49" s="34">
        <f t="shared" si="8"/>
        <v>1653.2198417279999</v>
      </c>
      <c r="AR49" s="34">
        <f t="shared" si="9"/>
        <v>172.42738984800008</v>
      </c>
      <c r="AS49" s="34">
        <f t="shared" si="10"/>
        <v>207.26532132000011</v>
      </c>
      <c r="AT49" t="str">
        <f t="shared" si="11"/>
        <v>OK</v>
      </c>
    </row>
    <row r="50" spans="1:46" x14ac:dyDescent="0.25">
      <c r="A50" t="s">
        <v>100</v>
      </c>
      <c r="B50" t="s">
        <v>186</v>
      </c>
      <c r="C50" s="34">
        <v>20978</v>
      </c>
      <c r="D50" s="34">
        <v>1748.1666666666667</v>
      </c>
      <c r="E50" s="34">
        <v>4495.3439999999991</v>
      </c>
      <c r="F50" s="34">
        <f t="shared" si="0"/>
        <v>6243.5106666666661</v>
      </c>
      <c r="G50" s="34">
        <v>0</v>
      </c>
      <c r="H50" s="34">
        <v>4495.3439999999991</v>
      </c>
      <c r="I50" s="34">
        <v>5101.2</v>
      </c>
      <c r="J50" s="34">
        <f t="shared" si="1"/>
        <v>605.85600000000068</v>
      </c>
      <c r="K50" s="34">
        <v>4605.8863199999996</v>
      </c>
      <c r="L50" s="34">
        <v>5101.2</v>
      </c>
      <c r="M50" s="34">
        <f t="shared" si="2"/>
        <v>495.3136800000002</v>
      </c>
      <c r="N50" s="34">
        <v>0</v>
      </c>
      <c r="O50" s="34">
        <v>510.11999999999989</v>
      </c>
      <c r="P50" s="34">
        <f t="shared" si="3"/>
        <v>510.11999999999989</v>
      </c>
      <c r="Q50" s="34">
        <v>0</v>
      </c>
      <c r="R50" s="34">
        <v>796.81631999999991</v>
      </c>
      <c r="S50" s="34">
        <f t="shared" si="4"/>
        <v>796.81631999999991</v>
      </c>
      <c r="T50" s="34">
        <v>0</v>
      </c>
      <c r="U50" s="34">
        <v>0</v>
      </c>
      <c r="V50" s="34">
        <f t="shared" si="5"/>
        <v>0</v>
      </c>
      <c r="W50" s="34">
        <v>23.279742960000011</v>
      </c>
      <c r="X50" s="34">
        <v>7.6773620400000029</v>
      </c>
      <c r="Y50" s="34">
        <v>0.4953136800000002</v>
      </c>
      <c r="Z50" s="34">
        <v>0.7429705200000003</v>
      </c>
      <c r="AA50" s="34">
        <v>0.96922799999999976</v>
      </c>
      <c r="AB50" s="34">
        <v>1.6733142719999996</v>
      </c>
      <c r="AC50" s="34">
        <v>0</v>
      </c>
      <c r="AD50" s="34">
        <v>299.38261080000001</v>
      </c>
      <c r="AE50" s="34">
        <f t="shared" si="6"/>
        <v>334.22054227200005</v>
      </c>
      <c r="AF50" s="34">
        <f t="shared" si="7"/>
        <v>34.837931472000037</v>
      </c>
      <c r="AG50" s="34">
        <v>116.89402848000005</v>
      </c>
      <c r="AH50" s="34">
        <v>27.242252400000012</v>
      </c>
      <c r="AI50" s="34">
        <v>0.9906273600000004</v>
      </c>
      <c r="AJ50" s="34">
        <v>2.9718820800000012</v>
      </c>
      <c r="AK50" s="34">
        <v>3.7148526000000013</v>
      </c>
      <c r="AL50" s="34">
        <v>7.4297052000000026</v>
      </c>
      <c r="AM50" s="34">
        <v>4.8971519999999984</v>
      </c>
      <c r="AN50" s="34">
        <v>8.2868897279999985</v>
      </c>
      <c r="AO50" s="34">
        <v>0</v>
      </c>
      <c r="AP50" s="34">
        <v>1480.7924518799998</v>
      </c>
      <c r="AQ50" s="34">
        <f t="shared" si="8"/>
        <v>1653.2198417279999</v>
      </c>
      <c r="AR50" s="34">
        <f t="shared" si="9"/>
        <v>172.42738984800008</v>
      </c>
      <c r="AS50" s="34">
        <f t="shared" si="10"/>
        <v>207.26532132000011</v>
      </c>
      <c r="AT50" t="str">
        <f t="shared" si="11"/>
        <v>OK</v>
      </c>
    </row>
    <row r="51" spans="1:46" x14ac:dyDescent="0.25">
      <c r="A51" t="s">
        <v>100</v>
      </c>
      <c r="B51" t="s">
        <v>187</v>
      </c>
      <c r="C51" s="34">
        <v>20978</v>
      </c>
      <c r="D51" s="34">
        <v>1748.1666666666667</v>
      </c>
      <c r="E51" s="34">
        <v>4495.3439999999991</v>
      </c>
      <c r="F51" s="34">
        <f t="shared" si="0"/>
        <v>6243.5106666666661</v>
      </c>
      <c r="G51" s="34">
        <v>0</v>
      </c>
      <c r="H51" s="34">
        <v>4495.3439999999991</v>
      </c>
      <c r="I51" s="34">
        <v>5101.2</v>
      </c>
      <c r="J51" s="34">
        <f t="shared" si="1"/>
        <v>605.85600000000068</v>
      </c>
      <c r="K51" s="34">
        <v>4605.8863199999996</v>
      </c>
      <c r="L51" s="34">
        <v>5101.2</v>
      </c>
      <c r="M51" s="34">
        <f t="shared" si="2"/>
        <v>495.3136800000002</v>
      </c>
      <c r="N51" s="34">
        <v>0</v>
      </c>
      <c r="O51" s="34">
        <v>510.11999999999989</v>
      </c>
      <c r="P51" s="34">
        <f t="shared" si="3"/>
        <v>510.11999999999989</v>
      </c>
      <c r="Q51" s="34">
        <v>0</v>
      </c>
      <c r="R51" s="34">
        <v>796.81631999999991</v>
      </c>
      <c r="S51" s="34">
        <f t="shared" si="4"/>
        <v>796.81631999999991</v>
      </c>
      <c r="T51" s="34">
        <v>0</v>
      </c>
      <c r="U51" s="34">
        <v>0</v>
      </c>
      <c r="V51" s="34">
        <f t="shared" si="5"/>
        <v>0</v>
      </c>
      <c r="W51" s="34">
        <v>23.279742960000011</v>
      </c>
      <c r="X51" s="34">
        <v>7.6773620400000029</v>
      </c>
      <c r="Y51" s="34">
        <v>0.4953136800000002</v>
      </c>
      <c r="Z51" s="34">
        <v>0.7429705200000003</v>
      </c>
      <c r="AA51" s="34">
        <v>0.96922799999999976</v>
      </c>
      <c r="AB51" s="34">
        <v>1.6733142719999996</v>
      </c>
      <c r="AC51" s="34">
        <v>0</v>
      </c>
      <c r="AD51" s="34">
        <v>299.38261080000001</v>
      </c>
      <c r="AE51" s="34">
        <f t="shared" si="6"/>
        <v>334.22054227200005</v>
      </c>
      <c r="AF51" s="34">
        <f t="shared" si="7"/>
        <v>34.837931472000037</v>
      </c>
      <c r="AG51" s="34">
        <v>116.89402848000005</v>
      </c>
      <c r="AH51" s="34">
        <v>27.242252400000012</v>
      </c>
      <c r="AI51" s="34">
        <v>0.9906273600000004</v>
      </c>
      <c r="AJ51" s="34">
        <v>2.9718820800000012</v>
      </c>
      <c r="AK51" s="34">
        <v>3.7148526000000013</v>
      </c>
      <c r="AL51" s="34">
        <v>7.4297052000000026</v>
      </c>
      <c r="AM51" s="34">
        <v>4.8971519999999984</v>
      </c>
      <c r="AN51" s="34">
        <v>8.2868897279999985</v>
      </c>
      <c r="AO51" s="34">
        <v>0</v>
      </c>
      <c r="AP51" s="34">
        <v>1480.7924518799998</v>
      </c>
      <c r="AQ51" s="34">
        <f t="shared" si="8"/>
        <v>1653.2198417279999</v>
      </c>
      <c r="AR51" s="34">
        <f t="shared" si="9"/>
        <v>172.42738984800008</v>
      </c>
      <c r="AS51" s="34">
        <f t="shared" si="10"/>
        <v>207.26532132000011</v>
      </c>
      <c r="AT51" t="str">
        <f t="shared" si="11"/>
        <v>OK</v>
      </c>
    </row>
    <row r="52" spans="1:46" x14ac:dyDescent="0.25">
      <c r="A52" t="s">
        <v>100</v>
      </c>
      <c r="B52" t="s">
        <v>189</v>
      </c>
      <c r="C52" s="34">
        <v>20978</v>
      </c>
      <c r="D52" s="34">
        <v>1748.1666666666667</v>
      </c>
      <c r="E52" s="34">
        <v>4495.3439999999991</v>
      </c>
      <c r="F52" s="34">
        <f t="shared" si="0"/>
        <v>6243.5106666666661</v>
      </c>
      <c r="G52" s="34">
        <v>0</v>
      </c>
      <c r="H52" s="34">
        <v>4495.3439999999991</v>
      </c>
      <c r="I52" s="34">
        <v>5101.2</v>
      </c>
      <c r="J52" s="34">
        <f t="shared" si="1"/>
        <v>605.85600000000068</v>
      </c>
      <c r="K52" s="34">
        <v>4605.8863199999996</v>
      </c>
      <c r="L52" s="34">
        <v>5101.2</v>
      </c>
      <c r="M52" s="34">
        <f t="shared" si="2"/>
        <v>495.3136800000002</v>
      </c>
      <c r="N52" s="34">
        <v>0</v>
      </c>
      <c r="O52" s="34">
        <v>510.11999999999989</v>
      </c>
      <c r="P52" s="34">
        <f t="shared" si="3"/>
        <v>510.11999999999989</v>
      </c>
      <c r="Q52" s="34">
        <v>0</v>
      </c>
      <c r="R52" s="34">
        <v>796.81631999999991</v>
      </c>
      <c r="S52" s="34">
        <f t="shared" si="4"/>
        <v>796.81631999999991</v>
      </c>
      <c r="T52" s="34">
        <v>0</v>
      </c>
      <c r="U52" s="34">
        <v>0</v>
      </c>
      <c r="V52" s="34">
        <f t="shared" si="5"/>
        <v>0</v>
      </c>
      <c r="W52" s="34">
        <v>23.279742960000011</v>
      </c>
      <c r="X52" s="34">
        <v>7.6773620400000029</v>
      </c>
      <c r="Y52" s="34">
        <v>0.4953136800000002</v>
      </c>
      <c r="Z52" s="34">
        <v>0.7429705200000003</v>
      </c>
      <c r="AA52" s="34">
        <v>0.96922799999999976</v>
      </c>
      <c r="AB52" s="34">
        <v>1.6733142719999996</v>
      </c>
      <c r="AC52" s="34">
        <v>0</v>
      </c>
      <c r="AD52" s="34">
        <v>299.38261080000001</v>
      </c>
      <c r="AE52" s="34">
        <f t="shared" si="6"/>
        <v>334.22054227200005</v>
      </c>
      <c r="AF52" s="34">
        <f t="shared" si="7"/>
        <v>34.837931472000037</v>
      </c>
      <c r="AG52" s="34">
        <v>116.89402848000005</v>
      </c>
      <c r="AH52" s="34">
        <v>27.242252400000012</v>
      </c>
      <c r="AI52" s="34">
        <v>0.9906273600000004</v>
      </c>
      <c r="AJ52" s="34">
        <v>2.9718820800000012</v>
      </c>
      <c r="AK52" s="34">
        <v>3.7148526000000013</v>
      </c>
      <c r="AL52" s="34">
        <v>7.4297052000000026</v>
      </c>
      <c r="AM52" s="34">
        <v>4.8971519999999984</v>
      </c>
      <c r="AN52" s="34">
        <v>8.2868897279999985</v>
      </c>
      <c r="AO52" s="34">
        <v>0</v>
      </c>
      <c r="AP52" s="34">
        <v>1480.7924518799998</v>
      </c>
      <c r="AQ52" s="34">
        <f t="shared" si="8"/>
        <v>1653.2198417279999</v>
      </c>
      <c r="AR52" s="34">
        <f t="shared" si="9"/>
        <v>172.42738984800008</v>
      </c>
      <c r="AS52" s="34">
        <f t="shared" si="10"/>
        <v>207.26532132000011</v>
      </c>
      <c r="AT52" t="str">
        <f t="shared" si="11"/>
        <v>OK</v>
      </c>
    </row>
    <row r="53" spans="1:46" x14ac:dyDescent="0.25">
      <c r="A53" t="s">
        <v>102</v>
      </c>
      <c r="B53" t="s">
        <v>173</v>
      </c>
      <c r="C53" s="34">
        <v>0</v>
      </c>
      <c r="D53" s="34">
        <v>0</v>
      </c>
      <c r="E53" s="34">
        <v>1744.5679999999998</v>
      </c>
      <c r="F53" s="34">
        <f t="shared" si="0"/>
        <v>1744.5679999999998</v>
      </c>
      <c r="G53" s="34">
        <v>0</v>
      </c>
      <c r="H53" s="34">
        <v>1744.5679999999998</v>
      </c>
      <c r="I53" s="34">
        <v>1718.7798599999999</v>
      </c>
      <c r="J53" s="34">
        <f t="shared" si="1"/>
        <v>0</v>
      </c>
      <c r="K53" s="34">
        <v>1718.7798599999999</v>
      </c>
      <c r="L53" s="34">
        <v>1718.7798599999999</v>
      </c>
      <c r="M53" s="34">
        <f t="shared" si="2"/>
        <v>0</v>
      </c>
      <c r="N53" s="34">
        <v>0</v>
      </c>
      <c r="O53" s="34">
        <v>0</v>
      </c>
      <c r="P53" s="34">
        <f t="shared" si="3"/>
        <v>0</v>
      </c>
      <c r="Q53" s="34">
        <v>0</v>
      </c>
      <c r="R53" s="34">
        <v>0</v>
      </c>
      <c r="S53" s="34">
        <f t="shared" si="4"/>
        <v>0</v>
      </c>
      <c r="T53" s="34">
        <v>0</v>
      </c>
      <c r="U53" s="34">
        <v>0</v>
      </c>
      <c r="V53" s="34">
        <f t="shared" si="5"/>
        <v>0</v>
      </c>
      <c r="W53" s="34">
        <v>0</v>
      </c>
      <c r="X53" s="34">
        <v>0</v>
      </c>
      <c r="Y53" s="34">
        <v>0</v>
      </c>
      <c r="Z53" s="34">
        <v>0</v>
      </c>
      <c r="AA53" s="34">
        <v>0</v>
      </c>
      <c r="AB53" s="34">
        <v>0</v>
      </c>
      <c r="AC53" s="34">
        <v>0</v>
      </c>
      <c r="AD53" s="34">
        <v>111.72069089999998</v>
      </c>
      <c r="AE53" s="34">
        <f t="shared" si="6"/>
        <v>111.72069089999998</v>
      </c>
      <c r="AF53" s="34">
        <f t="shared" si="7"/>
        <v>0</v>
      </c>
      <c r="AG53" s="34">
        <v>0</v>
      </c>
      <c r="AH53" s="34">
        <v>0</v>
      </c>
      <c r="AI53" s="34">
        <v>0</v>
      </c>
      <c r="AJ53" s="34">
        <v>0</v>
      </c>
      <c r="AK53" s="34">
        <v>0</v>
      </c>
      <c r="AL53" s="34">
        <v>0</v>
      </c>
      <c r="AM53" s="34">
        <v>0</v>
      </c>
      <c r="AN53" s="34">
        <v>0</v>
      </c>
      <c r="AO53" s="34">
        <v>0</v>
      </c>
      <c r="AP53" s="34">
        <v>552.58772498999997</v>
      </c>
      <c r="AQ53" s="34">
        <f t="shared" si="8"/>
        <v>552.58772498999997</v>
      </c>
      <c r="AR53" s="34">
        <f t="shared" si="9"/>
        <v>0</v>
      </c>
      <c r="AS53" s="34">
        <f t="shared" si="10"/>
        <v>0</v>
      </c>
      <c r="AT53" t="str">
        <f t="shared" si="11"/>
        <v>SIN BONUS</v>
      </c>
    </row>
    <row r="54" spans="1:46" x14ac:dyDescent="0.25">
      <c r="A54" t="s">
        <v>102</v>
      </c>
      <c r="B54" t="s">
        <v>176</v>
      </c>
      <c r="C54" s="34">
        <v>0</v>
      </c>
      <c r="D54" s="34">
        <v>0</v>
      </c>
      <c r="E54" s="34">
        <v>1744.5679999999998</v>
      </c>
      <c r="F54" s="34">
        <f t="shared" si="0"/>
        <v>1744.5679999999998</v>
      </c>
      <c r="G54" s="34">
        <v>0</v>
      </c>
      <c r="H54" s="34">
        <v>1744.5679999999998</v>
      </c>
      <c r="I54" s="34">
        <v>1718.7798599999999</v>
      </c>
      <c r="J54" s="34">
        <f t="shared" si="1"/>
        <v>0</v>
      </c>
      <c r="K54" s="34">
        <v>1718.7798599999999</v>
      </c>
      <c r="L54" s="34">
        <v>1718.7798599999999</v>
      </c>
      <c r="M54" s="34">
        <f t="shared" si="2"/>
        <v>0</v>
      </c>
      <c r="N54" s="34">
        <v>0</v>
      </c>
      <c r="O54" s="34">
        <v>0</v>
      </c>
      <c r="P54" s="34">
        <f t="shared" si="3"/>
        <v>0</v>
      </c>
      <c r="Q54" s="34">
        <v>0</v>
      </c>
      <c r="R54" s="34">
        <v>0</v>
      </c>
      <c r="S54" s="34">
        <f t="shared" si="4"/>
        <v>0</v>
      </c>
      <c r="T54" s="34">
        <v>0</v>
      </c>
      <c r="U54" s="34">
        <v>0</v>
      </c>
      <c r="V54" s="34">
        <f t="shared" si="5"/>
        <v>0</v>
      </c>
      <c r="W54" s="34">
        <v>0</v>
      </c>
      <c r="X54" s="34">
        <v>0</v>
      </c>
      <c r="Y54" s="34">
        <v>0</v>
      </c>
      <c r="Z54" s="34">
        <v>0</v>
      </c>
      <c r="AA54" s="34">
        <v>0</v>
      </c>
      <c r="AB54" s="34">
        <v>0</v>
      </c>
      <c r="AC54" s="34">
        <v>0</v>
      </c>
      <c r="AD54" s="34">
        <v>111.72069089999998</v>
      </c>
      <c r="AE54" s="34">
        <f t="shared" si="6"/>
        <v>111.72069089999998</v>
      </c>
      <c r="AF54" s="34">
        <f t="shared" si="7"/>
        <v>0</v>
      </c>
      <c r="AG54" s="34">
        <v>0</v>
      </c>
      <c r="AH54" s="34">
        <v>0</v>
      </c>
      <c r="AI54" s="34">
        <v>0</v>
      </c>
      <c r="AJ54" s="34">
        <v>0</v>
      </c>
      <c r="AK54" s="34">
        <v>0</v>
      </c>
      <c r="AL54" s="34">
        <v>0</v>
      </c>
      <c r="AM54" s="34">
        <v>0</v>
      </c>
      <c r="AN54" s="34">
        <v>0</v>
      </c>
      <c r="AO54" s="34">
        <v>0</v>
      </c>
      <c r="AP54" s="34">
        <v>552.58772498999997</v>
      </c>
      <c r="AQ54" s="34">
        <f t="shared" si="8"/>
        <v>552.58772498999997</v>
      </c>
      <c r="AR54" s="34">
        <f t="shared" si="9"/>
        <v>0</v>
      </c>
      <c r="AS54" s="34">
        <f t="shared" si="10"/>
        <v>0</v>
      </c>
      <c r="AT54" t="str">
        <f t="shared" si="11"/>
        <v>SIN BONUS</v>
      </c>
    </row>
    <row r="55" spans="1:46" x14ac:dyDescent="0.25">
      <c r="A55" t="s">
        <v>102</v>
      </c>
      <c r="B55" t="s">
        <v>177</v>
      </c>
      <c r="C55" s="34">
        <v>0</v>
      </c>
      <c r="D55" s="34">
        <v>0</v>
      </c>
      <c r="E55" s="34">
        <v>1744.5679999999998</v>
      </c>
      <c r="F55" s="34">
        <f t="shared" si="0"/>
        <v>1744.5679999999998</v>
      </c>
      <c r="G55" s="34">
        <v>0</v>
      </c>
      <c r="H55" s="34">
        <v>1744.5679999999998</v>
      </c>
      <c r="I55" s="34">
        <v>1718.7798599999999</v>
      </c>
      <c r="J55" s="34">
        <f t="shared" si="1"/>
        <v>0</v>
      </c>
      <c r="K55" s="34">
        <v>1718.7798599999999</v>
      </c>
      <c r="L55" s="34">
        <v>1718.7798599999999</v>
      </c>
      <c r="M55" s="34">
        <f t="shared" si="2"/>
        <v>0</v>
      </c>
      <c r="N55" s="34">
        <v>0</v>
      </c>
      <c r="O55" s="34">
        <v>0</v>
      </c>
      <c r="P55" s="34">
        <f t="shared" si="3"/>
        <v>0</v>
      </c>
      <c r="Q55" s="34">
        <v>0</v>
      </c>
      <c r="R55" s="34">
        <v>0</v>
      </c>
      <c r="S55" s="34">
        <f t="shared" si="4"/>
        <v>0</v>
      </c>
      <c r="T55" s="34">
        <v>0</v>
      </c>
      <c r="U55" s="34">
        <v>0</v>
      </c>
      <c r="V55" s="34">
        <f t="shared" si="5"/>
        <v>0</v>
      </c>
      <c r="W55" s="34">
        <v>0</v>
      </c>
      <c r="X55" s="34">
        <v>0</v>
      </c>
      <c r="Y55" s="34">
        <v>0</v>
      </c>
      <c r="Z55" s="34">
        <v>0</v>
      </c>
      <c r="AA55" s="34">
        <v>0</v>
      </c>
      <c r="AB55" s="34">
        <v>0</v>
      </c>
      <c r="AC55" s="34">
        <v>0</v>
      </c>
      <c r="AD55" s="34">
        <v>111.72069089999998</v>
      </c>
      <c r="AE55" s="34">
        <f t="shared" si="6"/>
        <v>111.72069089999998</v>
      </c>
      <c r="AF55" s="34">
        <f t="shared" si="7"/>
        <v>0</v>
      </c>
      <c r="AG55" s="34">
        <v>0</v>
      </c>
      <c r="AH55" s="34">
        <v>0</v>
      </c>
      <c r="AI55" s="34">
        <v>0</v>
      </c>
      <c r="AJ55" s="34">
        <v>0</v>
      </c>
      <c r="AK55" s="34">
        <v>0</v>
      </c>
      <c r="AL55" s="34">
        <v>0</v>
      </c>
      <c r="AM55" s="34">
        <v>0</v>
      </c>
      <c r="AN55" s="34">
        <v>0</v>
      </c>
      <c r="AO55" s="34">
        <v>0</v>
      </c>
      <c r="AP55" s="34">
        <v>552.58772498999997</v>
      </c>
      <c r="AQ55" s="34">
        <f t="shared" si="8"/>
        <v>552.58772498999997</v>
      </c>
      <c r="AR55" s="34">
        <f t="shared" si="9"/>
        <v>0</v>
      </c>
      <c r="AS55" s="34">
        <f t="shared" si="10"/>
        <v>0</v>
      </c>
      <c r="AT55" t="str">
        <f t="shared" si="11"/>
        <v>SIN BONUS</v>
      </c>
    </row>
    <row r="56" spans="1:46" x14ac:dyDescent="0.25">
      <c r="A56" t="s">
        <v>102</v>
      </c>
      <c r="B56" t="s">
        <v>178</v>
      </c>
      <c r="C56" s="34">
        <v>0</v>
      </c>
      <c r="D56" s="34">
        <v>0</v>
      </c>
      <c r="E56" s="34">
        <v>1744.5679999999998</v>
      </c>
      <c r="F56" s="34">
        <f t="shared" si="0"/>
        <v>1744.5679999999998</v>
      </c>
      <c r="G56" s="34">
        <v>0</v>
      </c>
      <c r="H56" s="34">
        <v>1744.5679999999998</v>
      </c>
      <c r="I56" s="34">
        <v>1718.7798599999999</v>
      </c>
      <c r="J56" s="34">
        <f t="shared" si="1"/>
        <v>0</v>
      </c>
      <c r="K56" s="34">
        <v>1718.7798599999999</v>
      </c>
      <c r="L56" s="34">
        <v>1718.7798599999999</v>
      </c>
      <c r="M56" s="34">
        <f t="shared" si="2"/>
        <v>0</v>
      </c>
      <c r="N56" s="34">
        <v>0</v>
      </c>
      <c r="O56" s="34">
        <v>0</v>
      </c>
      <c r="P56" s="34">
        <f t="shared" si="3"/>
        <v>0</v>
      </c>
      <c r="Q56" s="34">
        <v>0</v>
      </c>
      <c r="R56" s="34">
        <v>0</v>
      </c>
      <c r="S56" s="34">
        <f t="shared" si="4"/>
        <v>0</v>
      </c>
      <c r="T56" s="34">
        <v>0</v>
      </c>
      <c r="U56" s="34">
        <v>0</v>
      </c>
      <c r="V56" s="34">
        <f t="shared" si="5"/>
        <v>0</v>
      </c>
      <c r="W56" s="34">
        <v>0</v>
      </c>
      <c r="X56" s="34">
        <v>0</v>
      </c>
      <c r="Y56" s="34">
        <v>0</v>
      </c>
      <c r="Z56" s="34">
        <v>0</v>
      </c>
      <c r="AA56" s="34">
        <v>0</v>
      </c>
      <c r="AB56" s="34">
        <v>0</v>
      </c>
      <c r="AC56" s="34">
        <v>0</v>
      </c>
      <c r="AD56" s="34">
        <v>111.72069089999998</v>
      </c>
      <c r="AE56" s="34">
        <f t="shared" si="6"/>
        <v>111.72069089999998</v>
      </c>
      <c r="AF56" s="34">
        <f t="shared" si="7"/>
        <v>0</v>
      </c>
      <c r="AG56" s="34">
        <v>0</v>
      </c>
      <c r="AH56" s="34">
        <v>0</v>
      </c>
      <c r="AI56" s="34">
        <v>0</v>
      </c>
      <c r="AJ56" s="34">
        <v>0</v>
      </c>
      <c r="AK56" s="34">
        <v>0</v>
      </c>
      <c r="AL56" s="34">
        <v>0</v>
      </c>
      <c r="AM56" s="34">
        <v>0</v>
      </c>
      <c r="AN56" s="34">
        <v>0</v>
      </c>
      <c r="AO56" s="34">
        <v>0</v>
      </c>
      <c r="AP56" s="34">
        <v>552.58772498999997</v>
      </c>
      <c r="AQ56" s="34">
        <f t="shared" si="8"/>
        <v>552.58772498999997</v>
      </c>
      <c r="AR56" s="34">
        <f t="shared" si="9"/>
        <v>0</v>
      </c>
      <c r="AS56" s="34">
        <f t="shared" si="10"/>
        <v>0</v>
      </c>
      <c r="AT56" t="str">
        <f t="shared" si="11"/>
        <v>SIN BONUS</v>
      </c>
    </row>
    <row r="57" spans="1:46" x14ac:dyDescent="0.25">
      <c r="A57" t="s">
        <v>102</v>
      </c>
      <c r="B57" t="s">
        <v>179</v>
      </c>
      <c r="C57" s="34">
        <v>0</v>
      </c>
      <c r="D57" s="34">
        <v>0</v>
      </c>
      <c r="E57" s="34">
        <v>1744.5679999999998</v>
      </c>
      <c r="F57" s="34">
        <f t="shared" si="0"/>
        <v>1744.5679999999998</v>
      </c>
      <c r="G57" s="34">
        <v>0</v>
      </c>
      <c r="H57" s="34">
        <v>1744.5679999999998</v>
      </c>
      <c r="I57" s="34">
        <v>1718.7798599999999</v>
      </c>
      <c r="J57" s="34">
        <f t="shared" si="1"/>
        <v>0</v>
      </c>
      <c r="K57" s="34">
        <v>1718.7798599999999</v>
      </c>
      <c r="L57" s="34">
        <v>1718.7798599999999</v>
      </c>
      <c r="M57" s="34">
        <f t="shared" si="2"/>
        <v>0</v>
      </c>
      <c r="N57" s="34">
        <v>0</v>
      </c>
      <c r="O57" s="34">
        <v>0</v>
      </c>
      <c r="P57" s="34">
        <f t="shared" si="3"/>
        <v>0</v>
      </c>
      <c r="Q57" s="34">
        <v>0</v>
      </c>
      <c r="R57" s="34">
        <v>0</v>
      </c>
      <c r="S57" s="34">
        <f t="shared" si="4"/>
        <v>0</v>
      </c>
      <c r="T57" s="34">
        <v>0</v>
      </c>
      <c r="U57" s="34">
        <v>0</v>
      </c>
      <c r="V57" s="34">
        <f t="shared" si="5"/>
        <v>0</v>
      </c>
      <c r="W57" s="34">
        <v>0</v>
      </c>
      <c r="X57" s="34">
        <v>0</v>
      </c>
      <c r="Y57" s="34">
        <v>0</v>
      </c>
      <c r="Z57" s="34">
        <v>0</v>
      </c>
      <c r="AA57" s="34">
        <v>0</v>
      </c>
      <c r="AB57" s="34">
        <v>0</v>
      </c>
      <c r="AC57" s="34">
        <v>0</v>
      </c>
      <c r="AD57" s="34">
        <v>111.72069089999998</v>
      </c>
      <c r="AE57" s="34">
        <f t="shared" si="6"/>
        <v>111.72069089999998</v>
      </c>
      <c r="AF57" s="34">
        <f t="shared" si="7"/>
        <v>0</v>
      </c>
      <c r="AG57" s="34">
        <v>0</v>
      </c>
      <c r="AH57" s="34">
        <v>0</v>
      </c>
      <c r="AI57" s="34">
        <v>0</v>
      </c>
      <c r="AJ57" s="34">
        <v>0</v>
      </c>
      <c r="AK57" s="34">
        <v>0</v>
      </c>
      <c r="AL57" s="34">
        <v>0</v>
      </c>
      <c r="AM57" s="34">
        <v>0</v>
      </c>
      <c r="AN57" s="34">
        <v>0</v>
      </c>
      <c r="AO57" s="34">
        <v>0</v>
      </c>
      <c r="AP57" s="34">
        <v>552.58772498999997</v>
      </c>
      <c r="AQ57" s="34">
        <f t="shared" si="8"/>
        <v>552.58772498999997</v>
      </c>
      <c r="AR57" s="34">
        <f t="shared" si="9"/>
        <v>0</v>
      </c>
      <c r="AS57" s="34">
        <f t="shared" si="10"/>
        <v>0</v>
      </c>
      <c r="AT57" t="str">
        <f t="shared" si="11"/>
        <v>SIN BONUS</v>
      </c>
    </row>
    <row r="58" spans="1:46" x14ac:dyDescent="0.25">
      <c r="A58" t="s">
        <v>102</v>
      </c>
      <c r="B58" t="s">
        <v>180</v>
      </c>
      <c r="C58" s="34">
        <v>0</v>
      </c>
      <c r="D58" s="34">
        <v>0</v>
      </c>
      <c r="E58" s="34">
        <v>1744.5679999999998</v>
      </c>
      <c r="F58" s="34">
        <f t="shared" si="0"/>
        <v>1744.5679999999998</v>
      </c>
      <c r="G58" s="34">
        <v>0</v>
      </c>
      <c r="H58" s="34">
        <v>1744.5679999999998</v>
      </c>
      <c r="I58" s="34">
        <v>1718.7798599999999</v>
      </c>
      <c r="J58" s="34">
        <f t="shared" si="1"/>
        <v>0</v>
      </c>
      <c r="K58" s="34">
        <v>1718.7798599999999</v>
      </c>
      <c r="L58" s="34">
        <v>1718.7798599999999</v>
      </c>
      <c r="M58" s="34">
        <f t="shared" si="2"/>
        <v>0</v>
      </c>
      <c r="N58" s="34">
        <v>0</v>
      </c>
      <c r="O58" s="34">
        <v>0</v>
      </c>
      <c r="P58" s="34">
        <f t="shared" si="3"/>
        <v>0</v>
      </c>
      <c r="Q58" s="34">
        <v>0</v>
      </c>
      <c r="R58" s="34">
        <v>0</v>
      </c>
      <c r="S58" s="34">
        <f t="shared" si="4"/>
        <v>0</v>
      </c>
      <c r="T58" s="34">
        <v>0</v>
      </c>
      <c r="U58" s="34">
        <v>0</v>
      </c>
      <c r="V58" s="34">
        <f t="shared" si="5"/>
        <v>0</v>
      </c>
      <c r="W58" s="34">
        <v>0</v>
      </c>
      <c r="X58" s="34">
        <v>0</v>
      </c>
      <c r="Y58" s="34">
        <v>0</v>
      </c>
      <c r="Z58" s="34">
        <v>0</v>
      </c>
      <c r="AA58" s="34">
        <v>0</v>
      </c>
      <c r="AB58" s="34">
        <v>0</v>
      </c>
      <c r="AC58" s="34">
        <v>0</v>
      </c>
      <c r="AD58" s="34">
        <v>111.72069089999998</v>
      </c>
      <c r="AE58" s="34">
        <f t="shared" si="6"/>
        <v>111.72069089999998</v>
      </c>
      <c r="AF58" s="34">
        <f t="shared" si="7"/>
        <v>0</v>
      </c>
      <c r="AG58" s="34">
        <v>0</v>
      </c>
      <c r="AH58" s="34">
        <v>0</v>
      </c>
      <c r="AI58" s="34">
        <v>0</v>
      </c>
      <c r="AJ58" s="34">
        <v>0</v>
      </c>
      <c r="AK58" s="34">
        <v>0</v>
      </c>
      <c r="AL58" s="34">
        <v>0</v>
      </c>
      <c r="AM58" s="34">
        <v>0</v>
      </c>
      <c r="AN58" s="34">
        <v>0</v>
      </c>
      <c r="AO58" s="34">
        <v>0</v>
      </c>
      <c r="AP58" s="34">
        <v>552.58772498999997</v>
      </c>
      <c r="AQ58" s="34">
        <f t="shared" si="8"/>
        <v>552.58772498999997</v>
      </c>
      <c r="AR58" s="34">
        <f t="shared" si="9"/>
        <v>0</v>
      </c>
      <c r="AS58" s="34">
        <f t="shared" si="10"/>
        <v>0</v>
      </c>
      <c r="AT58" t="str">
        <f t="shared" si="11"/>
        <v>SIN BONUS</v>
      </c>
    </row>
    <row r="59" spans="1:46" x14ac:dyDescent="0.25">
      <c r="A59" t="s">
        <v>102</v>
      </c>
      <c r="B59" t="s">
        <v>183</v>
      </c>
      <c r="C59" s="34">
        <v>0</v>
      </c>
      <c r="D59" s="34">
        <v>0</v>
      </c>
      <c r="E59" s="34">
        <v>1744.5679999999998</v>
      </c>
      <c r="F59" s="34">
        <f t="shared" si="0"/>
        <v>1744.5679999999998</v>
      </c>
      <c r="G59" s="34">
        <v>0</v>
      </c>
      <c r="H59" s="34">
        <v>1744.5679999999998</v>
      </c>
      <c r="I59" s="34">
        <v>1718.7798599999999</v>
      </c>
      <c r="J59" s="34">
        <f t="shared" si="1"/>
        <v>0</v>
      </c>
      <c r="K59" s="34">
        <v>1718.7798599999999</v>
      </c>
      <c r="L59" s="34">
        <v>1718.7798599999999</v>
      </c>
      <c r="M59" s="34">
        <f t="shared" si="2"/>
        <v>0</v>
      </c>
      <c r="N59" s="34">
        <v>0</v>
      </c>
      <c r="O59" s="34">
        <v>0</v>
      </c>
      <c r="P59" s="34">
        <f t="shared" si="3"/>
        <v>0</v>
      </c>
      <c r="Q59" s="34">
        <v>0</v>
      </c>
      <c r="R59" s="34">
        <v>0</v>
      </c>
      <c r="S59" s="34">
        <f t="shared" si="4"/>
        <v>0</v>
      </c>
      <c r="T59" s="34">
        <v>0</v>
      </c>
      <c r="U59" s="34">
        <v>0</v>
      </c>
      <c r="V59" s="34">
        <f t="shared" si="5"/>
        <v>0</v>
      </c>
      <c r="W59" s="34">
        <v>0</v>
      </c>
      <c r="X59" s="34">
        <v>0</v>
      </c>
      <c r="Y59" s="34">
        <v>0</v>
      </c>
      <c r="Z59" s="34">
        <v>0</v>
      </c>
      <c r="AA59" s="34">
        <v>0</v>
      </c>
      <c r="AB59" s="34">
        <v>0</v>
      </c>
      <c r="AC59" s="34">
        <v>0</v>
      </c>
      <c r="AD59" s="34">
        <v>111.72069089999998</v>
      </c>
      <c r="AE59" s="34">
        <f t="shared" si="6"/>
        <v>111.72069089999998</v>
      </c>
      <c r="AF59" s="34">
        <f t="shared" si="7"/>
        <v>0</v>
      </c>
      <c r="AG59" s="34">
        <v>0</v>
      </c>
      <c r="AH59" s="34">
        <v>0</v>
      </c>
      <c r="AI59" s="34">
        <v>0</v>
      </c>
      <c r="AJ59" s="34">
        <v>0</v>
      </c>
      <c r="AK59" s="34">
        <v>0</v>
      </c>
      <c r="AL59" s="34">
        <v>0</v>
      </c>
      <c r="AM59" s="34">
        <v>0</v>
      </c>
      <c r="AN59" s="34">
        <v>0</v>
      </c>
      <c r="AO59" s="34">
        <v>0</v>
      </c>
      <c r="AP59" s="34">
        <v>552.58772498999997</v>
      </c>
      <c r="AQ59" s="34">
        <f t="shared" si="8"/>
        <v>552.58772498999997</v>
      </c>
      <c r="AR59" s="34">
        <f t="shared" si="9"/>
        <v>0</v>
      </c>
      <c r="AS59" s="34">
        <f t="shared" si="10"/>
        <v>0</v>
      </c>
      <c r="AT59" t="str">
        <f t="shared" si="11"/>
        <v>SIN BONUS</v>
      </c>
    </row>
    <row r="60" spans="1:46" x14ac:dyDescent="0.25">
      <c r="A60" t="s">
        <v>102</v>
      </c>
      <c r="B60" t="s">
        <v>184</v>
      </c>
      <c r="C60" s="34">
        <v>0</v>
      </c>
      <c r="D60" s="34">
        <v>0</v>
      </c>
      <c r="E60" s="34">
        <v>1744.5679999999998</v>
      </c>
      <c r="F60" s="34">
        <f t="shared" si="0"/>
        <v>1744.5679999999998</v>
      </c>
      <c r="G60" s="34">
        <v>0</v>
      </c>
      <c r="H60" s="34">
        <v>1744.5679999999998</v>
      </c>
      <c r="I60" s="34">
        <v>1718.7798599999999</v>
      </c>
      <c r="J60" s="34">
        <f t="shared" si="1"/>
        <v>0</v>
      </c>
      <c r="K60" s="34">
        <v>1744.5679999999998</v>
      </c>
      <c r="L60" s="34">
        <v>1744.5679999999998</v>
      </c>
      <c r="M60" s="34">
        <f t="shared" si="2"/>
        <v>0</v>
      </c>
      <c r="N60" s="34">
        <v>0</v>
      </c>
      <c r="O60" s="34">
        <v>0</v>
      </c>
      <c r="P60" s="34">
        <f t="shared" si="3"/>
        <v>0</v>
      </c>
      <c r="Q60" s="34">
        <v>0</v>
      </c>
      <c r="R60" s="34">
        <v>0</v>
      </c>
      <c r="S60" s="34">
        <f t="shared" si="4"/>
        <v>0</v>
      </c>
      <c r="T60" s="34">
        <v>0</v>
      </c>
      <c r="U60" s="34">
        <v>0</v>
      </c>
      <c r="V60" s="34">
        <f t="shared" si="5"/>
        <v>0</v>
      </c>
      <c r="W60" s="34">
        <v>0</v>
      </c>
      <c r="X60" s="34">
        <v>0</v>
      </c>
      <c r="Y60" s="34">
        <v>0</v>
      </c>
      <c r="Z60" s="34">
        <v>0</v>
      </c>
      <c r="AA60" s="34">
        <v>0</v>
      </c>
      <c r="AB60" s="34">
        <v>0</v>
      </c>
      <c r="AC60" s="34">
        <v>0</v>
      </c>
      <c r="AD60" s="34">
        <v>113.39691999999998</v>
      </c>
      <c r="AE60" s="34">
        <f t="shared" si="6"/>
        <v>113.39691999999998</v>
      </c>
      <c r="AF60" s="34">
        <f t="shared" si="7"/>
        <v>0</v>
      </c>
      <c r="AG60" s="34">
        <v>0</v>
      </c>
      <c r="AH60" s="34">
        <v>0</v>
      </c>
      <c r="AI60" s="34">
        <v>0</v>
      </c>
      <c r="AJ60" s="34">
        <v>0</v>
      </c>
      <c r="AK60" s="34">
        <v>0</v>
      </c>
      <c r="AL60" s="34">
        <v>0</v>
      </c>
      <c r="AM60" s="34">
        <v>0</v>
      </c>
      <c r="AN60" s="34">
        <v>0</v>
      </c>
      <c r="AO60" s="34">
        <v>0</v>
      </c>
      <c r="AP60" s="34">
        <v>560.87861199999975</v>
      </c>
      <c r="AQ60" s="34">
        <f t="shared" si="8"/>
        <v>560.87861199999975</v>
      </c>
      <c r="AR60" s="34">
        <f t="shared" si="9"/>
        <v>0</v>
      </c>
      <c r="AS60" s="34">
        <f t="shared" si="10"/>
        <v>0</v>
      </c>
      <c r="AT60" t="str">
        <f t="shared" si="11"/>
        <v>SIN BONUS</v>
      </c>
    </row>
    <row r="61" spans="1:46" x14ac:dyDescent="0.25">
      <c r="A61" t="s">
        <v>102</v>
      </c>
      <c r="B61" t="s">
        <v>185</v>
      </c>
      <c r="C61" s="34">
        <v>0</v>
      </c>
      <c r="D61" s="34">
        <v>0</v>
      </c>
      <c r="E61" s="34">
        <v>1744.5679999999998</v>
      </c>
      <c r="F61" s="34">
        <f t="shared" si="0"/>
        <v>1744.5679999999998</v>
      </c>
      <c r="G61" s="34">
        <v>0</v>
      </c>
      <c r="H61" s="34">
        <v>1744.5679999999998</v>
      </c>
      <c r="I61" s="34">
        <v>1718.7798599999999</v>
      </c>
      <c r="J61" s="34">
        <f t="shared" si="1"/>
        <v>0</v>
      </c>
      <c r="K61" s="34">
        <v>1718.7798599999999</v>
      </c>
      <c r="L61" s="34">
        <v>1718.7798599999999</v>
      </c>
      <c r="M61" s="34">
        <f t="shared" si="2"/>
        <v>0</v>
      </c>
      <c r="N61" s="34">
        <v>0</v>
      </c>
      <c r="O61" s="34">
        <v>0</v>
      </c>
      <c r="P61" s="34">
        <f t="shared" si="3"/>
        <v>0</v>
      </c>
      <c r="Q61" s="34">
        <v>0</v>
      </c>
      <c r="R61" s="34">
        <v>0</v>
      </c>
      <c r="S61" s="34">
        <f t="shared" si="4"/>
        <v>0</v>
      </c>
      <c r="T61" s="34">
        <v>0</v>
      </c>
      <c r="U61" s="34">
        <v>0</v>
      </c>
      <c r="V61" s="34">
        <f t="shared" si="5"/>
        <v>0</v>
      </c>
      <c r="W61" s="34">
        <v>0</v>
      </c>
      <c r="X61" s="34">
        <v>0</v>
      </c>
      <c r="Y61" s="34">
        <v>0</v>
      </c>
      <c r="Z61" s="34">
        <v>0</v>
      </c>
      <c r="AA61" s="34">
        <v>0</v>
      </c>
      <c r="AB61" s="34">
        <v>0</v>
      </c>
      <c r="AC61" s="34">
        <v>0</v>
      </c>
      <c r="AD61" s="34">
        <v>111.72069089999998</v>
      </c>
      <c r="AE61" s="34">
        <f t="shared" si="6"/>
        <v>111.72069089999998</v>
      </c>
      <c r="AF61" s="34">
        <f t="shared" si="7"/>
        <v>0</v>
      </c>
      <c r="AG61" s="34">
        <v>0</v>
      </c>
      <c r="AH61" s="34">
        <v>0</v>
      </c>
      <c r="AI61" s="34">
        <v>0</v>
      </c>
      <c r="AJ61" s="34">
        <v>0</v>
      </c>
      <c r="AK61" s="34">
        <v>0</v>
      </c>
      <c r="AL61" s="34">
        <v>0</v>
      </c>
      <c r="AM61" s="34">
        <v>0</v>
      </c>
      <c r="AN61" s="34">
        <v>0</v>
      </c>
      <c r="AO61" s="34">
        <v>0</v>
      </c>
      <c r="AP61" s="34">
        <v>552.58772498999997</v>
      </c>
      <c r="AQ61" s="34">
        <f t="shared" si="8"/>
        <v>552.58772498999997</v>
      </c>
      <c r="AR61" s="34">
        <f t="shared" si="9"/>
        <v>0</v>
      </c>
      <c r="AS61" s="34">
        <f t="shared" si="10"/>
        <v>0</v>
      </c>
      <c r="AT61" t="str">
        <f t="shared" si="11"/>
        <v>SIN BONUS</v>
      </c>
    </row>
    <row r="62" spans="1:46" x14ac:dyDescent="0.25">
      <c r="A62" t="s">
        <v>102</v>
      </c>
      <c r="B62" t="s">
        <v>186</v>
      </c>
      <c r="C62" s="34">
        <v>0</v>
      </c>
      <c r="D62" s="34">
        <v>0</v>
      </c>
      <c r="E62" s="34">
        <v>1744.5679999999998</v>
      </c>
      <c r="F62" s="34">
        <f t="shared" si="0"/>
        <v>1744.5679999999998</v>
      </c>
      <c r="G62" s="34">
        <v>0</v>
      </c>
      <c r="H62" s="34">
        <v>1744.5679999999998</v>
      </c>
      <c r="I62" s="34">
        <v>1718.7798599999999</v>
      </c>
      <c r="J62" s="34">
        <f t="shared" si="1"/>
        <v>0</v>
      </c>
      <c r="K62" s="34">
        <v>1718.7798599999999</v>
      </c>
      <c r="L62" s="34">
        <v>1718.7798599999999</v>
      </c>
      <c r="M62" s="34">
        <f t="shared" si="2"/>
        <v>0</v>
      </c>
      <c r="N62" s="34">
        <v>0</v>
      </c>
      <c r="O62" s="34">
        <v>0</v>
      </c>
      <c r="P62" s="34">
        <f t="shared" si="3"/>
        <v>0</v>
      </c>
      <c r="Q62" s="34">
        <v>0</v>
      </c>
      <c r="R62" s="34">
        <v>0</v>
      </c>
      <c r="S62" s="34">
        <f t="shared" si="4"/>
        <v>0</v>
      </c>
      <c r="T62" s="34">
        <v>0</v>
      </c>
      <c r="U62" s="34">
        <v>0</v>
      </c>
      <c r="V62" s="34">
        <f t="shared" si="5"/>
        <v>0</v>
      </c>
      <c r="W62" s="34">
        <v>0</v>
      </c>
      <c r="X62" s="34">
        <v>0</v>
      </c>
      <c r="Y62" s="34">
        <v>0</v>
      </c>
      <c r="Z62" s="34">
        <v>0</v>
      </c>
      <c r="AA62" s="34">
        <v>0</v>
      </c>
      <c r="AB62" s="34">
        <v>0</v>
      </c>
      <c r="AC62" s="34">
        <v>0</v>
      </c>
      <c r="AD62" s="34">
        <v>111.72069089999998</v>
      </c>
      <c r="AE62" s="34">
        <f t="shared" si="6"/>
        <v>111.72069089999998</v>
      </c>
      <c r="AF62" s="34">
        <f t="shared" si="7"/>
        <v>0</v>
      </c>
      <c r="AG62" s="34">
        <v>0</v>
      </c>
      <c r="AH62" s="34">
        <v>0</v>
      </c>
      <c r="AI62" s="34">
        <v>0</v>
      </c>
      <c r="AJ62" s="34">
        <v>0</v>
      </c>
      <c r="AK62" s="34">
        <v>0</v>
      </c>
      <c r="AL62" s="34">
        <v>0</v>
      </c>
      <c r="AM62" s="34">
        <v>0</v>
      </c>
      <c r="AN62" s="34">
        <v>0</v>
      </c>
      <c r="AO62" s="34">
        <v>0</v>
      </c>
      <c r="AP62" s="34">
        <v>552.58772498999997</v>
      </c>
      <c r="AQ62" s="34">
        <f t="shared" si="8"/>
        <v>552.58772498999997</v>
      </c>
      <c r="AR62" s="34">
        <f t="shared" si="9"/>
        <v>0</v>
      </c>
      <c r="AS62" s="34">
        <f t="shared" si="10"/>
        <v>0</v>
      </c>
      <c r="AT62" t="str">
        <f t="shared" si="11"/>
        <v>SIN BONUS</v>
      </c>
    </row>
    <row r="63" spans="1:46" x14ac:dyDescent="0.25">
      <c r="A63" t="s">
        <v>102</v>
      </c>
      <c r="B63" t="s">
        <v>187</v>
      </c>
      <c r="C63" s="34">
        <v>0</v>
      </c>
      <c r="D63" s="34">
        <v>0</v>
      </c>
      <c r="E63" s="34">
        <v>1744.5679999999998</v>
      </c>
      <c r="F63" s="34">
        <f t="shared" si="0"/>
        <v>1744.5679999999998</v>
      </c>
      <c r="G63" s="34">
        <v>0</v>
      </c>
      <c r="H63" s="34">
        <v>1744.5679999999998</v>
      </c>
      <c r="I63" s="34">
        <v>1718.7798599999999</v>
      </c>
      <c r="J63" s="34">
        <f t="shared" si="1"/>
        <v>0</v>
      </c>
      <c r="K63" s="34">
        <v>1718.7798599999999</v>
      </c>
      <c r="L63" s="34">
        <v>1718.7798599999999</v>
      </c>
      <c r="M63" s="34">
        <f t="shared" si="2"/>
        <v>0</v>
      </c>
      <c r="N63" s="34">
        <v>0</v>
      </c>
      <c r="O63" s="34">
        <v>0</v>
      </c>
      <c r="P63" s="34">
        <f t="shared" si="3"/>
        <v>0</v>
      </c>
      <c r="Q63" s="34">
        <v>0</v>
      </c>
      <c r="R63" s="34">
        <v>0</v>
      </c>
      <c r="S63" s="34">
        <f t="shared" si="4"/>
        <v>0</v>
      </c>
      <c r="T63" s="34">
        <v>0</v>
      </c>
      <c r="U63" s="34">
        <v>0</v>
      </c>
      <c r="V63" s="34">
        <f t="shared" si="5"/>
        <v>0</v>
      </c>
      <c r="W63" s="34">
        <v>0</v>
      </c>
      <c r="X63" s="34">
        <v>0</v>
      </c>
      <c r="Y63" s="34">
        <v>0</v>
      </c>
      <c r="Z63" s="34">
        <v>0</v>
      </c>
      <c r="AA63" s="34">
        <v>0</v>
      </c>
      <c r="AB63" s="34">
        <v>0</v>
      </c>
      <c r="AC63" s="34">
        <v>0</v>
      </c>
      <c r="AD63" s="34">
        <v>111.72069089999998</v>
      </c>
      <c r="AE63" s="34">
        <f t="shared" si="6"/>
        <v>111.72069089999998</v>
      </c>
      <c r="AF63" s="34">
        <f t="shared" si="7"/>
        <v>0</v>
      </c>
      <c r="AG63" s="34">
        <v>0</v>
      </c>
      <c r="AH63" s="34">
        <v>0</v>
      </c>
      <c r="AI63" s="34">
        <v>0</v>
      </c>
      <c r="AJ63" s="34">
        <v>0</v>
      </c>
      <c r="AK63" s="34">
        <v>0</v>
      </c>
      <c r="AL63" s="34">
        <v>0</v>
      </c>
      <c r="AM63" s="34">
        <v>0</v>
      </c>
      <c r="AN63" s="34">
        <v>0</v>
      </c>
      <c r="AO63" s="34">
        <v>0</v>
      </c>
      <c r="AP63" s="34">
        <v>552.58772498999997</v>
      </c>
      <c r="AQ63" s="34">
        <f t="shared" si="8"/>
        <v>552.58772498999997</v>
      </c>
      <c r="AR63" s="34">
        <f t="shared" si="9"/>
        <v>0</v>
      </c>
      <c r="AS63" s="34">
        <f t="shared" si="10"/>
        <v>0</v>
      </c>
      <c r="AT63" t="str">
        <f t="shared" si="11"/>
        <v>SIN BONUS</v>
      </c>
    </row>
    <row r="64" spans="1:46" x14ac:dyDescent="0.25">
      <c r="A64" t="s">
        <v>102</v>
      </c>
      <c r="B64" t="s">
        <v>189</v>
      </c>
      <c r="C64" s="34">
        <v>0</v>
      </c>
      <c r="D64" s="34">
        <v>0</v>
      </c>
      <c r="E64" s="34">
        <v>1744.5679999999998</v>
      </c>
      <c r="F64" s="34">
        <f t="shared" si="0"/>
        <v>1744.5679999999998</v>
      </c>
      <c r="G64" s="34">
        <v>0</v>
      </c>
      <c r="H64" s="34">
        <v>1744.5679999999998</v>
      </c>
      <c r="I64" s="34">
        <v>1718.7798599999999</v>
      </c>
      <c r="J64" s="34">
        <f t="shared" si="1"/>
        <v>0</v>
      </c>
      <c r="K64" s="34">
        <v>1718.7798599999999</v>
      </c>
      <c r="L64" s="34">
        <v>1718.7798599999999</v>
      </c>
      <c r="M64" s="34">
        <f t="shared" si="2"/>
        <v>0</v>
      </c>
      <c r="N64" s="34">
        <v>0</v>
      </c>
      <c r="O64" s="34">
        <v>0</v>
      </c>
      <c r="P64" s="34">
        <f t="shared" si="3"/>
        <v>0</v>
      </c>
      <c r="Q64" s="34">
        <v>0</v>
      </c>
      <c r="R64" s="34">
        <v>0</v>
      </c>
      <c r="S64" s="34">
        <f t="shared" si="4"/>
        <v>0</v>
      </c>
      <c r="T64" s="34">
        <v>0</v>
      </c>
      <c r="U64" s="34">
        <v>0</v>
      </c>
      <c r="V64" s="34">
        <f t="shared" si="5"/>
        <v>0</v>
      </c>
      <c r="W64" s="34">
        <v>0</v>
      </c>
      <c r="X64" s="34">
        <v>0</v>
      </c>
      <c r="Y64" s="34">
        <v>0</v>
      </c>
      <c r="Z64" s="34">
        <v>0</v>
      </c>
      <c r="AA64" s="34">
        <v>0</v>
      </c>
      <c r="AB64" s="34">
        <v>0</v>
      </c>
      <c r="AC64" s="34">
        <v>0</v>
      </c>
      <c r="AD64" s="34">
        <v>111.72069089999998</v>
      </c>
      <c r="AE64" s="34">
        <f t="shared" si="6"/>
        <v>111.72069089999998</v>
      </c>
      <c r="AF64" s="34">
        <f t="shared" si="7"/>
        <v>0</v>
      </c>
      <c r="AG64" s="34">
        <v>0</v>
      </c>
      <c r="AH64" s="34">
        <v>0</v>
      </c>
      <c r="AI64" s="34">
        <v>0</v>
      </c>
      <c r="AJ64" s="34">
        <v>0</v>
      </c>
      <c r="AK64" s="34">
        <v>0</v>
      </c>
      <c r="AL64" s="34">
        <v>0</v>
      </c>
      <c r="AM64" s="34">
        <v>0</v>
      </c>
      <c r="AN64" s="34">
        <v>0</v>
      </c>
      <c r="AO64" s="34">
        <v>0</v>
      </c>
      <c r="AP64" s="34">
        <v>552.58772498999997</v>
      </c>
      <c r="AQ64" s="34">
        <f t="shared" si="8"/>
        <v>552.58772498999997</v>
      </c>
      <c r="AR64" s="34">
        <f t="shared" si="9"/>
        <v>0</v>
      </c>
      <c r="AS64" s="34">
        <f t="shared" si="10"/>
        <v>0</v>
      </c>
      <c r="AT64" t="str">
        <f t="shared" si="11"/>
        <v>SIN BONUS</v>
      </c>
    </row>
    <row r="65" spans="1:46" x14ac:dyDescent="0.25">
      <c r="A65" t="s">
        <v>104</v>
      </c>
      <c r="B65" t="s">
        <v>173</v>
      </c>
      <c r="C65" s="34">
        <v>2673</v>
      </c>
      <c r="D65" s="34">
        <v>222.75</v>
      </c>
      <c r="E65" s="34">
        <v>1807.4530833333333</v>
      </c>
      <c r="F65" s="34">
        <f t="shared" si="0"/>
        <v>2030.2030833333333</v>
      </c>
      <c r="G65" s="34">
        <v>0</v>
      </c>
      <c r="H65" s="34">
        <v>1807.4530833333333</v>
      </c>
      <c r="I65" s="34">
        <v>2035.6499325</v>
      </c>
      <c r="J65" s="34">
        <f t="shared" si="1"/>
        <v>228.19684916666665</v>
      </c>
      <c r="K65" s="34">
        <v>1829.3999325</v>
      </c>
      <c r="L65" s="34">
        <v>2052.1499325</v>
      </c>
      <c r="M65" s="34">
        <f t="shared" si="2"/>
        <v>222.75</v>
      </c>
      <c r="N65" s="34">
        <v>0</v>
      </c>
      <c r="O65" s="34">
        <v>0</v>
      </c>
      <c r="P65" s="34">
        <f t="shared" si="3"/>
        <v>0</v>
      </c>
      <c r="Q65" s="34">
        <v>0</v>
      </c>
      <c r="R65" s="34">
        <v>0</v>
      </c>
      <c r="S65" s="34">
        <f t="shared" si="4"/>
        <v>0</v>
      </c>
      <c r="T65" s="34">
        <v>0</v>
      </c>
      <c r="U65" s="34">
        <v>0</v>
      </c>
      <c r="V65" s="34">
        <f t="shared" si="5"/>
        <v>0</v>
      </c>
      <c r="W65" s="34">
        <v>9.6937499999999996</v>
      </c>
      <c r="X65" s="34">
        <v>3.1968749999999999</v>
      </c>
      <c r="Y65" s="34">
        <v>0.20625000000000002</v>
      </c>
      <c r="Z65" s="34">
        <v>0.30937500000000001</v>
      </c>
      <c r="AA65" s="34">
        <v>0</v>
      </c>
      <c r="AB65" s="34">
        <v>0</v>
      </c>
      <c r="AC65" s="34">
        <v>0</v>
      </c>
      <c r="AD65" s="34">
        <v>118.91099561249999</v>
      </c>
      <c r="AE65" s="34">
        <f t="shared" si="6"/>
        <v>132.31724561249999</v>
      </c>
      <c r="AF65" s="34">
        <f t="shared" si="7"/>
        <v>13.40625</v>
      </c>
      <c r="AG65" s="34">
        <v>48.674999999999997</v>
      </c>
      <c r="AH65" s="34">
        <v>11.34375</v>
      </c>
      <c r="AI65" s="34">
        <v>0.41250000000000003</v>
      </c>
      <c r="AJ65" s="34">
        <v>1.2375</v>
      </c>
      <c r="AK65" s="34">
        <v>1.546875</v>
      </c>
      <c r="AL65" s="34">
        <v>3.09375</v>
      </c>
      <c r="AM65" s="34">
        <v>0</v>
      </c>
      <c r="AN65" s="34">
        <v>0</v>
      </c>
      <c r="AO65" s="34">
        <v>0</v>
      </c>
      <c r="AP65" s="34">
        <v>588.1520782987501</v>
      </c>
      <c r="AQ65" s="34">
        <f t="shared" si="8"/>
        <v>654.46145329875003</v>
      </c>
      <c r="AR65" s="34">
        <f t="shared" si="9"/>
        <v>66.309374999999932</v>
      </c>
      <c r="AS65" s="34">
        <f t="shared" si="10"/>
        <v>79.715624999999932</v>
      </c>
      <c r="AT65" t="str">
        <f t="shared" si="11"/>
        <v>OK</v>
      </c>
    </row>
    <row r="66" spans="1:46" x14ac:dyDescent="0.25">
      <c r="A66" t="s">
        <v>104</v>
      </c>
      <c r="B66" t="s">
        <v>176</v>
      </c>
      <c r="C66" s="34">
        <v>2673</v>
      </c>
      <c r="D66" s="34">
        <v>222.75</v>
      </c>
      <c r="E66" s="34">
        <v>1807.4530833333333</v>
      </c>
      <c r="F66" s="34">
        <f t="shared" si="0"/>
        <v>2030.2030833333333</v>
      </c>
      <c r="G66" s="34">
        <v>0</v>
      </c>
      <c r="H66" s="34">
        <v>1807.4530833333333</v>
      </c>
      <c r="I66" s="34">
        <v>2035.6499325</v>
      </c>
      <c r="J66" s="34">
        <f t="shared" si="1"/>
        <v>228.19684916666665</v>
      </c>
      <c r="K66" s="34">
        <v>1829.3999325</v>
      </c>
      <c r="L66" s="34">
        <v>2052.1499325</v>
      </c>
      <c r="M66" s="34">
        <f t="shared" si="2"/>
        <v>222.75</v>
      </c>
      <c r="N66" s="34">
        <v>0</v>
      </c>
      <c r="O66" s="34">
        <v>0</v>
      </c>
      <c r="P66" s="34">
        <f t="shared" si="3"/>
        <v>0</v>
      </c>
      <c r="Q66" s="34">
        <v>0</v>
      </c>
      <c r="R66" s="34">
        <v>0</v>
      </c>
      <c r="S66" s="34">
        <f t="shared" si="4"/>
        <v>0</v>
      </c>
      <c r="T66" s="34">
        <v>0</v>
      </c>
      <c r="U66" s="34">
        <v>0</v>
      </c>
      <c r="V66" s="34">
        <f t="shared" si="5"/>
        <v>0</v>
      </c>
      <c r="W66" s="34">
        <v>9.6937499999999996</v>
      </c>
      <c r="X66" s="34">
        <v>3.1968749999999999</v>
      </c>
      <c r="Y66" s="34">
        <v>0.20625000000000002</v>
      </c>
      <c r="Z66" s="34">
        <v>0.30937500000000001</v>
      </c>
      <c r="AA66" s="34">
        <v>0</v>
      </c>
      <c r="AB66" s="34">
        <v>0</v>
      </c>
      <c r="AC66" s="34">
        <v>0</v>
      </c>
      <c r="AD66" s="34">
        <v>118.91099561249999</v>
      </c>
      <c r="AE66" s="34">
        <f t="shared" si="6"/>
        <v>132.31724561249999</v>
      </c>
      <c r="AF66" s="34">
        <f t="shared" si="7"/>
        <v>13.40625</v>
      </c>
      <c r="AG66" s="34">
        <v>48.674999999999997</v>
      </c>
      <c r="AH66" s="34">
        <v>11.34375</v>
      </c>
      <c r="AI66" s="34">
        <v>0.41250000000000003</v>
      </c>
      <c r="AJ66" s="34">
        <v>1.2375</v>
      </c>
      <c r="AK66" s="34">
        <v>1.546875</v>
      </c>
      <c r="AL66" s="34">
        <v>3.09375</v>
      </c>
      <c r="AM66" s="34">
        <v>0</v>
      </c>
      <c r="AN66" s="34">
        <v>0</v>
      </c>
      <c r="AO66" s="34">
        <v>0</v>
      </c>
      <c r="AP66" s="34">
        <v>588.1520782987501</v>
      </c>
      <c r="AQ66" s="34">
        <f t="shared" si="8"/>
        <v>654.46145329875003</v>
      </c>
      <c r="AR66" s="34">
        <f t="shared" si="9"/>
        <v>66.309374999999932</v>
      </c>
      <c r="AS66" s="34">
        <f t="shared" si="10"/>
        <v>79.715624999999932</v>
      </c>
      <c r="AT66" t="str">
        <f t="shared" si="11"/>
        <v>OK</v>
      </c>
    </row>
    <row r="67" spans="1:46" x14ac:dyDescent="0.25">
      <c r="A67" t="s">
        <v>104</v>
      </c>
      <c r="B67" t="s">
        <v>177</v>
      </c>
      <c r="C67" s="34">
        <v>2673</v>
      </c>
      <c r="D67" s="34">
        <v>222.75</v>
      </c>
      <c r="E67" s="34">
        <v>1807.4530833333333</v>
      </c>
      <c r="F67" s="34">
        <f t="shared" si="0"/>
        <v>2030.2030833333333</v>
      </c>
      <c r="G67" s="34">
        <v>0</v>
      </c>
      <c r="H67" s="34">
        <v>1807.4530833333333</v>
      </c>
      <c r="I67" s="34">
        <v>2035.6499325</v>
      </c>
      <c r="J67" s="34">
        <f t="shared" si="1"/>
        <v>228.19684916666665</v>
      </c>
      <c r="K67" s="34">
        <v>1829.3999325</v>
      </c>
      <c r="L67" s="34">
        <v>2052.1499325</v>
      </c>
      <c r="M67" s="34">
        <f t="shared" si="2"/>
        <v>222.75</v>
      </c>
      <c r="N67" s="34">
        <v>0</v>
      </c>
      <c r="O67" s="34">
        <v>0</v>
      </c>
      <c r="P67" s="34">
        <f t="shared" si="3"/>
        <v>0</v>
      </c>
      <c r="Q67" s="34">
        <v>0</v>
      </c>
      <c r="R67" s="34">
        <v>0</v>
      </c>
      <c r="S67" s="34">
        <f t="shared" si="4"/>
        <v>0</v>
      </c>
      <c r="T67" s="34">
        <v>0</v>
      </c>
      <c r="U67" s="34">
        <v>0</v>
      </c>
      <c r="V67" s="34">
        <f t="shared" si="5"/>
        <v>0</v>
      </c>
      <c r="W67" s="34">
        <v>9.6937499999999996</v>
      </c>
      <c r="X67" s="34">
        <v>3.1968749999999999</v>
      </c>
      <c r="Y67" s="34">
        <v>0.20625000000000002</v>
      </c>
      <c r="Z67" s="34">
        <v>0.30937500000000001</v>
      </c>
      <c r="AA67" s="34">
        <v>0</v>
      </c>
      <c r="AB67" s="34">
        <v>0</v>
      </c>
      <c r="AC67" s="34">
        <v>0</v>
      </c>
      <c r="AD67" s="34">
        <v>118.91099561249999</v>
      </c>
      <c r="AE67" s="34">
        <f t="shared" si="6"/>
        <v>132.31724561249999</v>
      </c>
      <c r="AF67" s="34">
        <f t="shared" si="7"/>
        <v>13.40625</v>
      </c>
      <c r="AG67" s="34">
        <v>48.674999999999997</v>
      </c>
      <c r="AH67" s="34">
        <v>11.34375</v>
      </c>
      <c r="AI67" s="34">
        <v>0.41250000000000003</v>
      </c>
      <c r="AJ67" s="34">
        <v>1.2375</v>
      </c>
      <c r="AK67" s="34">
        <v>1.546875</v>
      </c>
      <c r="AL67" s="34">
        <v>3.09375</v>
      </c>
      <c r="AM67" s="34">
        <v>0</v>
      </c>
      <c r="AN67" s="34">
        <v>0</v>
      </c>
      <c r="AO67" s="34">
        <v>0</v>
      </c>
      <c r="AP67" s="34">
        <v>588.1520782987501</v>
      </c>
      <c r="AQ67" s="34">
        <f t="shared" si="8"/>
        <v>654.46145329875003</v>
      </c>
      <c r="AR67" s="34">
        <f t="shared" si="9"/>
        <v>66.309374999999932</v>
      </c>
      <c r="AS67" s="34">
        <f t="shared" si="10"/>
        <v>79.715624999999932</v>
      </c>
      <c r="AT67" t="str">
        <f t="shared" si="11"/>
        <v>OK</v>
      </c>
    </row>
    <row r="68" spans="1:46" x14ac:dyDescent="0.25">
      <c r="A68" t="s">
        <v>104</v>
      </c>
      <c r="B68" t="s">
        <v>178</v>
      </c>
      <c r="C68" s="34">
        <v>2673</v>
      </c>
      <c r="D68" s="34">
        <v>222.75</v>
      </c>
      <c r="E68" s="34">
        <v>1807.4530833333333</v>
      </c>
      <c r="F68" s="34">
        <f t="shared" si="0"/>
        <v>2030.2030833333333</v>
      </c>
      <c r="G68" s="34">
        <v>0</v>
      </c>
      <c r="H68" s="34">
        <v>1807.4530833333333</v>
      </c>
      <c r="I68" s="34">
        <v>2035.6499325</v>
      </c>
      <c r="J68" s="34">
        <f t="shared" si="1"/>
        <v>228.19684916666665</v>
      </c>
      <c r="K68" s="34">
        <v>1829.3999325</v>
      </c>
      <c r="L68" s="34">
        <v>2052.1499325</v>
      </c>
      <c r="M68" s="34">
        <f t="shared" si="2"/>
        <v>222.75</v>
      </c>
      <c r="N68" s="34">
        <v>0</v>
      </c>
      <c r="O68" s="34">
        <v>0</v>
      </c>
      <c r="P68" s="34">
        <f t="shared" si="3"/>
        <v>0</v>
      </c>
      <c r="Q68" s="34">
        <v>0</v>
      </c>
      <c r="R68" s="34">
        <v>0</v>
      </c>
      <c r="S68" s="34">
        <f t="shared" si="4"/>
        <v>0</v>
      </c>
      <c r="T68" s="34">
        <v>0</v>
      </c>
      <c r="U68" s="34">
        <v>0</v>
      </c>
      <c r="V68" s="34">
        <f t="shared" si="5"/>
        <v>0</v>
      </c>
      <c r="W68" s="34">
        <v>9.6937499999999996</v>
      </c>
      <c r="X68" s="34">
        <v>3.1968749999999999</v>
      </c>
      <c r="Y68" s="34">
        <v>0.20625000000000002</v>
      </c>
      <c r="Z68" s="34">
        <v>0.30937500000000001</v>
      </c>
      <c r="AA68" s="34">
        <v>0</v>
      </c>
      <c r="AB68" s="34">
        <v>0</v>
      </c>
      <c r="AC68" s="34">
        <v>0</v>
      </c>
      <c r="AD68" s="34">
        <v>118.91099561249999</v>
      </c>
      <c r="AE68" s="34">
        <f t="shared" si="6"/>
        <v>132.31724561249999</v>
      </c>
      <c r="AF68" s="34">
        <f t="shared" si="7"/>
        <v>13.40625</v>
      </c>
      <c r="AG68" s="34">
        <v>48.674999999999997</v>
      </c>
      <c r="AH68" s="34">
        <v>11.34375</v>
      </c>
      <c r="AI68" s="34">
        <v>0.41250000000000003</v>
      </c>
      <c r="AJ68" s="34">
        <v>1.2375</v>
      </c>
      <c r="AK68" s="34">
        <v>1.546875</v>
      </c>
      <c r="AL68" s="34">
        <v>3.09375</v>
      </c>
      <c r="AM68" s="34">
        <v>0</v>
      </c>
      <c r="AN68" s="34">
        <v>0</v>
      </c>
      <c r="AO68" s="34">
        <v>0</v>
      </c>
      <c r="AP68" s="34">
        <v>588.1520782987501</v>
      </c>
      <c r="AQ68" s="34">
        <f t="shared" si="8"/>
        <v>654.46145329875003</v>
      </c>
      <c r="AR68" s="34">
        <f t="shared" si="9"/>
        <v>66.309374999999932</v>
      </c>
      <c r="AS68" s="34">
        <f t="shared" si="10"/>
        <v>79.715624999999932</v>
      </c>
      <c r="AT68" t="str">
        <f t="shared" si="11"/>
        <v>OK</v>
      </c>
    </row>
    <row r="69" spans="1:46" x14ac:dyDescent="0.25">
      <c r="A69" t="s">
        <v>104</v>
      </c>
      <c r="B69" t="s">
        <v>179</v>
      </c>
      <c r="C69" s="34">
        <v>2673</v>
      </c>
      <c r="D69" s="34">
        <v>222.75</v>
      </c>
      <c r="E69" s="34">
        <v>1807.4530833333333</v>
      </c>
      <c r="F69" s="34">
        <f t="shared" ref="F69:F132" si="12">$E69+$D69</f>
        <v>2030.2030833333333</v>
      </c>
      <c r="G69" s="34">
        <v>0</v>
      </c>
      <c r="H69" s="34">
        <v>1807.4530833333333</v>
      </c>
      <c r="I69" s="34">
        <v>2030.2030833333333</v>
      </c>
      <c r="J69" s="34">
        <f t="shared" ref="J69:J132" si="13">MAX(0,$I69-$H69)</f>
        <v>222.75</v>
      </c>
      <c r="K69" s="34">
        <v>1829.3999325</v>
      </c>
      <c r="L69" s="34">
        <v>2052.1499325</v>
      </c>
      <c r="M69" s="34">
        <f t="shared" ref="M69:M132" si="14">MAX(0,$L69-$K69)</f>
        <v>222.75</v>
      </c>
      <c r="N69" s="34">
        <v>0</v>
      </c>
      <c r="O69" s="34">
        <v>0</v>
      </c>
      <c r="P69" s="34">
        <f t="shared" ref="P69:P132" si="15">MAX(0,$O69-$N69)</f>
        <v>0</v>
      </c>
      <c r="Q69" s="34">
        <v>0</v>
      </c>
      <c r="R69" s="34">
        <v>0</v>
      </c>
      <c r="S69" s="34">
        <f t="shared" ref="S69:S132" si="16">MAX(0,$R69-$Q69)</f>
        <v>0</v>
      </c>
      <c r="T69" s="34">
        <v>0</v>
      </c>
      <c r="U69" s="34">
        <v>0</v>
      </c>
      <c r="V69" s="34">
        <f t="shared" ref="V69:V132" si="17">MAX(0,$U69-$T69)</f>
        <v>0</v>
      </c>
      <c r="W69" s="34">
        <v>10.469250000000001</v>
      </c>
      <c r="X69" s="34">
        <v>3.4526249999999998</v>
      </c>
      <c r="Y69" s="34">
        <v>0.22275</v>
      </c>
      <c r="Z69" s="34">
        <v>0.33412500000000001</v>
      </c>
      <c r="AA69" s="34">
        <v>0</v>
      </c>
      <c r="AB69" s="34">
        <v>0</v>
      </c>
      <c r="AC69" s="34">
        <v>0</v>
      </c>
      <c r="AD69" s="34">
        <v>118.91099561249999</v>
      </c>
      <c r="AE69" s="34">
        <f t="shared" ref="AE69:AE132" si="18">$AD69+SUM($W69:$AC69)</f>
        <v>133.38974561249998</v>
      </c>
      <c r="AF69" s="34">
        <f t="shared" ref="AF69:AF132" si="19">$AE69-$AD69</f>
        <v>14.478749999999991</v>
      </c>
      <c r="AG69" s="34">
        <v>52.568999999999996</v>
      </c>
      <c r="AH69" s="34">
        <v>12.251250000000001</v>
      </c>
      <c r="AI69" s="34">
        <v>0.44550000000000001</v>
      </c>
      <c r="AJ69" s="34">
        <v>1.3365</v>
      </c>
      <c r="AK69" s="34">
        <v>1.670625</v>
      </c>
      <c r="AL69" s="34">
        <v>3.3412500000000001</v>
      </c>
      <c r="AM69" s="34">
        <v>0</v>
      </c>
      <c r="AN69" s="34">
        <v>0</v>
      </c>
      <c r="AO69" s="34">
        <v>0</v>
      </c>
      <c r="AP69" s="34">
        <v>588.1520782987501</v>
      </c>
      <c r="AQ69" s="34">
        <f t="shared" ref="AQ69:AQ132" si="20">$AP69+SUM($AG69:$AO69)</f>
        <v>659.76620329875004</v>
      </c>
      <c r="AR69" s="34">
        <f t="shared" ref="AR69:AR132" si="21">$AQ69-$AP69</f>
        <v>71.614124999999945</v>
      </c>
      <c r="AS69" s="34">
        <f t="shared" ref="AS69:AS132" si="22">$AF69+$AR69</f>
        <v>86.092874999999935</v>
      </c>
      <c r="AT69" t="str">
        <f t="shared" ref="AT69:AT132" si="23">IF($C69=0,"SIN BONUS",IF(AND($J69&gt;=0,$M69&gt;=0,$P69&gt;=0,$S69&gt;=0,$V69&gt;=0),"OK","REVISAR"))</f>
        <v>OK</v>
      </c>
    </row>
    <row r="70" spans="1:46" x14ac:dyDescent="0.25">
      <c r="A70" t="s">
        <v>104</v>
      </c>
      <c r="B70" t="s">
        <v>180</v>
      </c>
      <c r="C70" s="34">
        <v>2673</v>
      </c>
      <c r="D70" s="34">
        <v>222.75</v>
      </c>
      <c r="E70" s="34">
        <v>1807.4530833333333</v>
      </c>
      <c r="F70" s="34">
        <f t="shared" si="12"/>
        <v>2030.2030833333333</v>
      </c>
      <c r="G70" s="34">
        <v>0</v>
      </c>
      <c r="H70" s="34">
        <v>1807.4530833333333</v>
      </c>
      <c r="I70" s="34">
        <v>2035.6499325</v>
      </c>
      <c r="J70" s="34">
        <f t="shared" si="13"/>
        <v>228.19684916666665</v>
      </c>
      <c r="K70" s="34">
        <v>1829.3999325</v>
      </c>
      <c r="L70" s="34">
        <v>2052.1499325</v>
      </c>
      <c r="M70" s="34">
        <f t="shared" si="14"/>
        <v>222.75</v>
      </c>
      <c r="N70" s="34">
        <v>0</v>
      </c>
      <c r="O70" s="34">
        <v>0</v>
      </c>
      <c r="P70" s="34">
        <f t="shared" si="15"/>
        <v>0</v>
      </c>
      <c r="Q70" s="34">
        <v>0</v>
      </c>
      <c r="R70" s="34">
        <v>0</v>
      </c>
      <c r="S70" s="34">
        <f t="shared" si="16"/>
        <v>0</v>
      </c>
      <c r="T70" s="34">
        <v>0</v>
      </c>
      <c r="U70" s="34">
        <v>0</v>
      </c>
      <c r="V70" s="34">
        <f t="shared" si="17"/>
        <v>0</v>
      </c>
      <c r="W70" s="34">
        <v>9.6937499999999996</v>
      </c>
      <c r="X70" s="34">
        <v>3.1968749999999999</v>
      </c>
      <c r="Y70" s="34">
        <v>0.20625000000000002</v>
      </c>
      <c r="Z70" s="34">
        <v>0.30937500000000001</v>
      </c>
      <c r="AA70" s="34">
        <v>0</v>
      </c>
      <c r="AB70" s="34">
        <v>0</v>
      </c>
      <c r="AC70" s="34">
        <v>0</v>
      </c>
      <c r="AD70" s="34">
        <v>118.91099561249999</v>
      </c>
      <c r="AE70" s="34">
        <f t="shared" si="18"/>
        <v>132.31724561249999</v>
      </c>
      <c r="AF70" s="34">
        <f t="shared" si="19"/>
        <v>13.40625</v>
      </c>
      <c r="AG70" s="34">
        <v>48.674999999999997</v>
      </c>
      <c r="AH70" s="34">
        <v>11.34375</v>
      </c>
      <c r="AI70" s="34">
        <v>0.41250000000000003</v>
      </c>
      <c r="AJ70" s="34">
        <v>1.2375</v>
      </c>
      <c r="AK70" s="34">
        <v>1.546875</v>
      </c>
      <c r="AL70" s="34">
        <v>3.09375</v>
      </c>
      <c r="AM70" s="34">
        <v>0</v>
      </c>
      <c r="AN70" s="34">
        <v>0</v>
      </c>
      <c r="AO70" s="34">
        <v>0</v>
      </c>
      <c r="AP70" s="34">
        <v>588.1520782987501</v>
      </c>
      <c r="AQ70" s="34">
        <f t="shared" si="20"/>
        <v>654.46145329875003</v>
      </c>
      <c r="AR70" s="34">
        <f t="shared" si="21"/>
        <v>66.309374999999932</v>
      </c>
      <c r="AS70" s="34">
        <f t="shared" si="22"/>
        <v>79.715624999999932</v>
      </c>
      <c r="AT70" t="str">
        <f t="shared" si="23"/>
        <v>OK</v>
      </c>
    </row>
    <row r="71" spans="1:46" x14ac:dyDescent="0.25">
      <c r="A71" t="s">
        <v>104</v>
      </c>
      <c r="B71" t="s">
        <v>183</v>
      </c>
      <c r="C71" s="34">
        <v>2673</v>
      </c>
      <c r="D71" s="34">
        <v>222.75</v>
      </c>
      <c r="E71" s="34">
        <v>1807.4530833333333</v>
      </c>
      <c r="F71" s="34">
        <f t="shared" si="12"/>
        <v>2030.2030833333333</v>
      </c>
      <c r="G71" s="34">
        <v>0</v>
      </c>
      <c r="H71" s="34">
        <v>1807.4530833333333</v>
      </c>
      <c r="I71" s="34">
        <v>2035.6499325</v>
      </c>
      <c r="J71" s="34">
        <f t="shared" si="13"/>
        <v>228.19684916666665</v>
      </c>
      <c r="K71" s="34">
        <v>1829.3999325</v>
      </c>
      <c r="L71" s="34">
        <v>2052.1499325</v>
      </c>
      <c r="M71" s="34">
        <f t="shared" si="14"/>
        <v>222.75</v>
      </c>
      <c r="N71" s="34">
        <v>0</v>
      </c>
      <c r="O71" s="34">
        <v>0</v>
      </c>
      <c r="P71" s="34">
        <f t="shared" si="15"/>
        <v>0</v>
      </c>
      <c r="Q71" s="34">
        <v>0</v>
      </c>
      <c r="R71" s="34">
        <v>0</v>
      </c>
      <c r="S71" s="34">
        <f t="shared" si="16"/>
        <v>0</v>
      </c>
      <c r="T71" s="34">
        <v>0</v>
      </c>
      <c r="U71" s="34">
        <v>0</v>
      </c>
      <c r="V71" s="34">
        <f t="shared" si="17"/>
        <v>0</v>
      </c>
      <c r="W71" s="34">
        <v>9.6937499999999996</v>
      </c>
      <c r="X71" s="34">
        <v>3.1968749999999999</v>
      </c>
      <c r="Y71" s="34">
        <v>0.20625000000000002</v>
      </c>
      <c r="Z71" s="34">
        <v>0.30937500000000001</v>
      </c>
      <c r="AA71" s="34">
        <v>0</v>
      </c>
      <c r="AB71" s="34">
        <v>0</v>
      </c>
      <c r="AC71" s="34">
        <v>0</v>
      </c>
      <c r="AD71" s="34">
        <v>118.91099561249999</v>
      </c>
      <c r="AE71" s="34">
        <f t="shared" si="18"/>
        <v>132.31724561249999</v>
      </c>
      <c r="AF71" s="34">
        <f t="shared" si="19"/>
        <v>13.40625</v>
      </c>
      <c r="AG71" s="34">
        <v>48.674999999999997</v>
      </c>
      <c r="AH71" s="34">
        <v>11.34375</v>
      </c>
      <c r="AI71" s="34">
        <v>0.41250000000000003</v>
      </c>
      <c r="AJ71" s="34">
        <v>1.2375</v>
      </c>
      <c r="AK71" s="34">
        <v>1.546875</v>
      </c>
      <c r="AL71" s="34">
        <v>3.09375</v>
      </c>
      <c r="AM71" s="34">
        <v>0</v>
      </c>
      <c r="AN71" s="34">
        <v>0</v>
      </c>
      <c r="AO71" s="34">
        <v>0</v>
      </c>
      <c r="AP71" s="34">
        <v>588.1520782987501</v>
      </c>
      <c r="AQ71" s="34">
        <f t="shared" si="20"/>
        <v>654.46145329875003</v>
      </c>
      <c r="AR71" s="34">
        <f t="shared" si="21"/>
        <v>66.309374999999932</v>
      </c>
      <c r="AS71" s="34">
        <f t="shared" si="22"/>
        <v>79.715624999999932</v>
      </c>
      <c r="AT71" t="str">
        <f t="shared" si="23"/>
        <v>OK</v>
      </c>
    </row>
    <row r="72" spans="1:46" x14ac:dyDescent="0.25">
      <c r="A72" t="s">
        <v>104</v>
      </c>
      <c r="B72" t="s">
        <v>184</v>
      </c>
      <c r="C72" s="34">
        <v>2673</v>
      </c>
      <c r="D72" s="34">
        <v>222.75</v>
      </c>
      <c r="E72" s="34">
        <v>1886.038</v>
      </c>
      <c r="F72" s="34">
        <f t="shared" si="12"/>
        <v>2108.788</v>
      </c>
      <c r="G72" s="34">
        <v>0</v>
      </c>
      <c r="H72" s="34">
        <v>1886.038</v>
      </c>
      <c r="I72" s="34">
        <v>2035.6499325</v>
      </c>
      <c r="J72" s="34">
        <f t="shared" si="13"/>
        <v>149.61193249999997</v>
      </c>
      <c r="K72" s="34">
        <v>1829.3999325</v>
      </c>
      <c r="L72" s="34">
        <v>2052.1499325</v>
      </c>
      <c r="M72" s="34">
        <f t="shared" si="14"/>
        <v>222.75</v>
      </c>
      <c r="N72" s="34">
        <v>0</v>
      </c>
      <c r="O72" s="34">
        <v>0</v>
      </c>
      <c r="P72" s="34">
        <f t="shared" si="15"/>
        <v>0</v>
      </c>
      <c r="Q72" s="34">
        <v>0</v>
      </c>
      <c r="R72" s="34">
        <v>0</v>
      </c>
      <c r="S72" s="34">
        <f t="shared" si="16"/>
        <v>0</v>
      </c>
      <c r="T72" s="34">
        <v>0</v>
      </c>
      <c r="U72" s="34">
        <v>0</v>
      </c>
      <c r="V72" s="34">
        <f t="shared" si="17"/>
        <v>0</v>
      </c>
      <c r="W72" s="34">
        <v>9.6937499999999996</v>
      </c>
      <c r="X72" s="34">
        <v>3.1968749999999999</v>
      </c>
      <c r="Y72" s="34">
        <v>0.20625000000000002</v>
      </c>
      <c r="Z72" s="34">
        <v>0.30937500000000001</v>
      </c>
      <c r="AA72" s="34">
        <v>0</v>
      </c>
      <c r="AB72" s="34">
        <v>0</v>
      </c>
      <c r="AC72" s="34">
        <v>0</v>
      </c>
      <c r="AD72" s="34">
        <v>118.91099561249999</v>
      </c>
      <c r="AE72" s="34">
        <f t="shared" si="18"/>
        <v>132.31724561249999</v>
      </c>
      <c r="AF72" s="34">
        <f t="shared" si="19"/>
        <v>13.40625</v>
      </c>
      <c r="AG72" s="34">
        <v>48.674999999999997</v>
      </c>
      <c r="AH72" s="34">
        <v>11.34375</v>
      </c>
      <c r="AI72" s="34">
        <v>0.41250000000000003</v>
      </c>
      <c r="AJ72" s="34">
        <v>1.2375</v>
      </c>
      <c r="AK72" s="34">
        <v>1.546875</v>
      </c>
      <c r="AL72" s="34">
        <v>3.09375</v>
      </c>
      <c r="AM72" s="34">
        <v>0</v>
      </c>
      <c r="AN72" s="34">
        <v>0</v>
      </c>
      <c r="AO72" s="34">
        <v>0</v>
      </c>
      <c r="AP72" s="34">
        <v>588.1520782987501</v>
      </c>
      <c r="AQ72" s="34">
        <f t="shared" si="20"/>
        <v>654.46145329875003</v>
      </c>
      <c r="AR72" s="34">
        <f t="shared" si="21"/>
        <v>66.309374999999932</v>
      </c>
      <c r="AS72" s="34">
        <f t="shared" si="22"/>
        <v>79.715624999999932</v>
      </c>
      <c r="AT72" t="str">
        <f t="shared" si="23"/>
        <v>OK</v>
      </c>
    </row>
    <row r="73" spans="1:46" x14ac:dyDescent="0.25">
      <c r="A73" t="s">
        <v>104</v>
      </c>
      <c r="B73" t="s">
        <v>185</v>
      </c>
      <c r="C73" s="34">
        <v>2673</v>
      </c>
      <c r="D73" s="34">
        <v>222.75</v>
      </c>
      <c r="E73" s="34">
        <v>1886.038</v>
      </c>
      <c r="F73" s="34">
        <f t="shared" si="12"/>
        <v>2108.788</v>
      </c>
      <c r="G73" s="34">
        <v>0</v>
      </c>
      <c r="H73" s="34">
        <v>1886.038</v>
      </c>
      <c r="I73" s="34">
        <v>2035.6499325</v>
      </c>
      <c r="J73" s="34">
        <f t="shared" si="13"/>
        <v>149.61193249999997</v>
      </c>
      <c r="K73" s="34">
        <v>1829.3999325</v>
      </c>
      <c r="L73" s="34">
        <v>2052.1499325</v>
      </c>
      <c r="M73" s="34">
        <f t="shared" si="14"/>
        <v>222.75</v>
      </c>
      <c r="N73" s="34">
        <v>0</v>
      </c>
      <c r="O73" s="34">
        <v>0</v>
      </c>
      <c r="P73" s="34">
        <f t="shared" si="15"/>
        <v>0</v>
      </c>
      <c r="Q73" s="34">
        <v>0</v>
      </c>
      <c r="R73" s="34">
        <v>0</v>
      </c>
      <c r="S73" s="34">
        <f t="shared" si="16"/>
        <v>0</v>
      </c>
      <c r="T73" s="34">
        <v>0</v>
      </c>
      <c r="U73" s="34">
        <v>0</v>
      </c>
      <c r="V73" s="34">
        <f t="shared" si="17"/>
        <v>0</v>
      </c>
      <c r="W73" s="34">
        <v>9.6937499999999996</v>
      </c>
      <c r="X73" s="34">
        <v>3.1968749999999999</v>
      </c>
      <c r="Y73" s="34">
        <v>0.20625000000000002</v>
      </c>
      <c r="Z73" s="34">
        <v>0.30937500000000001</v>
      </c>
      <c r="AA73" s="34">
        <v>0</v>
      </c>
      <c r="AB73" s="34">
        <v>0</v>
      </c>
      <c r="AC73" s="34">
        <v>0</v>
      </c>
      <c r="AD73" s="34">
        <v>118.91099561249999</v>
      </c>
      <c r="AE73" s="34">
        <f t="shared" si="18"/>
        <v>132.31724561249999</v>
      </c>
      <c r="AF73" s="34">
        <f t="shared" si="19"/>
        <v>13.40625</v>
      </c>
      <c r="AG73" s="34">
        <v>48.674999999999997</v>
      </c>
      <c r="AH73" s="34">
        <v>11.34375</v>
      </c>
      <c r="AI73" s="34">
        <v>0.41250000000000003</v>
      </c>
      <c r="AJ73" s="34">
        <v>1.2375</v>
      </c>
      <c r="AK73" s="34">
        <v>1.546875</v>
      </c>
      <c r="AL73" s="34">
        <v>3.09375</v>
      </c>
      <c r="AM73" s="34">
        <v>0</v>
      </c>
      <c r="AN73" s="34">
        <v>0</v>
      </c>
      <c r="AO73" s="34">
        <v>0</v>
      </c>
      <c r="AP73" s="34">
        <v>588.1520782987501</v>
      </c>
      <c r="AQ73" s="34">
        <f t="shared" si="20"/>
        <v>654.46145329875003</v>
      </c>
      <c r="AR73" s="34">
        <f t="shared" si="21"/>
        <v>66.309374999999932</v>
      </c>
      <c r="AS73" s="34">
        <f t="shared" si="22"/>
        <v>79.715624999999932</v>
      </c>
      <c r="AT73" t="str">
        <f t="shared" si="23"/>
        <v>OK</v>
      </c>
    </row>
    <row r="74" spans="1:46" x14ac:dyDescent="0.25">
      <c r="A74" t="s">
        <v>104</v>
      </c>
      <c r="B74" t="s">
        <v>186</v>
      </c>
      <c r="C74" s="34">
        <v>2673</v>
      </c>
      <c r="D74" s="34">
        <v>222.75</v>
      </c>
      <c r="E74" s="34">
        <v>1886.038</v>
      </c>
      <c r="F74" s="34">
        <f t="shared" si="12"/>
        <v>2108.788</v>
      </c>
      <c r="G74" s="34">
        <v>0</v>
      </c>
      <c r="H74" s="34">
        <v>1886.038</v>
      </c>
      <c r="I74" s="34">
        <v>2115.1890599999997</v>
      </c>
      <c r="J74" s="34">
        <f t="shared" si="13"/>
        <v>229.15105999999969</v>
      </c>
      <c r="K74" s="34">
        <v>1908.9390599999997</v>
      </c>
      <c r="L74" s="34">
        <v>2131.6890599999997</v>
      </c>
      <c r="M74" s="34">
        <f t="shared" si="14"/>
        <v>222.75</v>
      </c>
      <c r="N74" s="34">
        <v>0</v>
      </c>
      <c r="O74" s="34">
        <v>0</v>
      </c>
      <c r="P74" s="34">
        <f t="shared" si="15"/>
        <v>0</v>
      </c>
      <c r="Q74" s="34">
        <v>0</v>
      </c>
      <c r="R74" s="34">
        <v>0</v>
      </c>
      <c r="S74" s="34">
        <f t="shared" si="16"/>
        <v>0</v>
      </c>
      <c r="T74" s="34">
        <v>0</v>
      </c>
      <c r="U74" s="34">
        <v>0</v>
      </c>
      <c r="V74" s="34">
        <f t="shared" si="17"/>
        <v>0</v>
      </c>
      <c r="W74" s="34">
        <v>9.6937499999999996</v>
      </c>
      <c r="X74" s="34">
        <v>3.1968749999999999</v>
      </c>
      <c r="Y74" s="34">
        <v>0.20625000000000002</v>
      </c>
      <c r="Z74" s="34">
        <v>0.30937500000000001</v>
      </c>
      <c r="AA74" s="34">
        <v>0</v>
      </c>
      <c r="AB74" s="34">
        <v>0</v>
      </c>
      <c r="AC74" s="34">
        <v>0</v>
      </c>
      <c r="AD74" s="34">
        <v>124.08103889999998</v>
      </c>
      <c r="AE74" s="34">
        <f t="shared" si="18"/>
        <v>137.48728889999998</v>
      </c>
      <c r="AF74" s="34">
        <f t="shared" si="19"/>
        <v>13.40625</v>
      </c>
      <c r="AG74" s="34">
        <v>48.674999999999997</v>
      </c>
      <c r="AH74" s="34">
        <v>11.34375</v>
      </c>
      <c r="AI74" s="34">
        <v>0.41250000000000003</v>
      </c>
      <c r="AJ74" s="34">
        <v>1.2375</v>
      </c>
      <c r="AK74" s="34">
        <v>1.546875</v>
      </c>
      <c r="AL74" s="34">
        <v>3.09375</v>
      </c>
      <c r="AM74" s="34">
        <v>0</v>
      </c>
      <c r="AN74" s="34">
        <v>0</v>
      </c>
      <c r="AO74" s="34">
        <v>0</v>
      </c>
      <c r="AP74" s="34">
        <v>613.72390778999988</v>
      </c>
      <c r="AQ74" s="34">
        <f t="shared" si="20"/>
        <v>680.03328278999993</v>
      </c>
      <c r="AR74" s="34">
        <f t="shared" si="21"/>
        <v>66.309375000000045</v>
      </c>
      <c r="AS74" s="34">
        <f t="shared" si="22"/>
        <v>79.715625000000045</v>
      </c>
      <c r="AT74" t="str">
        <f t="shared" si="23"/>
        <v>OK</v>
      </c>
    </row>
    <row r="75" spans="1:46" x14ac:dyDescent="0.25">
      <c r="A75" t="s">
        <v>104</v>
      </c>
      <c r="B75" t="s">
        <v>187</v>
      </c>
      <c r="C75" s="34">
        <v>2673</v>
      </c>
      <c r="D75" s="34">
        <v>222.75</v>
      </c>
      <c r="E75" s="34">
        <v>1886.038</v>
      </c>
      <c r="F75" s="34">
        <f t="shared" si="12"/>
        <v>2108.788</v>
      </c>
      <c r="G75" s="34">
        <v>0</v>
      </c>
      <c r="H75" s="34">
        <v>1886.038</v>
      </c>
      <c r="I75" s="34">
        <v>2115.1890599999997</v>
      </c>
      <c r="J75" s="34">
        <f t="shared" si="13"/>
        <v>229.15105999999969</v>
      </c>
      <c r="K75" s="34">
        <v>1908.9390599999997</v>
      </c>
      <c r="L75" s="34">
        <v>2131.6890599999997</v>
      </c>
      <c r="M75" s="34">
        <f t="shared" si="14"/>
        <v>222.75</v>
      </c>
      <c r="N75" s="34">
        <v>0</v>
      </c>
      <c r="O75" s="34">
        <v>0</v>
      </c>
      <c r="P75" s="34">
        <f t="shared" si="15"/>
        <v>0</v>
      </c>
      <c r="Q75" s="34">
        <v>0</v>
      </c>
      <c r="R75" s="34">
        <v>0</v>
      </c>
      <c r="S75" s="34">
        <f t="shared" si="16"/>
        <v>0</v>
      </c>
      <c r="T75" s="34">
        <v>0</v>
      </c>
      <c r="U75" s="34">
        <v>0</v>
      </c>
      <c r="V75" s="34">
        <f t="shared" si="17"/>
        <v>0</v>
      </c>
      <c r="W75" s="34">
        <v>9.6937499999999996</v>
      </c>
      <c r="X75" s="34">
        <v>3.1968749999999999</v>
      </c>
      <c r="Y75" s="34">
        <v>0.20625000000000002</v>
      </c>
      <c r="Z75" s="34">
        <v>0.30937500000000001</v>
      </c>
      <c r="AA75" s="34">
        <v>0</v>
      </c>
      <c r="AB75" s="34">
        <v>0</v>
      </c>
      <c r="AC75" s="34">
        <v>0</v>
      </c>
      <c r="AD75" s="34">
        <v>124.08103889999998</v>
      </c>
      <c r="AE75" s="34">
        <f t="shared" si="18"/>
        <v>137.48728889999998</v>
      </c>
      <c r="AF75" s="34">
        <f t="shared" si="19"/>
        <v>13.40625</v>
      </c>
      <c r="AG75" s="34">
        <v>48.674999999999997</v>
      </c>
      <c r="AH75" s="34">
        <v>11.34375</v>
      </c>
      <c r="AI75" s="34">
        <v>0.41250000000000003</v>
      </c>
      <c r="AJ75" s="34">
        <v>1.2375</v>
      </c>
      <c r="AK75" s="34">
        <v>1.546875</v>
      </c>
      <c r="AL75" s="34">
        <v>3.09375</v>
      </c>
      <c r="AM75" s="34">
        <v>0</v>
      </c>
      <c r="AN75" s="34">
        <v>0</v>
      </c>
      <c r="AO75" s="34">
        <v>0</v>
      </c>
      <c r="AP75" s="34">
        <v>613.72390778999988</v>
      </c>
      <c r="AQ75" s="34">
        <f t="shared" si="20"/>
        <v>680.03328278999993</v>
      </c>
      <c r="AR75" s="34">
        <f t="shared" si="21"/>
        <v>66.309375000000045</v>
      </c>
      <c r="AS75" s="34">
        <f t="shared" si="22"/>
        <v>79.715625000000045</v>
      </c>
      <c r="AT75" t="str">
        <f t="shared" si="23"/>
        <v>OK</v>
      </c>
    </row>
    <row r="76" spans="1:46" x14ac:dyDescent="0.25">
      <c r="A76" t="s">
        <v>104</v>
      </c>
      <c r="B76" t="s">
        <v>189</v>
      </c>
      <c r="C76" s="34">
        <v>2673</v>
      </c>
      <c r="D76" s="34">
        <v>222.75</v>
      </c>
      <c r="E76" s="34">
        <v>1886.038</v>
      </c>
      <c r="F76" s="34">
        <f t="shared" si="12"/>
        <v>2108.788</v>
      </c>
      <c r="G76" s="34">
        <v>0</v>
      </c>
      <c r="H76" s="34">
        <v>1886.038</v>
      </c>
      <c r="I76" s="34">
        <v>2115.1890599999997</v>
      </c>
      <c r="J76" s="34">
        <f t="shared" si="13"/>
        <v>229.15105999999969</v>
      </c>
      <c r="K76" s="34">
        <v>1908.9390599999997</v>
      </c>
      <c r="L76" s="34">
        <v>2131.6890599999997</v>
      </c>
      <c r="M76" s="34">
        <f t="shared" si="14"/>
        <v>222.75</v>
      </c>
      <c r="N76" s="34">
        <v>0</v>
      </c>
      <c r="O76" s="34">
        <v>0</v>
      </c>
      <c r="P76" s="34">
        <f t="shared" si="15"/>
        <v>0</v>
      </c>
      <c r="Q76" s="34">
        <v>0</v>
      </c>
      <c r="R76" s="34">
        <v>0</v>
      </c>
      <c r="S76" s="34">
        <f t="shared" si="16"/>
        <v>0</v>
      </c>
      <c r="T76" s="34">
        <v>0</v>
      </c>
      <c r="U76" s="34">
        <v>0</v>
      </c>
      <c r="V76" s="34">
        <f t="shared" si="17"/>
        <v>0</v>
      </c>
      <c r="W76" s="34">
        <v>9.6937499999999996</v>
      </c>
      <c r="X76" s="34">
        <v>3.1968749999999999</v>
      </c>
      <c r="Y76" s="34">
        <v>0.20625000000000002</v>
      </c>
      <c r="Z76" s="34">
        <v>0.30937500000000001</v>
      </c>
      <c r="AA76" s="34">
        <v>0</v>
      </c>
      <c r="AB76" s="34">
        <v>0</v>
      </c>
      <c r="AC76" s="34">
        <v>0</v>
      </c>
      <c r="AD76" s="34">
        <v>124.08103889999998</v>
      </c>
      <c r="AE76" s="34">
        <f t="shared" si="18"/>
        <v>137.48728889999998</v>
      </c>
      <c r="AF76" s="34">
        <f t="shared" si="19"/>
        <v>13.40625</v>
      </c>
      <c r="AG76" s="34">
        <v>48.674999999999997</v>
      </c>
      <c r="AH76" s="34">
        <v>11.34375</v>
      </c>
      <c r="AI76" s="34">
        <v>0.41250000000000003</v>
      </c>
      <c r="AJ76" s="34">
        <v>1.2375</v>
      </c>
      <c r="AK76" s="34">
        <v>1.546875</v>
      </c>
      <c r="AL76" s="34">
        <v>3.09375</v>
      </c>
      <c r="AM76" s="34">
        <v>0</v>
      </c>
      <c r="AN76" s="34">
        <v>0</v>
      </c>
      <c r="AO76" s="34">
        <v>0</v>
      </c>
      <c r="AP76" s="34">
        <v>613.72390778999988</v>
      </c>
      <c r="AQ76" s="34">
        <f t="shared" si="20"/>
        <v>680.03328278999993</v>
      </c>
      <c r="AR76" s="34">
        <f t="shared" si="21"/>
        <v>66.309375000000045</v>
      </c>
      <c r="AS76" s="34">
        <f t="shared" si="22"/>
        <v>79.715625000000045</v>
      </c>
      <c r="AT76" t="str">
        <f t="shared" si="23"/>
        <v>OK</v>
      </c>
    </row>
    <row r="77" spans="1:46" x14ac:dyDescent="0.25">
      <c r="A77" t="s">
        <v>106</v>
      </c>
      <c r="B77" t="s">
        <v>173</v>
      </c>
      <c r="C77" s="34">
        <v>11875</v>
      </c>
      <c r="D77" s="34">
        <v>989.58333333333337</v>
      </c>
      <c r="E77" s="34">
        <v>4568.4613333333336</v>
      </c>
      <c r="F77" s="34">
        <f t="shared" si="12"/>
        <v>5558.0446666666667</v>
      </c>
      <c r="G77" s="34">
        <v>0</v>
      </c>
      <c r="H77" s="34">
        <v>4568.4613333333336</v>
      </c>
      <c r="I77" s="34">
        <v>5101.2</v>
      </c>
      <c r="J77" s="34">
        <f t="shared" si="13"/>
        <v>532.73866666666618</v>
      </c>
      <c r="K77" s="34">
        <v>4650.5598649999993</v>
      </c>
      <c r="L77" s="34">
        <v>5101.2</v>
      </c>
      <c r="M77" s="34">
        <f t="shared" si="14"/>
        <v>450.64013500000056</v>
      </c>
      <c r="N77" s="34">
        <v>0</v>
      </c>
      <c r="O77" s="34">
        <v>510.11999999999989</v>
      </c>
      <c r="P77" s="34">
        <f t="shared" si="15"/>
        <v>510.11999999999989</v>
      </c>
      <c r="Q77" s="34">
        <v>0</v>
      </c>
      <c r="R77" s="34">
        <v>80.906531666666524</v>
      </c>
      <c r="S77" s="34">
        <f t="shared" si="16"/>
        <v>80.906531666666524</v>
      </c>
      <c r="T77" s="34">
        <v>0</v>
      </c>
      <c r="U77" s="34">
        <v>0</v>
      </c>
      <c r="V77" s="34">
        <f t="shared" si="17"/>
        <v>0</v>
      </c>
      <c r="W77" s="34">
        <v>21.180086345000028</v>
      </c>
      <c r="X77" s="34">
        <v>6.9849220925000086</v>
      </c>
      <c r="Y77" s="34">
        <v>0.45064013500000055</v>
      </c>
      <c r="Z77" s="34">
        <v>0.67596020250000088</v>
      </c>
      <c r="AA77" s="34">
        <v>0.96922799999999976</v>
      </c>
      <c r="AB77" s="34">
        <v>0.16990371649999969</v>
      </c>
      <c r="AC77" s="34">
        <v>0</v>
      </c>
      <c r="AD77" s="34">
        <v>302.28639122499993</v>
      </c>
      <c r="AE77" s="34">
        <f t="shared" si="18"/>
        <v>332.71713171649998</v>
      </c>
      <c r="AF77" s="34">
        <f t="shared" si="19"/>
        <v>30.430740491500046</v>
      </c>
      <c r="AG77" s="34">
        <v>106.35107186000012</v>
      </c>
      <c r="AH77" s="34">
        <v>24.785207425000031</v>
      </c>
      <c r="AI77" s="34">
        <v>0.9012802700000011</v>
      </c>
      <c r="AJ77" s="34">
        <v>2.7038408100000035</v>
      </c>
      <c r="AK77" s="34">
        <v>3.3798010125000042</v>
      </c>
      <c r="AL77" s="34">
        <v>6.7596020250000084</v>
      </c>
      <c r="AM77" s="34">
        <v>4.8971519999999984</v>
      </c>
      <c r="AN77" s="34">
        <v>0.84142792933333177</v>
      </c>
      <c r="AO77" s="34">
        <v>0</v>
      </c>
      <c r="AP77" s="34">
        <v>1495.1549965974993</v>
      </c>
      <c r="AQ77" s="34">
        <f t="shared" si="20"/>
        <v>1645.7743799293328</v>
      </c>
      <c r="AR77" s="34">
        <f t="shared" si="21"/>
        <v>150.61938333183343</v>
      </c>
      <c r="AS77" s="34">
        <f t="shared" si="22"/>
        <v>181.05012382333348</v>
      </c>
      <c r="AT77" t="str">
        <f t="shared" si="23"/>
        <v>OK</v>
      </c>
    </row>
    <row r="78" spans="1:46" x14ac:dyDescent="0.25">
      <c r="A78" t="s">
        <v>106</v>
      </c>
      <c r="B78" t="s">
        <v>176</v>
      </c>
      <c r="C78" s="34">
        <v>11875</v>
      </c>
      <c r="D78" s="34">
        <v>989.58333333333337</v>
      </c>
      <c r="E78" s="34">
        <v>4568.4613333333336</v>
      </c>
      <c r="F78" s="34">
        <f t="shared" si="12"/>
        <v>5558.0446666666667</v>
      </c>
      <c r="G78" s="34">
        <v>0</v>
      </c>
      <c r="H78" s="34">
        <v>4568.4613333333336</v>
      </c>
      <c r="I78" s="34">
        <v>5101.2</v>
      </c>
      <c r="J78" s="34">
        <f t="shared" si="13"/>
        <v>532.73866666666618</v>
      </c>
      <c r="K78" s="34">
        <v>4650.5598649999993</v>
      </c>
      <c r="L78" s="34">
        <v>5101.2</v>
      </c>
      <c r="M78" s="34">
        <f t="shared" si="14"/>
        <v>450.64013500000056</v>
      </c>
      <c r="N78" s="34">
        <v>0</v>
      </c>
      <c r="O78" s="34">
        <v>510.11999999999989</v>
      </c>
      <c r="P78" s="34">
        <f t="shared" si="15"/>
        <v>510.11999999999989</v>
      </c>
      <c r="Q78" s="34">
        <v>0</v>
      </c>
      <c r="R78" s="34">
        <v>80.906531666666524</v>
      </c>
      <c r="S78" s="34">
        <f t="shared" si="16"/>
        <v>80.906531666666524</v>
      </c>
      <c r="T78" s="34">
        <v>0</v>
      </c>
      <c r="U78" s="34">
        <v>0</v>
      </c>
      <c r="V78" s="34">
        <f t="shared" si="17"/>
        <v>0</v>
      </c>
      <c r="W78" s="34">
        <v>21.180086345000028</v>
      </c>
      <c r="X78" s="34">
        <v>6.9849220925000086</v>
      </c>
      <c r="Y78" s="34">
        <v>0.45064013500000055</v>
      </c>
      <c r="Z78" s="34">
        <v>0.67596020250000088</v>
      </c>
      <c r="AA78" s="34">
        <v>0.96922799999999976</v>
      </c>
      <c r="AB78" s="34">
        <v>0.16990371649999969</v>
      </c>
      <c r="AC78" s="34">
        <v>0</v>
      </c>
      <c r="AD78" s="34">
        <v>302.28639122499993</v>
      </c>
      <c r="AE78" s="34">
        <f t="shared" si="18"/>
        <v>332.71713171649998</v>
      </c>
      <c r="AF78" s="34">
        <f t="shared" si="19"/>
        <v>30.430740491500046</v>
      </c>
      <c r="AG78" s="34">
        <v>106.35107186000012</v>
      </c>
      <c r="AH78" s="34">
        <v>24.785207425000031</v>
      </c>
      <c r="AI78" s="34">
        <v>0.9012802700000011</v>
      </c>
      <c r="AJ78" s="34">
        <v>2.7038408100000035</v>
      </c>
      <c r="AK78" s="34">
        <v>3.3798010125000042</v>
      </c>
      <c r="AL78" s="34">
        <v>6.7596020250000084</v>
      </c>
      <c r="AM78" s="34">
        <v>4.8971519999999984</v>
      </c>
      <c r="AN78" s="34">
        <v>0.84142792933333177</v>
      </c>
      <c r="AO78" s="34">
        <v>0</v>
      </c>
      <c r="AP78" s="34">
        <v>1495.1549965974993</v>
      </c>
      <c r="AQ78" s="34">
        <f t="shared" si="20"/>
        <v>1645.7743799293328</v>
      </c>
      <c r="AR78" s="34">
        <f t="shared" si="21"/>
        <v>150.61938333183343</v>
      </c>
      <c r="AS78" s="34">
        <f t="shared" si="22"/>
        <v>181.05012382333348</v>
      </c>
      <c r="AT78" t="str">
        <f t="shared" si="23"/>
        <v>OK</v>
      </c>
    </row>
    <row r="79" spans="1:46" x14ac:dyDescent="0.25">
      <c r="A79" t="s">
        <v>106</v>
      </c>
      <c r="B79" t="s">
        <v>177</v>
      </c>
      <c r="C79" s="34">
        <v>11875</v>
      </c>
      <c r="D79" s="34">
        <v>989.58333333333337</v>
      </c>
      <c r="E79" s="34">
        <v>4568.4613333333336</v>
      </c>
      <c r="F79" s="34">
        <f t="shared" si="12"/>
        <v>5558.0446666666667</v>
      </c>
      <c r="G79" s="34">
        <v>0</v>
      </c>
      <c r="H79" s="34">
        <v>4568.4613333333336</v>
      </c>
      <c r="I79" s="34">
        <v>5101.2</v>
      </c>
      <c r="J79" s="34">
        <f t="shared" si="13"/>
        <v>532.73866666666618</v>
      </c>
      <c r="K79" s="34">
        <v>4650.5598649999993</v>
      </c>
      <c r="L79" s="34">
        <v>5101.2</v>
      </c>
      <c r="M79" s="34">
        <f t="shared" si="14"/>
        <v>450.64013500000056</v>
      </c>
      <c r="N79" s="34">
        <v>0</v>
      </c>
      <c r="O79" s="34">
        <v>510.11999999999989</v>
      </c>
      <c r="P79" s="34">
        <f t="shared" si="15"/>
        <v>510.11999999999989</v>
      </c>
      <c r="Q79" s="34">
        <v>0</v>
      </c>
      <c r="R79" s="34">
        <v>80.906531666666524</v>
      </c>
      <c r="S79" s="34">
        <f t="shared" si="16"/>
        <v>80.906531666666524</v>
      </c>
      <c r="T79" s="34">
        <v>0</v>
      </c>
      <c r="U79" s="34">
        <v>0</v>
      </c>
      <c r="V79" s="34">
        <f t="shared" si="17"/>
        <v>0</v>
      </c>
      <c r="W79" s="34">
        <v>21.180086345000028</v>
      </c>
      <c r="X79" s="34">
        <v>6.9849220925000086</v>
      </c>
      <c r="Y79" s="34">
        <v>0.45064013500000055</v>
      </c>
      <c r="Z79" s="34">
        <v>0.67596020250000088</v>
      </c>
      <c r="AA79" s="34">
        <v>0.96922799999999976</v>
      </c>
      <c r="AB79" s="34">
        <v>0.16990371649999969</v>
      </c>
      <c r="AC79" s="34">
        <v>0</v>
      </c>
      <c r="AD79" s="34">
        <v>302.28639122499993</v>
      </c>
      <c r="AE79" s="34">
        <f t="shared" si="18"/>
        <v>332.71713171649998</v>
      </c>
      <c r="AF79" s="34">
        <f t="shared" si="19"/>
        <v>30.430740491500046</v>
      </c>
      <c r="AG79" s="34">
        <v>106.35107186000012</v>
      </c>
      <c r="AH79" s="34">
        <v>24.785207425000031</v>
      </c>
      <c r="AI79" s="34">
        <v>0.9012802700000011</v>
      </c>
      <c r="AJ79" s="34">
        <v>2.7038408100000035</v>
      </c>
      <c r="AK79" s="34">
        <v>3.3798010125000042</v>
      </c>
      <c r="AL79" s="34">
        <v>6.7596020250000084</v>
      </c>
      <c r="AM79" s="34">
        <v>4.8971519999999984</v>
      </c>
      <c r="AN79" s="34">
        <v>0.84142792933333177</v>
      </c>
      <c r="AO79" s="34">
        <v>0</v>
      </c>
      <c r="AP79" s="34">
        <v>1495.1549965974993</v>
      </c>
      <c r="AQ79" s="34">
        <f t="shared" si="20"/>
        <v>1645.7743799293328</v>
      </c>
      <c r="AR79" s="34">
        <f t="shared" si="21"/>
        <v>150.61938333183343</v>
      </c>
      <c r="AS79" s="34">
        <f t="shared" si="22"/>
        <v>181.05012382333348</v>
      </c>
      <c r="AT79" t="str">
        <f t="shared" si="23"/>
        <v>OK</v>
      </c>
    </row>
    <row r="80" spans="1:46" x14ac:dyDescent="0.25">
      <c r="A80" t="s">
        <v>106</v>
      </c>
      <c r="B80" t="s">
        <v>178</v>
      </c>
      <c r="C80" s="34">
        <v>11875</v>
      </c>
      <c r="D80" s="34">
        <v>989.58333333333337</v>
      </c>
      <c r="E80" s="34">
        <v>4568.4613333333336</v>
      </c>
      <c r="F80" s="34">
        <f t="shared" si="12"/>
        <v>5558.0446666666667</v>
      </c>
      <c r="G80" s="34">
        <v>0</v>
      </c>
      <c r="H80" s="34">
        <v>4568.4613333333336</v>
      </c>
      <c r="I80" s="34">
        <v>5101.2</v>
      </c>
      <c r="J80" s="34">
        <f t="shared" si="13"/>
        <v>532.73866666666618</v>
      </c>
      <c r="K80" s="34">
        <v>4650.5598649999993</v>
      </c>
      <c r="L80" s="34">
        <v>5101.2</v>
      </c>
      <c r="M80" s="34">
        <f t="shared" si="14"/>
        <v>450.64013500000056</v>
      </c>
      <c r="N80" s="34">
        <v>0</v>
      </c>
      <c r="O80" s="34">
        <v>510.11999999999989</v>
      </c>
      <c r="P80" s="34">
        <f t="shared" si="15"/>
        <v>510.11999999999989</v>
      </c>
      <c r="Q80" s="34">
        <v>0</v>
      </c>
      <c r="R80" s="34">
        <v>80.906531666666524</v>
      </c>
      <c r="S80" s="34">
        <f t="shared" si="16"/>
        <v>80.906531666666524</v>
      </c>
      <c r="T80" s="34">
        <v>0</v>
      </c>
      <c r="U80" s="34">
        <v>0</v>
      </c>
      <c r="V80" s="34">
        <f t="shared" si="17"/>
        <v>0</v>
      </c>
      <c r="W80" s="34">
        <v>21.180086345000028</v>
      </c>
      <c r="X80" s="34">
        <v>6.9849220925000086</v>
      </c>
      <c r="Y80" s="34">
        <v>0.45064013500000055</v>
      </c>
      <c r="Z80" s="34">
        <v>0.67596020250000088</v>
      </c>
      <c r="AA80" s="34">
        <v>0.96922799999999976</v>
      </c>
      <c r="AB80" s="34">
        <v>0.16990371649999969</v>
      </c>
      <c r="AC80" s="34">
        <v>0</v>
      </c>
      <c r="AD80" s="34">
        <v>302.28639122499993</v>
      </c>
      <c r="AE80" s="34">
        <f t="shared" si="18"/>
        <v>332.71713171649998</v>
      </c>
      <c r="AF80" s="34">
        <f t="shared" si="19"/>
        <v>30.430740491500046</v>
      </c>
      <c r="AG80" s="34">
        <v>106.35107186000012</v>
      </c>
      <c r="AH80" s="34">
        <v>24.785207425000031</v>
      </c>
      <c r="AI80" s="34">
        <v>0.9012802700000011</v>
      </c>
      <c r="AJ80" s="34">
        <v>2.7038408100000035</v>
      </c>
      <c r="AK80" s="34">
        <v>3.3798010125000042</v>
      </c>
      <c r="AL80" s="34">
        <v>6.7596020250000084</v>
      </c>
      <c r="AM80" s="34">
        <v>4.8971519999999984</v>
      </c>
      <c r="AN80" s="34">
        <v>0.84142792933333177</v>
      </c>
      <c r="AO80" s="34">
        <v>0</v>
      </c>
      <c r="AP80" s="34">
        <v>1495.1549965974993</v>
      </c>
      <c r="AQ80" s="34">
        <f t="shared" si="20"/>
        <v>1645.7743799293328</v>
      </c>
      <c r="AR80" s="34">
        <f t="shared" si="21"/>
        <v>150.61938333183343</v>
      </c>
      <c r="AS80" s="34">
        <f t="shared" si="22"/>
        <v>181.05012382333348</v>
      </c>
      <c r="AT80" t="str">
        <f t="shared" si="23"/>
        <v>OK</v>
      </c>
    </row>
    <row r="81" spans="1:46" x14ac:dyDescent="0.25">
      <c r="A81" t="s">
        <v>106</v>
      </c>
      <c r="B81" t="s">
        <v>179</v>
      </c>
      <c r="C81" s="34">
        <v>11875</v>
      </c>
      <c r="D81" s="34">
        <v>989.58333333333337</v>
      </c>
      <c r="E81" s="34">
        <v>4568.4613333333336</v>
      </c>
      <c r="F81" s="34">
        <f t="shared" si="12"/>
        <v>5558.0446666666667</v>
      </c>
      <c r="G81" s="34">
        <v>0</v>
      </c>
      <c r="H81" s="34">
        <v>4568.4613333333336</v>
      </c>
      <c r="I81" s="34">
        <v>5101.2</v>
      </c>
      <c r="J81" s="34">
        <f t="shared" si="13"/>
        <v>532.73866666666618</v>
      </c>
      <c r="K81" s="34">
        <v>4650.5598649999993</v>
      </c>
      <c r="L81" s="34">
        <v>5101.2</v>
      </c>
      <c r="M81" s="34">
        <f t="shared" si="14"/>
        <v>450.64013500000056</v>
      </c>
      <c r="N81" s="34">
        <v>0</v>
      </c>
      <c r="O81" s="34">
        <v>510.11999999999989</v>
      </c>
      <c r="P81" s="34">
        <f t="shared" si="15"/>
        <v>510.11999999999989</v>
      </c>
      <c r="Q81" s="34">
        <v>0</v>
      </c>
      <c r="R81" s="34">
        <v>80.906531666666524</v>
      </c>
      <c r="S81" s="34">
        <f t="shared" si="16"/>
        <v>80.906531666666524</v>
      </c>
      <c r="T81" s="34">
        <v>0</v>
      </c>
      <c r="U81" s="34">
        <v>0</v>
      </c>
      <c r="V81" s="34">
        <f t="shared" si="17"/>
        <v>0</v>
      </c>
      <c r="W81" s="34">
        <v>21.180086345000028</v>
      </c>
      <c r="X81" s="34">
        <v>6.9849220925000086</v>
      </c>
      <c r="Y81" s="34">
        <v>0.45064013500000055</v>
      </c>
      <c r="Z81" s="34">
        <v>0.67596020250000088</v>
      </c>
      <c r="AA81" s="34">
        <v>0.96922799999999976</v>
      </c>
      <c r="AB81" s="34">
        <v>0.16990371649999969</v>
      </c>
      <c r="AC81" s="34">
        <v>0</v>
      </c>
      <c r="AD81" s="34">
        <v>302.28639122499993</v>
      </c>
      <c r="AE81" s="34">
        <f t="shared" si="18"/>
        <v>332.71713171649998</v>
      </c>
      <c r="AF81" s="34">
        <f t="shared" si="19"/>
        <v>30.430740491500046</v>
      </c>
      <c r="AG81" s="34">
        <v>106.35107186000012</v>
      </c>
      <c r="AH81" s="34">
        <v>24.785207425000031</v>
      </c>
      <c r="AI81" s="34">
        <v>0.9012802700000011</v>
      </c>
      <c r="AJ81" s="34">
        <v>2.7038408100000035</v>
      </c>
      <c r="AK81" s="34">
        <v>3.3798010125000042</v>
      </c>
      <c r="AL81" s="34">
        <v>6.7596020250000084</v>
      </c>
      <c r="AM81" s="34">
        <v>4.8971519999999984</v>
      </c>
      <c r="AN81" s="34">
        <v>0.84142792933333177</v>
      </c>
      <c r="AO81" s="34">
        <v>0</v>
      </c>
      <c r="AP81" s="34">
        <v>1495.1549965974993</v>
      </c>
      <c r="AQ81" s="34">
        <f t="shared" si="20"/>
        <v>1645.7743799293328</v>
      </c>
      <c r="AR81" s="34">
        <f t="shared" si="21"/>
        <v>150.61938333183343</v>
      </c>
      <c r="AS81" s="34">
        <f t="shared" si="22"/>
        <v>181.05012382333348</v>
      </c>
      <c r="AT81" t="str">
        <f t="shared" si="23"/>
        <v>OK</v>
      </c>
    </row>
    <row r="82" spans="1:46" x14ac:dyDescent="0.25">
      <c r="A82" t="s">
        <v>106</v>
      </c>
      <c r="B82" t="s">
        <v>180</v>
      </c>
      <c r="C82" s="34">
        <v>11875</v>
      </c>
      <c r="D82" s="34">
        <v>989.58333333333337</v>
      </c>
      <c r="E82" s="34">
        <v>4568.4613333333336</v>
      </c>
      <c r="F82" s="34">
        <f t="shared" si="12"/>
        <v>5558.0446666666667</v>
      </c>
      <c r="G82" s="34">
        <v>0</v>
      </c>
      <c r="H82" s="34">
        <v>4568.4613333333336</v>
      </c>
      <c r="I82" s="34">
        <v>5101.2</v>
      </c>
      <c r="J82" s="34">
        <f t="shared" si="13"/>
        <v>532.73866666666618</v>
      </c>
      <c r="K82" s="34">
        <v>4650.5598649999993</v>
      </c>
      <c r="L82" s="34">
        <v>5101.2</v>
      </c>
      <c r="M82" s="34">
        <f t="shared" si="14"/>
        <v>450.64013500000056</v>
      </c>
      <c r="N82" s="34">
        <v>0</v>
      </c>
      <c r="O82" s="34">
        <v>510.11999999999989</v>
      </c>
      <c r="P82" s="34">
        <f t="shared" si="15"/>
        <v>510.11999999999989</v>
      </c>
      <c r="Q82" s="34">
        <v>0</v>
      </c>
      <c r="R82" s="34">
        <v>80.906531666666524</v>
      </c>
      <c r="S82" s="34">
        <f t="shared" si="16"/>
        <v>80.906531666666524</v>
      </c>
      <c r="T82" s="34">
        <v>0</v>
      </c>
      <c r="U82" s="34">
        <v>0</v>
      </c>
      <c r="V82" s="34">
        <f t="shared" si="17"/>
        <v>0</v>
      </c>
      <c r="W82" s="34">
        <v>21.180086345000028</v>
      </c>
      <c r="X82" s="34">
        <v>6.9849220925000086</v>
      </c>
      <c r="Y82" s="34">
        <v>0.45064013500000055</v>
      </c>
      <c r="Z82" s="34">
        <v>0.67596020250000088</v>
      </c>
      <c r="AA82" s="34">
        <v>0.96922799999999976</v>
      </c>
      <c r="AB82" s="34">
        <v>0.16990371649999969</v>
      </c>
      <c r="AC82" s="34">
        <v>0</v>
      </c>
      <c r="AD82" s="34">
        <v>302.28639122499993</v>
      </c>
      <c r="AE82" s="34">
        <f t="shared" si="18"/>
        <v>332.71713171649998</v>
      </c>
      <c r="AF82" s="34">
        <f t="shared" si="19"/>
        <v>30.430740491500046</v>
      </c>
      <c r="AG82" s="34">
        <v>106.35107186000012</v>
      </c>
      <c r="AH82" s="34">
        <v>24.785207425000031</v>
      </c>
      <c r="AI82" s="34">
        <v>0.9012802700000011</v>
      </c>
      <c r="AJ82" s="34">
        <v>2.7038408100000035</v>
      </c>
      <c r="AK82" s="34">
        <v>3.3798010125000042</v>
      </c>
      <c r="AL82" s="34">
        <v>6.7596020250000084</v>
      </c>
      <c r="AM82" s="34">
        <v>4.8971519999999984</v>
      </c>
      <c r="AN82" s="34">
        <v>0.84142792933333177</v>
      </c>
      <c r="AO82" s="34">
        <v>0</v>
      </c>
      <c r="AP82" s="34">
        <v>1495.1549965974993</v>
      </c>
      <c r="AQ82" s="34">
        <f t="shared" si="20"/>
        <v>1645.7743799293328</v>
      </c>
      <c r="AR82" s="34">
        <f t="shared" si="21"/>
        <v>150.61938333183343</v>
      </c>
      <c r="AS82" s="34">
        <f t="shared" si="22"/>
        <v>181.05012382333348</v>
      </c>
      <c r="AT82" t="str">
        <f t="shared" si="23"/>
        <v>OK</v>
      </c>
    </row>
    <row r="83" spans="1:46" x14ac:dyDescent="0.25">
      <c r="A83" t="s">
        <v>106</v>
      </c>
      <c r="B83" t="s">
        <v>183</v>
      </c>
      <c r="C83" s="34">
        <v>11875</v>
      </c>
      <c r="D83" s="34">
        <v>989.58333333333337</v>
      </c>
      <c r="E83" s="34">
        <v>4568.4613333333336</v>
      </c>
      <c r="F83" s="34">
        <f t="shared" si="12"/>
        <v>5558.0446666666667</v>
      </c>
      <c r="G83" s="34">
        <v>0</v>
      </c>
      <c r="H83" s="34">
        <v>4568.4613333333336</v>
      </c>
      <c r="I83" s="34">
        <v>5101.2</v>
      </c>
      <c r="J83" s="34">
        <f t="shared" si="13"/>
        <v>532.73866666666618</v>
      </c>
      <c r="K83" s="34">
        <v>4650.5598649999993</v>
      </c>
      <c r="L83" s="34">
        <v>5101.2</v>
      </c>
      <c r="M83" s="34">
        <f t="shared" si="14"/>
        <v>450.64013500000056</v>
      </c>
      <c r="N83" s="34">
        <v>0</v>
      </c>
      <c r="O83" s="34">
        <v>510.11999999999989</v>
      </c>
      <c r="P83" s="34">
        <f t="shared" si="15"/>
        <v>510.11999999999989</v>
      </c>
      <c r="Q83" s="34">
        <v>0</v>
      </c>
      <c r="R83" s="34">
        <v>80.906531666666524</v>
      </c>
      <c r="S83" s="34">
        <f t="shared" si="16"/>
        <v>80.906531666666524</v>
      </c>
      <c r="T83" s="34">
        <v>0</v>
      </c>
      <c r="U83" s="34">
        <v>0</v>
      </c>
      <c r="V83" s="34">
        <f t="shared" si="17"/>
        <v>0</v>
      </c>
      <c r="W83" s="34">
        <v>21.180086345000028</v>
      </c>
      <c r="X83" s="34">
        <v>6.9849220925000086</v>
      </c>
      <c r="Y83" s="34">
        <v>0.45064013500000055</v>
      </c>
      <c r="Z83" s="34">
        <v>0.67596020250000088</v>
      </c>
      <c r="AA83" s="34">
        <v>0.96922799999999976</v>
      </c>
      <c r="AB83" s="34">
        <v>0.16990371649999969</v>
      </c>
      <c r="AC83" s="34">
        <v>0</v>
      </c>
      <c r="AD83" s="34">
        <v>302.28639122499993</v>
      </c>
      <c r="AE83" s="34">
        <f t="shared" si="18"/>
        <v>332.71713171649998</v>
      </c>
      <c r="AF83" s="34">
        <f t="shared" si="19"/>
        <v>30.430740491500046</v>
      </c>
      <c r="AG83" s="34">
        <v>106.35107186000012</v>
      </c>
      <c r="AH83" s="34">
        <v>24.785207425000031</v>
      </c>
      <c r="AI83" s="34">
        <v>0.9012802700000011</v>
      </c>
      <c r="AJ83" s="34">
        <v>2.7038408100000035</v>
      </c>
      <c r="AK83" s="34">
        <v>3.3798010125000042</v>
      </c>
      <c r="AL83" s="34">
        <v>6.7596020250000084</v>
      </c>
      <c r="AM83" s="34">
        <v>4.8971519999999984</v>
      </c>
      <c r="AN83" s="34">
        <v>0.84142792933333177</v>
      </c>
      <c r="AO83" s="34">
        <v>0</v>
      </c>
      <c r="AP83" s="34">
        <v>1495.1549965974993</v>
      </c>
      <c r="AQ83" s="34">
        <f t="shared" si="20"/>
        <v>1645.7743799293328</v>
      </c>
      <c r="AR83" s="34">
        <f t="shared" si="21"/>
        <v>150.61938333183343</v>
      </c>
      <c r="AS83" s="34">
        <f t="shared" si="22"/>
        <v>181.05012382333348</v>
      </c>
      <c r="AT83" t="str">
        <f t="shared" si="23"/>
        <v>OK</v>
      </c>
    </row>
    <row r="84" spans="1:46" x14ac:dyDescent="0.25">
      <c r="A84" t="s">
        <v>106</v>
      </c>
      <c r="B84" t="s">
        <v>184</v>
      </c>
      <c r="C84" s="34">
        <v>11875</v>
      </c>
      <c r="D84" s="34">
        <v>989.58333333333337</v>
      </c>
      <c r="E84" s="34">
        <v>4776.1186666666672</v>
      </c>
      <c r="F84" s="34">
        <f t="shared" si="12"/>
        <v>5765.7020000000002</v>
      </c>
      <c r="G84" s="34">
        <v>0</v>
      </c>
      <c r="H84" s="34">
        <v>4776.1186666666672</v>
      </c>
      <c r="I84" s="34">
        <v>5101.2</v>
      </c>
      <c r="J84" s="34">
        <f t="shared" si="13"/>
        <v>325.08133333333262</v>
      </c>
      <c r="K84" s="34">
        <v>4650.5598649999993</v>
      </c>
      <c r="L84" s="34">
        <v>5101.2</v>
      </c>
      <c r="M84" s="34">
        <f t="shared" si="14"/>
        <v>450.64013500000056</v>
      </c>
      <c r="N84" s="34">
        <v>0</v>
      </c>
      <c r="O84" s="34">
        <v>510.11999999999989</v>
      </c>
      <c r="P84" s="34">
        <f t="shared" si="15"/>
        <v>510.11999999999989</v>
      </c>
      <c r="Q84" s="34">
        <v>0</v>
      </c>
      <c r="R84" s="34">
        <v>80.906531666666524</v>
      </c>
      <c r="S84" s="34">
        <f t="shared" si="16"/>
        <v>80.906531666666524</v>
      </c>
      <c r="T84" s="34">
        <v>0</v>
      </c>
      <c r="U84" s="34">
        <v>0</v>
      </c>
      <c r="V84" s="34">
        <f t="shared" si="17"/>
        <v>0</v>
      </c>
      <c r="W84" s="34">
        <v>21.180086345000028</v>
      </c>
      <c r="X84" s="34">
        <v>6.9849220925000086</v>
      </c>
      <c r="Y84" s="34">
        <v>0.45064013500000055</v>
      </c>
      <c r="Z84" s="34">
        <v>0.67596020250000088</v>
      </c>
      <c r="AA84" s="34">
        <v>0.96922799999999976</v>
      </c>
      <c r="AB84" s="34">
        <v>0.16990371649999969</v>
      </c>
      <c r="AC84" s="34">
        <v>0</v>
      </c>
      <c r="AD84" s="34">
        <v>302.28639122499993</v>
      </c>
      <c r="AE84" s="34">
        <f t="shared" si="18"/>
        <v>332.71713171649998</v>
      </c>
      <c r="AF84" s="34">
        <f t="shared" si="19"/>
        <v>30.430740491500046</v>
      </c>
      <c r="AG84" s="34">
        <v>106.35107186000012</v>
      </c>
      <c r="AH84" s="34">
        <v>24.785207425000031</v>
      </c>
      <c r="AI84" s="34">
        <v>0.9012802700000011</v>
      </c>
      <c r="AJ84" s="34">
        <v>2.7038408100000035</v>
      </c>
      <c r="AK84" s="34">
        <v>3.3798010125000042</v>
      </c>
      <c r="AL84" s="34">
        <v>6.7596020250000084</v>
      </c>
      <c r="AM84" s="34">
        <v>4.8971519999999984</v>
      </c>
      <c r="AN84" s="34">
        <v>0.84142792933333177</v>
      </c>
      <c r="AO84" s="34">
        <v>0</v>
      </c>
      <c r="AP84" s="34">
        <v>1495.1549965974993</v>
      </c>
      <c r="AQ84" s="34">
        <f t="shared" si="20"/>
        <v>1645.7743799293328</v>
      </c>
      <c r="AR84" s="34">
        <f t="shared" si="21"/>
        <v>150.61938333183343</v>
      </c>
      <c r="AS84" s="34">
        <f t="shared" si="22"/>
        <v>181.05012382333348</v>
      </c>
      <c r="AT84" t="str">
        <f t="shared" si="23"/>
        <v>OK</v>
      </c>
    </row>
    <row r="85" spans="1:46" x14ac:dyDescent="0.25">
      <c r="A85" t="s">
        <v>106</v>
      </c>
      <c r="B85" t="s">
        <v>185</v>
      </c>
      <c r="C85" s="34">
        <v>11875</v>
      </c>
      <c r="D85" s="34">
        <v>989.58333333333337</v>
      </c>
      <c r="E85" s="34">
        <v>4776.1186666666672</v>
      </c>
      <c r="F85" s="34">
        <f t="shared" si="12"/>
        <v>5765.7020000000002</v>
      </c>
      <c r="G85" s="34">
        <v>0</v>
      </c>
      <c r="H85" s="34">
        <v>4776.1186666666672</v>
      </c>
      <c r="I85" s="34">
        <v>5101.2</v>
      </c>
      <c r="J85" s="34">
        <f t="shared" si="13"/>
        <v>325.08133333333262</v>
      </c>
      <c r="K85" s="34">
        <v>4650.5598649999993</v>
      </c>
      <c r="L85" s="34">
        <v>5101.2</v>
      </c>
      <c r="M85" s="34">
        <f t="shared" si="14"/>
        <v>450.64013500000056</v>
      </c>
      <c r="N85" s="34">
        <v>0</v>
      </c>
      <c r="O85" s="34">
        <v>510.11999999999989</v>
      </c>
      <c r="P85" s="34">
        <f t="shared" si="15"/>
        <v>510.11999999999989</v>
      </c>
      <c r="Q85" s="34">
        <v>0</v>
      </c>
      <c r="R85" s="34">
        <v>80.906531666666524</v>
      </c>
      <c r="S85" s="34">
        <f t="shared" si="16"/>
        <v>80.906531666666524</v>
      </c>
      <c r="T85" s="34">
        <v>0</v>
      </c>
      <c r="U85" s="34">
        <v>0</v>
      </c>
      <c r="V85" s="34">
        <f t="shared" si="17"/>
        <v>0</v>
      </c>
      <c r="W85" s="34">
        <v>21.180086345000028</v>
      </c>
      <c r="X85" s="34">
        <v>6.9849220925000086</v>
      </c>
      <c r="Y85" s="34">
        <v>0.45064013500000055</v>
      </c>
      <c r="Z85" s="34">
        <v>0.67596020250000088</v>
      </c>
      <c r="AA85" s="34">
        <v>0.96922799999999976</v>
      </c>
      <c r="AB85" s="34">
        <v>0.16990371649999969</v>
      </c>
      <c r="AC85" s="34">
        <v>0</v>
      </c>
      <c r="AD85" s="34">
        <v>302.28639122499993</v>
      </c>
      <c r="AE85" s="34">
        <f t="shared" si="18"/>
        <v>332.71713171649998</v>
      </c>
      <c r="AF85" s="34">
        <f t="shared" si="19"/>
        <v>30.430740491500046</v>
      </c>
      <c r="AG85" s="34">
        <v>106.35107186000012</v>
      </c>
      <c r="AH85" s="34">
        <v>24.785207425000031</v>
      </c>
      <c r="AI85" s="34">
        <v>0.9012802700000011</v>
      </c>
      <c r="AJ85" s="34">
        <v>2.7038408100000035</v>
      </c>
      <c r="AK85" s="34">
        <v>3.3798010125000042</v>
      </c>
      <c r="AL85" s="34">
        <v>6.7596020250000084</v>
      </c>
      <c r="AM85" s="34">
        <v>4.8971519999999984</v>
      </c>
      <c r="AN85" s="34">
        <v>0.84142792933333177</v>
      </c>
      <c r="AO85" s="34">
        <v>0</v>
      </c>
      <c r="AP85" s="34">
        <v>1495.1549965974993</v>
      </c>
      <c r="AQ85" s="34">
        <f t="shared" si="20"/>
        <v>1645.7743799293328</v>
      </c>
      <c r="AR85" s="34">
        <f t="shared" si="21"/>
        <v>150.61938333183343</v>
      </c>
      <c r="AS85" s="34">
        <f t="shared" si="22"/>
        <v>181.05012382333348</v>
      </c>
      <c r="AT85" t="str">
        <f t="shared" si="23"/>
        <v>OK</v>
      </c>
    </row>
    <row r="86" spans="1:46" x14ac:dyDescent="0.25">
      <c r="A86" t="s">
        <v>106</v>
      </c>
      <c r="B86" t="s">
        <v>186</v>
      </c>
      <c r="C86" s="34">
        <v>11875</v>
      </c>
      <c r="D86" s="34">
        <v>989.58333333333337</v>
      </c>
      <c r="E86" s="34">
        <v>4776.1186666666672</v>
      </c>
      <c r="F86" s="34">
        <f t="shared" si="12"/>
        <v>5765.7020000000002</v>
      </c>
      <c r="G86" s="34">
        <v>0</v>
      </c>
      <c r="H86" s="34">
        <v>4776.1186666666672</v>
      </c>
      <c r="I86" s="34">
        <v>5101.2</v>
      </c>
      <c r="J86" s="34">
        <f t="shared" si="13"/>
        <v>325.08133333333262</v>
      </c>
      <c r="K86" s="34">
        <v>4650.5598649999993</v>
      </c>
      <c r="L86" s="34">
        <v>5101.2</v>
      </c>
      <c r="M86" s="34">
        <f t="shared" si="14"/>
        <v>450.64013500000056</v>
      </c>
      <c r="N86" s="34">
        <v>0</v>
      </c>
      <c r="O86" s="34">
        <v>510.11999999999989</v>
      </c>
      <c r="P86" s="34">
        <f t="shared" si="15"/>
        <v>510.11999999999989</v>
      </c>
      <c r="Q86" s="34">
        <v>0</v>
      </c>
      <c r="R86" s="34">
        <v>80.906531666666524</v>
      </c>
      <c r="S86" s="34">
        <f t="shared" si="16"/>
        <v>80.906531666666524</v>
      </c>
      <c r="T86" s="34">
        <v>0</v>
      </c>
      <c r="U86" s="34">
        <v>0</v>
      </c>
      <c r="V86" s="34">
        <f t="shared" si="17"/>
        <v>0</v>
      </c>
      <c r="W86" s="34">
        <v>21.180086345000028</v>
      </c>
      <c r="X86" s="34">
        <v>6.9849220925000086</v>
      </c>
      <c r="Y86" s="34">
        <v>0.45064013500000055</v>
      </c>
      <c r="Z86" s="34">
        <v>0.67596020250000088</v>
      </c>
      <c r="AA86" s="34">
        <v>0.96922799999999976</v>
      </c>
      <c r="AB86" s="34">
        <v>0.16990371649999969</v>
      </c>
      <c r="AC86" s="34">
        <v>0</v>
      </c>
      <c r="AD86" s="34">
        <v>302.28639122499993</v>
      </c>
      <c r="AE86" s="34">
        <f t="shared" si="18"/>
        <v>332.71713171649998</v>
      </c>
      <c r="AF86" s="34">
        <f t="shared" si="19"/>
        <v>30.430740491500046</v>
      </c>
      <c r="AG86" s="34">
        <v>106.35107186000012</v>
      </c>
      <c r="AH86" s="34">
        <v>24.785207425000031</v>
      </c>
      <c r="AI86" s="34">
        <v>0.9012802700000011</v>
      </c>
      <c r="AJ86" s="34">
        <v>2.7038408100000035</v>
      </c>
      <c r="AK86" s="34">
        <v>3.3798010125000042</v>
      </c>
      <c r="AL86" s="34">
        <v>6.7596020250000084</v>
      </c>
      <c r="AM86" s="34">
        <v>4.8971519999999984</v>
      </c>
      <c r="AN86" s="34">
        <v>0.84142792933333177</v>
      </c>
      <c r="AO86" s="34">
        <v>0</v>
      </c>
      <c r="AP86" s="34">
        <v>1495.1549965974993</v>
      </c>
      <c r="AQ86" s="34">
        <f t="shared" si="20"/>
        <v>1645.7743799293328</v>
      </c>
      <c r="AR86" s="34">
        <f t="shared" si="21"/>
        <v>150.61938333183343</v>
      </c>
      <c r="AS86" s="34">
        <f t="shared" si="22"/>
        <v>181.05012382333348</v>
      </c>
      <c r="AT86" t="str">
        <f t="shared" si="23"/>
        <v>OK</v>
      </c>
    </row>
    <row r="87" spans="1:46" x14ac:dyDescent="0.25">
      <c r="A87" t="s">
        <v>106</v>
      </c>
      <c r="B87" t="s">
        <v>187</v>
      </c>
      <c r="C87" s="34">
        <v>11875</v>
      </c>
      <c r="D87" s="34">
        <v>989.58333333333337</v>
      </c>
      <c r="E87" s="34">
        <v>4776.1186666666672</v>
      </c>
      <c r="F87" s="34">
        <f t="shared" si="12"/>
        <v>5765.7020000000002</v>
      </c>
      <c r="G87" s="34">
        <v>0</v>
      </c>
      <c r="H87" s="34">
        <v>4776.1186666666672</v>
      </c>
      <c r="I87" s="34">
        <v>5101.2</v>
      </c>
      <c r="J87" s="34">
        <f t="shared" si="13"/>
        <v>325.08133333333262</v>
      </c>
      <c r="K87" s="34">
        <v>4650.5598649999993</v>
      </c>
      <c r="L87" s="34">
        <v>5101.2</v>
      </c>
      <c r="M87" s="34">
        <f t="shared" si="14"/>
        <v>450.64013500000056</v>
      </c>
      <c r="N87" s="34">
        <v>0</v>
      </c>
      <c r="O87" s="34">
        <v>510.11999999999989</v>
      </c>
      <c r="P87" s="34">
        <f t="shared" si="15"/>
        <v>510.11999999999989</v>
      </c>
      <c r="Q87" s="34">
        <v>0</v>
      </c>
      <c r="R87" s="34">
        <v>80.906531666666524</v>
      </c>
      <c r="S87" s="34">
        <f t="shared" si="16"/>
        <v>80.906531666666524</v>
      </c>
      <c r="T87" s="34">
        <v>0</v>
      </c>
      <c r="U87" s="34">
        <v>0</v>
      </c>
      <c r="V87" s="34">
        <f t="shared" si="17"/>
        <v>0</v>
      </c>
      <c r="W87" s="34">
        <v>21.180086345000028</v>
      </c>
      <c r="X87" s="34">
        <v>6.9849220925000086</v>
      </c>
      <c r="Y87" s="34">
        <v>0.45064013500000055</v>
      </c>
      <c r="Z87" s="34">
        <v>0.67596020250000088</v>
      </c>
      <c r="AA87" s="34">
        <v>0.96922799999999976</v>
      </c>
      <c r="AB87" s="34">
        <v>0.16990371649999969</v>
      </c>
      <c r="AC87" s="34">
        <v>0</v>
      </c>
      <c r="AD87" s="34">
        <v>302.28639122499993</v>
      </c>
      <c r="AE87" s="34">
        <f t="shared" si="18"/>
        <v>332.71713171649998</v>
      </c>
      <c r="AF87" s="34">
        <f t="shared" si="19"/>
        <v>30.430740491500046</v>
      </c>
      <c r="AG87" s="34">
        <v>106.35107186000012</v>
      </c>
      <c r="AH87" s="34">
        <v>24.785207425000031</v>
      </c>
      <c r="AI87" s="34">
        <v>0.9012802700000011</v>
      </c>
      <c r="AJ87" s="34">
        <v>2.7038408100000035</v>
      </c>
      <c r="AK87" s="34">
        <v>3.3798010125000042</v>
      </c>
      <c r="AL87" s="34">
        <v>6.7596020250000084</v>
      </c>
      <c r="AM87" s="34">
        <v>4.8971519999999984</v>
      </c>
      <c r="AN87" s="34">
        <v>0.84142792933333177</v>
      </c>
      <c r="AO87" s="34">
        <v>0</v>
      </c>
      <c r="AP87" s="34">
        <v>1495.1549965974993</v>
      </c>
      <c r="AQ87" s="34">
        <f t="shared" si="20"/>
        <v>1645.7743799293328</v>
      </c>
      <c r="AR87" s="34">
        <f t="shared" si="21"/>
        <v>150.61938333183343</v>
      </c>
      <c r="AS87" s="34">
        <f t="shared" si="22"/>
        <v>181.05012382333348</v>
      </c>
      <c r="AT87" t="str">
        <f t="shared" si="23"/>
        <v>OK</v>
      </c>
    </row>
    <row r="88" spans="1:46" x14ac:dyDescent="0.25">
      <c r="A88" t="s">
        <v>106</v>
      </c>
      <c r="B88" t="s">
        <v>189</v>
      </c>
      <c r="C88" s="34">
        <v>11875</v>
      </c>
      <c r="D88" s="34">
        <v>989.58333333333337</v>
      </c>
      <c r="E88" s="34">
        <v>4776.1186666666672</v>
      </c>
      <c r="F88" s="34">
        <f t="shared" si="12"/>
        <v>5765.7020000000002</v>
      </c>
      <c r="G88" s="34">
        <v>0</v>
      </c>
      <c r="H88" s="34">
        <v>4776.1186666666672</v>
      </c>
      <c r="I88" s="34">
        <v>5101.2</v>
      </c>
      <c r="J88" s="34">
        <f t="shared" si="13"/>
        <v>325.08133333333262</v>
      </c>
      <c r="K88" s="34">
        <v>4650.5598649999993</v>
      </c>
      <c r="L88" s="34">
        <v>5101.2</v>
      </c>
      <c r="M88" s="34">
        <f t="shared" si="14"/>
        <v>450.64013500000056</v>
      </c>
      <c r="N88" s="34">
        <v>0</v>
      </c>
      <c r="O88" s="34">
        <v>510.11999999999989</v>
      </c>
      <c r="P88" s="34">
        <f t="shared" si="15"/>
        <v>510.11999999999989</v>
      </c>
      <c r="Q88" s="34">
        <v>0</v>
      </c>
      <c r="R88" s="34">
        <v>80.906531666666524</v>
      </c>
      <c r="S88" s="34">
        <f t="shared" si="16"/>
        <v>80.906531666666524</v>
      </c>
      <c r="T88" s="34">
        <v>0</v>
      </c>
      <c r="U88" s="34">
        <v>0</v>
      </c>
      <c r="V88" s="34">
        <f t="shared" si="17"/>
        <v>0</v>
      </c>
      <c r="W88" s="34">
        <v>21.180086345000028</v>
      </c>
      <c r="X88" s="34">
        <v>6.9849220925000086</v>
      </c>
      <c r="Y88" s="34">
        <v>0.45064013500000055</v>
      </c>
      <c r="Z88" s="34">
        <v>0.67596020250000088</v>
      </c>
      <c r="AA88" s="34">
        <v>0.96922799999999976</v>
      </c>
      <c r="AB88" s="34">
        <v>0.16990371649999969</v>
      </c>
      <c r="AC88" s="34">
        <v>0</v>
      </c>
      <c r="AD88" s="34">
        <v>302.28639122499993</v>
      </c>
      <c r="AE88" s="34">
        <f t="shared" si="18"/>
        <v>332.71713171649998</v>
      </c>
      <c r="AF88" s="34">
        <f t="shared" si="19"/>
        <v>30.430740491500046</v>
      </c>
      <c r="AG88" s="34">
        <v>106.35107186000012</v>
      </c>
      <c r="AH88" s="34">
        <v>24.785207425000031</v>
      </c>
      <c r="AI88" s="34">
        <v>0.9012802700000011</v>
      </c>
      <c r="AJ88" s="34">
        <v>2.7038408100000035</v>
      </c>
      <c r="AK88" s="34">
        <v>3.3798010125000042</v>
      </c>
      <c r="AL88" s="34">
        <v>6.7596020250000084</v>
      </c>
      <c r="AM88" s="34">
        <v>4.8971519999999984</v>
      </c>
      <c r="AN88" s="34">
        <v>0.84142792933333177</v>
      </c>
      <c r="AO88" s="34">
        <v>0</v>
      </c>
      <c r="AP88" s="34">
        <v>1495.1549965974993</v>
      </c>
      <c r="AQ88" s="34">
        <f t="shared" si="20"/>
        <v>1645.7743799293328</v>
      </c>
      <c r="AR88" s="34">
        <f t="shared" si="21"/>
        <v>150.61938333183343</v>
      </c>
      <c r="AS88" s="34">
        <f t="shared" si="22"/>
        <v>181.05012382333348</v>
      </c>
      <c r="AT88" t="str">
        <f t="shared" si="23"/>
        <v>OK</v>
      </c>
    </row>
    <row r="89" spans="1:46" x14ac:dyDescent="0.25">
      <c r="A89" t="s">
        <v>108</v>
      </c>
      <c r="B89" t="s">
        <v>173</v>
      </c>
      <c r="C89" s="34">
        <v>2388</v>
      </c>
      <c r="D89" s="34">
        <v>199</v>
      </c>
      <c r="E89" s="34">
        <v>2659.6342500000001</v>
      </c>
      <c r="F89" s="34">
        <f t="shared" si="12"/>
        <v>2858.6342500000001</v>
      </c>
      <c r="G89" s="34">
        <v>0</v>
      </c>
      <c r="H89" s="34">
        <v>2659.6342500000001</v>
      </c>
      <c r="I89" s="34">
        <v>2902.6834799999997</v>
      </c>
      <c r="J89" s="34">
        <f t="shared" si="13"/>
        <v>243.04922999999962</v>
      </c>
      <c r="K89" s="34">
        <v>2716.6834799999997</v>
      </c>
      <c r="L89" s="34">
        <v>2915.6834799999997</v>
      </c>
      <c r="M89" s="34">
        <f t="shared" si="14"/>
        <v>199</v>
      </c>
      <c r="N89" s="34">
        <v>0</v>
      </c>
      <c r="O89" s="34">
        <v>0</v>
      </c>
      <c r="P89" s="34">
        <f t="shared" si="15"/>
        <v>0</v>
      </c>
      <c r="Q89" s="34">
        <v>0</v>
      </c>
      <c r="R89" s="34">
        <v>0</v>
      </c>
      <c r="S89" s="34">
        <f t="shared" si="16"/>
        <v>0</v>
      </c>
      <c r="T89" s="34">
        <v>0</v>
      </c>
      <c r="U89" s="34">
        <v>0</v>
      </c>
      <c r="V89" s="34">
        <f t="shared" si="17"/>
        <v>0</v>
      </c>
      <c r="W89" s="34">
        <v>8.7420000000000009</v>
      </c>
      <c r="X89" s="34">
        <v>2.883</v>
      </c>
      <c r="Y89" s="34">
        <v>0.186</v>
      </c>
      <c r="Z89" s="34">
        <v>0.27900000000000003</v>
      </c>
      <c r="AA89" s="34">
        <v>0</v>
      </c>
      <c r="AB89" s="34">
        <v>0</v>
      </c>
      <c r="AC89" s="34">
        <v>0</v>
      </c>
      <c r="AD89" s="34">
        <v>176.58442619999997</v>
      </c>
      <c r="AE89" s="34">
        <f t="shared" si="18"/>
        <v>188.67442619999997</v>
      </c>
      <c r="AF89" s="34">
        <f t="shared" si="19"/>
        <v>12.090000000000003</v>
      </c>
      <c r="AG89" s="34">
        <v>43.896000000000001</v>
      </c>
      <c r="AH89" s="34">
        <v>10.23</v>
      </c>
      <c r="AI89" s="34">
        <v>0.372</v>
      </c>
      <c r="AJ89" s="34">
        <v>1.1160000000000001</v>
      </c>
      <c r="AK89" s="34">
        <v>1.395</v>
      </c>
      <c r="AL89" s="34">
        <v>2.79</v>
      </c>
      <c r="AM89" s="34">
        <v>0</v>
      </c>
      <c r="AN89" s="34">
        <v>0</v>
      </c>
      <c r="AO89" s="34">
        <v>0</v>
      </c>
      <c r="AP89" s="34">
        <v>873.41373881999971</v>
      </c>
      <c r="AQ89" s="34">
        <f t="shared" si="20"/>
        <v>933.21273881999969</v>
      </c>
      <c r="AR89" s="34">
        <f t="shared" si="21"/>
        <v>59.798999999999978</v>
      </c>
      <c r="AS89" s="34">
        <f t="shared" si="22"/>
        <v>71.888999999999982</v>
      </c>
      <c r="AT89" t="str">
        <f t="shared" si="23"/>
        <v>OK</v>
      </c>
    </row>
    <row r="90" spans="1:46" x14ac:dyDescent="0.25">
      <c r="A90" t="s">
        <v>108</v>
      </c>
      <c r="B90" t="s">
        <v>176</v>
      </c>
      <c r="C90" s="34">
        <v>2388</v>
      </c>
      <c r="D90" s="34">
        <v>199</v>
      </c>
      <c r="E90" s="34">
        <v>2786.2835</v>
      </c>
      <c r="F90" s="34">
        <f t="shared" si="12"/>
        <v>2985.2835</v>
      </c>
      <c r="G90" s="34">
        <v>0</v>
      </c>
      <c r="H90" s="34">
        <v>2786.2835</v>
      </c>
      <c r="I90" s="34">
        <v>2902.6834799999997</v>
      </c>
      <c r="J90" s="34">
        <f t="shared" si="13"/>
        <v>116.39997999999969</v>
      </c>
      <c r="K90" s="34">
        <v>2716.6834799999997</v>
      </c>
      <c r="L90" s="34">
        <v>2915.6834799999997</v>
      </c>
      <c r="M90" s="34">
        <f t="shared" si="14"/>
        <v>199</v>
      </c>
      <c r="N90" s="34">
        <v>0</v>
      </c>
      <c r="O90" s="34">
        <v>0</v>
      </c>
      <c r="P90" s="34">
        <f t="shared" si="15"/>
        <v>0</v>
      </c>
      <c r="Q90" s="34">
        <v>0</v>
      </c>
      <c r="R90" s="34">
        <v>0</v>
      </c>
      <c r="S90" s="34">
        <f t="shared" si="16"/>
        <v>0</v>
      </c>
      <c r="T90" s="34">
        <v>0</v>
      </c>
      <c r="U90" s="34">
        <v>0</v>
      </c>
      <c r="V90" s="34">
        <f t="shared" si="17"/>
        <v>0</v>
      </c>
      <c r="W90" s="34">
        <v>8.7420000000000009</v>
      </c>
      <c r="X90" s="34">
        <v>2.883</v>
      </c>
      <c r="Y90" s="34">
        <v>0.186</v>
      </c>
      <c r="Z90" s="34">
        <v>0.27900000000000003</v>
      </c>
      <c r="AA90" s="34">
        <v>0</v>
      </c>
      <c r="AB90" s="34">
        <v>0</v>
      </c>
      <c r="AC90" s="34">
        <v>0</v>
      </c>
      <c r="AD90" s="34">
        <v>176.58442619999997</v>
      </c>
      <c r="AE90" s="34">
        <f t="shared" si="18"/>
        <v>188.67442619999997</v>
      </c>
      <c r="AF90" s="34">
        <f t="shared" si="19"/>
        <v>12.090000000000003</v>
      </c>
      <c r="AG90" s="34">
        <v>43.896000000000001</v>
      </c>
      <c r="AH90" s="34">
        <v>10.23</v>
      </c>
      <c r="AI90" s="34">
        <v>0.372</v>
      </c>
      <c r="AJ90" s="34">
        <v>1.1160000000000001</v>
      </c>
      <c r="AK90" s="34">
        <v>1.395</v>
      </c>
      <c r="AL90" s="34">
        <v>2.79</v>
      </c>
      <c r="AM90" s="34">
        <v>0</v>
      </c>
      <c r="AN90" s="34">
        <v>0</v>
      </c>
      <c r="AO90" s="34">
        <v>0</v>
      </c>
      <c r="AP90" s="34">
        <v>873.41373881999971</v>
      </c>
      <c r="AQ90" s="34">
        <f t="shared" si="20"/>
        <v>933.21273881999969</v>
      </c>
      <c r="AR90" s="34">
        <f t="shared" si="21"/>
        <v>59.798999999999978</v>
      </c>
      <c r="AS90" s="34">
        <f t="shared" si="22"/>
        <v>71.888999999999982</v>
      </c>
      <c r="AT90" t="str">
        <f t="shared" si="23"/>
        <v>OK</v>
      </c>
    </row>
    <row r="91" spans="1:46" x14ac:dyDescent="0.25">
      <c r="A91" t="s">
        <v>108</v>
      </c>
      <c r="B91" t="s">
        <v>177</v>
      </c>
      <c r="C91" s="34">
        <v>2388</v>
      </c>
      <c r="D91" s="34">
        <v>199</v>
      </c>
      <c r="E91" s="34">
        <v>2786.2835</v>
      </c>
      <c r="F91" s="34">
        <f t="shared" si="12"/>
        <v>2985.2835</v>
      </c>
      <c r="G91" s="34">
        <v>0</v>
      </c>
      <c r="H91" s="34">
        <v>2786.2835</v>
      </c>
      <c r="I91" s="34">
        <v>2902.6834799999997</v>
      </c>
      <c r="J91" s="34">
        <f t="shared" si="13"/>
        <v>116.39997999999969</v>
      </c>
      <c r="K91" s="34">
        <v>2716.6834799999997</v>
      </c>
      <c r="L91" s="34">
        <v>2915.6834799999997</v>
      </c>
      <c r="M91" s="34">
        <f t="shared" si="14"/>
        <v>199</v>
      </c>
      <c r="N91" s="34">
        <v>0</v>
      </c>
      <c r="O91" s="34">
        <v>0</v>
      </c>
      <c r="P91" s="34">
        <f t="shared" si="15"/>
        <v>0</v>
      </c>
      <c r="Q91" s="34">
        <v>0</v>
      </c>
      <c r="R91" s="34">
        <v>0</v>
      </c>
      <c r="S91" s="34">
        <f t="shared" si="16"/>
        <v>0</v>
      </c>
      <c r="T91" s="34">
        <v>0</v>
      </c>
      <c r="U91" s="34">
        <v>0</v>
      </c>
      <c r="V91" s="34">
        <f t="shared" si="17"/>
        <v>0</v>
      </c>
      <c r="W91" s="34">
        <v>8.7420000000000009</v>
      </c>
      <c r="X91" s="34">
        <v>2.883</v>
      </c>
      <c r="Y91" s="34">
        <v>0.186</v>
      </c>
      <c r="Z91" s="34">
        <v>0.27900000000000003</v>
      </c>
      <c r="AA91" s="34">
        <v>0</v>
      </c>
      <c r="AB91" s="34">
        <v>0</v>
      </c>
      <c r="AC91" s="34">
        <v>0</v>
      </c>
      <c r="AD91" s="34">
        <v>176.58442619999997</v>
      </c>
      <c r="AE91" s="34">
        <f t="shared" si="18"/>
        <v>188.67442619999997</v>
      </c>
      <c r="AF91" s="34">
        <f t="shared" si="19"/>
        <v>12.090000000000003</v>
      </c>
      <c r="AG91" s="34">
        <v>43.896000000000001</v>
      </c>
      <c r="AH91" s="34">
        <v>10.23</v>
      </c>
      <c r="AI91" s="34">
        <v>0.372</v>
      </c>
      <c r="AJ91" s="34">
        <v>1.1160000000000001</v>
      </c>
      <c r="AK91" s="34">
        <v>1.395</v>
      </c>
      <c r="AL91" s="34">
        <v>2.79</v>
      </c>
      <c r="AM91" s="34">
        <v>0</v>
      </c>
      <c r="AN91" s="34">
        <v>0</v>
      </c>
      <c r="AO91" s="34">
        <v>0</v>
      </c>
      <c r="AP91" s="34">
        <v>873.41373881999971</v>
      </c>
      <c r="AQ91" s="34">
        <f t="shared" si="20"/>
        <v>933.21273881999969</v>
      </c>
      <c r="AR91" s="34">
        <f t="shared" si="21"/>
        <v>59.798999999999978</v>
      </c>
      <c r="AS91" s="34">
        <f t="shared" si="22"/>
        <v>71.888999999999982</v>
      </c>
      <c r="AT91" t="str">
        <f t="shared" si="23"/>
        <v>OK</v>
      </c>
    </row>
    <row r="92" spans="1:46" x14ac:dyDescent="0.25">
      <c r="A92" t="s">
        <v>108</v>
      </c>
      <c r="B92" t="s">
        <v>178</v>
      </c>
      <c r="C92" s="34">
        <v>2388</v>
      </c>
      <c r="D92" s="34">
        <v>199</v>
      </c>
      <c r="E92" s="34">
        <v>2786.2835</v>
      </c>
      <c r="F92" s="34">
        <f t="shared" si="12"/>
        <v>2985.2835</v>
      </c>
      <c r="G92" s="34">
        <v>0</v>
      </c>
      <c r="H92" s="34">
        <v>2786.2835</v>
      </c>
      <c r="I92" s="34">
        <v>2902.6834799999997</v>
      </c>
      <c r="J92" s="34">
        <f t="shared" si="13"/>
        <v>116.39997999999969</v>
      </c>
      <c r="K92" s="34">
        <v>2716.6834799999997</v>
      </c>
      <c r="L92" s="34">
        <v>2915.6834799999997</v>
      </c>
      <c r="M92" s="34">
        <f t="shared" si="14"/>
        <v>199</v>
      </c>
      <c r="N92" s="34">
        <v>0</v>
      </c>
      <c r="O92" s="34">
        <v>0</v>
      </c>
      <c r="P92" s="34">
        <f t="shared" si="15"/>
        <v>0</v>
      </c>
      <c r="Q92" s="34">
        <v>0</v>
      </c>
      <c r="R92" s="34">
        <v>0</v>
      </c>
      <c r="S92" s="34">
        <f t="shared" si="16"/>
        <v>0</v>
      </c>
      <c r="T92" s="34">
        <v>0</v>
      </c>
      <c r="U92" s="34">
        <v>0</v>
      </c>
      <c r="V92" s="34">
        <f t="shared" si="17"/>
        <v>0</v>
      </c>
      <c r="W92" s="34">
        <v>8.7420000000000009</v>
      </c>
      <c r="X92" s="34">
        <v>2.883</v>
      </c>
      <c r="Y92" s="34">
        <v>0.186</v>
      </c>
      <c r="Z92" s="34">
        <v>0.27900000000000003</v>
      </c>
      <c r="AA92" s="34">
        <v>0</v>
      </c>
      <c r="AB92" s="34">
        <v>0</v>
      </c>
      <c r="AC92" s="34">
        <v>0</v>
      </c>
      <c r="AD92" s="34">
        <v>176.58442619999997</v>
      </c>
      <c r="AE92" s="34">
        <f t="shared" si="18"/>
        <v>188.67442619999997</v>
      </c>
      <c r="AF92" s="34">
        <f t="shared" si="19"/>
        <v>12.090000000000003</v>
      </c>
      <c r="AG92" s="34">
        <v>43.896000000000001</v>
      </c>
      <c r="AH92" s="34">
        <v>10.23</v>
      </c>
      <c r="AI92" s="34">
        <v>0.372</v>
      </c>
      <c r="AJ92" s="34">
        <v>1.1160000000000001</v>
      </c>
      <c r="AK92" s="34">
        <v>1.395</v>
      </c>
      <c r="AL92" s="34">
        <v>2.79</v>
      </c>
      <c r="AM92" s="34">
        <v>0</v>
      </c>
      <c r="AN92" s="34">
        <v>0</v>
      </c>
      <c r="AO92" s="34">
        <v>0</v>
      </c>
      <c r="AP92" s="34">
        <v>873.41373881999971</v>
      </c>
      <c r="AQ92" s="34">
        <f t="shared" si="20"/>
        <v>933.21273881999969</v>
      </c>
      <c r="AR92" s="34">
        <f t="shared" si="21"/>
        <v>59.798999999999978</v>
      </c>
      <c r="AS92" s="34">
        <f t="shared" si="22"/>
        <v>71.888999999999982</v>
      </c>
      <c r="AT92" t="str">
        <f t="shared" si="23"/>
        <v>OK</v>
      </c>
    </row>
    <row r="93" spans="1:46" x14ac:dyDescent="0.25">
      <c r="A93" t="s">
        <v>108</v>
      </c>
      <c r="B93" t="s">
        <v>179</v>
      </c>
      <c r="C93" s="34">
        <v>2388</v>
      </c>
      <c r="D93" s="34">
        <v>199</v>
      </c>
      <c r="E93" s="34">
        <v>2786.2835</v>
      </c>
      <c r="F93" s="34">
        <f t="shared" si="12"/>
        <v>2985.2835</v>
      </c>
      <c r="G93" s="34">
        <v>0</v>
      </c>
      <c r="H93" s="34">
        <v>2786.2835</v>
      </c>
      <c r="I93" s="34">
        <v>2902.6834799999997</v>
      </c>
      <c r="J93" s="34">
        <f t="shared" si="13"/>
        <v>116.39997999999969</v>
      </c>
      <c r="K93" s="34">
        <v>2716.6834799999997</v>
      </c>
      <c r="L93" s="34">
        <v>2915.6834799999997</v>
      </c>
      <c r="M93" s="34">
        <f t="shared" si="14"/>
        <v>199</v>
      </c>
      <c r="N93" s="34">
        <v>0</v>
      </c>
      <c r="O93" s="34">
        <v>0</v>
      </c>
      <c r="P93" s="34">
        <f t="shared" si="15"/>
        <v>0</v>
      </c>
      <c r="Q93" s="34">
        <v>0</v>
      </c>
      <c r="R93" s="34">
        <v>0</v>
      </c>
      <c r="S93" s="34">
        <f t="shared" si="16"/>
        <v>0</v>
      </c>
      <c r="T93" s="34">
        <v>0</v>
      </c>
      <c r="U93" s="34">
        <v>0</v>
      </c>
      <c r="V93" s="34">
        <f t="shared" si="17"/>
        <v>0</v>
      </c>
      <c r="W93" s="34">
        <v>8.7420000000000009</v>
      </c>
      <c r="X93" s="34">
        <v>2.883</v>
      </c>
      <c r="Y93" s="34">
        <v>0.186</v>
      </c>
      <c r="Z93" s="34">
        <v>0.27900000000000003</v>
      </c>
      <c r="AA93" s="34">
        <v>0</v>
      </c>
      <c r="AB93" s="34">
        <v>0</v>
      </c>
      <c r="AC93" s="34">
        <v>0</v>
      </c>
      <c r="AD93" s="34">
        <v>176.58442619999997</v>
      </c>
      <c r="AE93" s="34">
        <f t="shared" si="18"/>
        <v>188.67442619999997</v>
      </c>
      <c r="AF93" s="34">
        <f t="shared" si="19"/>
        <v>12.090000000000003</v>
      </c>
      <c r="AG93" s="34">
        <v>43.896000000000001</v>
      </c>
      <c r="AH93" s="34">
        <v>10.23</v>
      </c>
      <c r="AI93" s="34">
        <v>0.372</v>
      </c>
      <c r="AJ93" s="34">
        <v>1.1160000000000001</v>
      </c>
      <c r="AK93" s="34">
        <v>1.395</v>
      </c>
      <c r="AL93" s="34">
        <v>2.79</v>
      </c>
      <c r="AM93" s="34">
        <v>0</v>
      </c>
      <c r="AN93" s="34">
        <v>0</v>
      </c>
      <c r="AO93" s="34">
        <v>0</v>
      </c>
      <c r="AP93" s="34">
        <v>873.41373881999971</v>
      </c>
      <c r="AQ93" s="34">
        <f t="shared" si="20"/>
        <v>933.21273881999969</v>
      </c>
      <c r="AR93" s="34">
        <f t="shared" si="21"/>
        <v>59.798999999999978</v>
      </c>
      <c r="AS93" s="34">
        <f t="shared" si="22"/>
        <v>71.888999999999982</v>
      </c>
      <c r="AT93" t="str">
        <f t="shared" si="23"/>
        <v>OK</v>
      </c>
    </row>
    <row r="94" spans="1:46" x14ac:dyDescent="0.25">
      <c r="A94" t="s">
        <v>108</v>
      </c>
      <c r="B94" t="s">
        <v>180</v>
      </c>
      <c r="C94" s="34">
        <v>2388</v>
      </c>
      <c r="D94" s="34">
        <v>199</v>
      </c>
      <c r="E94" s="34">
        <v>2786.2835</v>
      </c>
      <c r="F94" s="34">
        <f t="shared" si="12"/>
        <v>2985.2835</v>
      </c>
      <c r="G94" s="34">
        <v>0</v>
      </c>
      <c r="H94" s="34">
        <v>2786.2835</v>
      </c>
      <c r="I94" s="34">
        <v>3032.0493599999995</v>
      </c>
      <c r="J94" s="34">
        <f t="shared" si="13"/>
        <v>245.76585999999952</v>
      </c>
      <c r="K94" s="34">
        <v>2846.0493599999995</v>
      </c>
      <c r="L94" s="34">
        <v>3045.0493599999995</v>
      </c>
      <c r="M94" s="34">
        <f t="shared" si="14"/>
        <v>199</v>
      </c>
      <c r="N94" s="34">
        <v>0</v>
      </c>
      <c r="O94" s="34">
        <v>0</v>
      </c>
      <c r="P94" s="34">
        <f t="shared" si="15"/>
        <v>0</v>
      </c>
      <c r="Q94" s="34">
        <v>0</v>
      </c>
      <c r="R94" s="34">
        <v>0</v>
      </c>
      <c r="S94" s="34">
        <f t="shared" si="16"/>
        <v>0</v>
      </c>
      <c r="T94" s="34">
        <v>0</v>
      </c>
      <c r="U94" s="34">
        <v>0</v>
      </c>
      <c r="V94" s="34">
        <f t="shared" si="17"/>
        <v>0</v>
      </c>
      <c r="W94" s="34">
        <v>8.7420000000000009</v>
      </c>
      <c r="X94" s="34">
        <v>2.883</v>
      </c>
      <c r="Y94" s="34">
        <v>0.186</v>
      </c>
      <c r="Z94" s="34">
        <v>0.27900000000000003</v>
      </c>
      <c r="AA94" s="34">
        <v>0</v>
      </c>
      <c r="AB94" s="34">
        <v>0</v>
      </c>
      <c r="AC94" s="34">
        <v>0</v>
      </c>
      <c r="AD94" s="34">
        <v>184.99320839999999</v>
      </c>
      <c r="AE94" s="34">
        <f t="shared" si="18"/>
        <v>197.08320839999999</v>
      </c>
      <c r="AF94" s="34">
        <f t="shared" si="19"/>
        <v>12.090000000000003</v>
      </c>
      <c r="AG94" s="34">
        <v>43.896000000000001</v>
      </c>
      <c r="AH94" s="34">
        <v>10.23</v>
      </c>
      <c r="AI94" s="34">
        <v>0.372</v>
      </c>
      <c r="AJ94" s="34">
        <v>1.1160000000000001</v>
      </c>
      <c r="AK94" s="34">
        <v>1.395</v>
      </c>
      <c r="AL94" s="34">
        <v>2.79</v>
      </c>
      <c r="AM94" s="34">
        <v>0</v>
      </c>
      <c r="AN94" s="34">
        <v>0</v>
      </c>
      <c r="AO94" s="34">
        <v>0</v>
      </c>
      <c r="AP94" s="34">
        <v>915.00486923999983</v>
      </c>
      <c r="AQ94" s="34">
        <f t="shared" si="20"/>
        <v>974.80386923999981</v>
      </c>
      <c r="AR94" s="34">
        <f t="shared" si="21"/>
        <v>59.798999999999978</v>
      </c>
      <c r="AS94" s="34">
        <f t="shared" si="22"/>
        <v>71.888999999999982</v>
      </c>
      <c r="AT94" t="str">
        <f t="shared" si="23"/>
        <v>OK</v>
      </c>
    </row>
    <row r="95" spans="1:46" x14ac:dyDescent="0.25">
      <c r="A95" t="s">
        <v>108</v>
      </c>
      <c r="B95" t="s">
        <v>183</v>
      </c>
      <c r="C95" s="34">
        <v>2388</v>
      </c>
      <c r="D95" s="34">
        <v>199</v>
      </c>
      <c r="E95" s="34">
        <v>2786.2835</v>
      </c>
      <c r="F95" s="34">
        <f t="shared" si="12"/>
        <v>2985.2835</v>
      </c>
      <c r="G95" s="34">
        <v>0</v>
      </c>
      <c r="H95" s="34">
        <v>2786.2835</v>
      </c>
      <c r="I95" s="34">
        <v>3032.0493599999995</v>
      </c>
      <c r="J95" s="34">
        <f t="shared" si="13"/>
        <v>245.76585999999952</v>
      </c>
      <c r="K95" s="34">
        <v>2846.0493599999995</v>
      </c>
      <c r="L95" s="34">
        <v>3045.0493599999995</v>
      </c>
      <c r="M95" s="34">
        <f t="shared" si="14"/>
        <v>199</v>
      </c>
      <c r="N95" s="34">
        <v>0</v>
      </c>
      <c r="O95" s="34">
        <v>0</v>
      </c>
      <c r="P95" s="34">
        <f t="shared" si="15"/>
        <v>0</v>
      </c>
      <c r="Q95" s="34">
        <v>0</v>
      </c>
      <c r="R95" s="34">
        <v>0</v>
      </c>
      <c r="S95" s="34">
        <f t="shared" si="16"/>
        <v>0</v>
      </c>
      <c r="T95" s="34">
        <v>0</v>
      </c>
      <c r="U95" s="34">
        <v>0</v>
      </c>
      <c r="V95" s="34">
        <f t="shared" si="17"/>
        <v>0</v>
      </c>
      <c r="W95" s="34">
        <v>8.7420000000000009</v>
      </c>
      <c r="X95" s="34">
        <v>2.883</v>
      </c>
      <c r="Y95" s="34">
        <v>0.186</v>
      </c>
      <c r="Z95" s="34">
        <v>0.27900000000000003</v>
      </c>
      <c r="AA95" s="34">
        <v>0</v>
      </c>
      <c r="AB95" s="34">
        <v>0</v>
      </c>
      <c r="AC95" s="34">
        <v>0</v>
      </c>
      <c r="AD95" s="34">
        <v>184.99320839999999</v>
      </c>
      <c r="AE95" s="34">
        <f t="shared" si="18"/>
        <v>197.08320839999999</v>
      </c>
      <c r="AF95" s="34">
        <f t="shared" si="19"/>
        <v>12.090000000000003</v>
      </c>
      <c r="AG95" s="34">
        <v>43.896000000000001</v>
      </c>
      <c r="AH95" s="34">
        <v>10.23</v>
      </c>
      <c r="AI95" s="34">
        <v>0.372</v>
      </c>
      <c r="AJ95" s="34">
        <v>1.1160000000000001</v>
      </c>
      <c r="AK95" s="34">
        <v>1.395</v>
      </c>
      <c r="AL95" s="34">
        <v>2.79</v>
      </c>
      <c r="AM95" s="34">
        <v>0</v>
      </c>
      <c r="AN95" s="34">
        <v>0</v>
      </c>
      <c r="AO95" s="34">
        <v>0</v>
      </c>
      <c r="AP95" s="34">
        <v>915.00486923999983</v>
      </c>
      <c r="AQ95" s="34">
        <f t="shared" si="20"/>
        <v>974.80386923999981</v>
      </c>
      <c r="AR95" s="34">
        <f t="shared" si="21"/>
        <v>59.798999999999978</v>
      </c>
      <c r="AS95" s="34">
        <f t="shared" si="22"/>
        <v>71.888999999999982</v>
      </c>
      <c r="AT95" t="str">
        <f t="shared" si="23"/>
        <v>OK</v>
      </c>
    </row>
    <row r="96" spans="1:46" x14ac:dyDescent="0.25">
      <c r="A96" t="s">
        <v>108</v>
      </c>
      <c r="B96" t="s">
        <v>184</v>
      </c>
      <c r="C96" s="34">
        <v>2388</v>
      </c>
      <c r="D96" s="34">
        <v>199</v>
      </c>
      <c r="E96" s="34">
        <v>2786.2835</v>
      </c>
      <c r="F96" s="34">
        <f t="shared" si="12"/>
        <v>2985.2835</v>
      </c>
      <c r="G96" s="34">
        <v>0</v>
      </c>
      <c r="H96" s="34">
        <v>2786.2835</v>
      </c>
      <c r="I96" s="34">
        <v>3032.0493599999995</v>
      </c>
      <c r="J96" s="34">
        <f t="shared" si="13"/>
        <v>245.76585999999952</v>
      </c>
      <c r="K96" s="34">
        <v>2846.0493599999995</v>
      </c>
      <c r="L96" s="34">
        <v>3045.0493599999995</v>
      </c>
      <c r="M96" s="34">
        <f t="shared" si="14"/>
        <v>199</v>
      </c>
      <c r="N96" s="34">
        <v>0</v>
      </c>
      <c r="O96" s="34">
        <v>0</v>
      </c>
      <c r="P96" s="34">
        <f t="shared" si="15"/>
        <v>0</v>
      </c>
      <c r="Q96" s="34">
        <v>0</v>
      </c>
      <c r="R96" s="34">
        <v>0</v>
      </c>
      <c r="S96" s="34">
        <f t="shared" si="16"/>
        <v>0</v>
      </c>
      <c r="T96" s="34">
        <v>0</v>
      </c>
      <c r="U96" s="34">
        <v>0</v>
      </c>
      <c r="V96" s="34">
        <f t="shared" si="17"/>
        <v>0</v>
      </c>
      <c r="W96" s="34">
        <v>8.7420000000000009</v>
      </c>
      <c r="X96" s="34">
        <v>2.883</v>
      </c>
      <c r="Y96" s="34">
        <v>0.186</v>
      </c>
      <c r="Z96" s="34">
        <v>0.27900000000000003</v>
      </c>
      <c r="AA96" s="34">
        <v>0</v>
      </c>
      <c r="AB96" s="34">
        <v>0</v>
      </c>
      <c r="AC96" s="34">
        <v>0</v>
      </c>
      <c r="AD96" s="34">
        <v>184.99320839999999</v>
      </c>
      <c r="AE96" s="34">
        <f t="shared" si="18"/>
        <v>197.08320839999999</v>
      </c>
      <c r="AF96" s="34">
        <f t="shared" si="19"/>
        <v>12.090000000000003</v>
      </c>
      <c r="AG96" s="34">
        <v>43.896000000000001</v>
      </c>
      <c r="AH96" s="34">
        <v>10.23</v>
      </c>
      <c r="AI96" s="34">
        <v>0.372</v>
      </c>
      <c r="AJ96" s="34">
        <v>1.1160000000000001</v>
      </c>
      <c r="AK96" s="34">
        <v>1.395</v>
      </c>
      <c r="AL96" s="34">
        <v>2.79</v>
      </c>
      <c r="AM96" s="34">
        <v>0</v>
      </c>
      <c r="AN96" s="34">
        <v>0</v>
      </c>
      <c r="AO96" s="34">
        <v>0</v>
      </c>
      <c r="AP96" s="34">
        <v>915.00486923999983</v>
      </c>
      <c r="AQ96" s="34">
        <f t="shared" si="20"/>
        <v>974.80386923999981</v>
      </c>
      <c r="AR96" s="34">
        <f t="shared" si="21"/>
        <v>59.798999999999978</v>
      </c>
      <c r="AS96" s="34">
        <f t="shared" si="22"/>
        <v>71.888999999999982</v>
      </c>
      <c r="AT96" t="str">
        <f t="shared" si="23"/>
        <v>OK</v>
      </c>
    </row>
    <row r="97" spans="1:46" x14ac:dyDescent="0.25">
      <c r="A97" t="s">
        <v>108</v>
      </c>
      <c r="B97" t="s">
        <v>185</v>
      </c>
      <c r="C97" s="34">
        <v>2388</v>
      </c>
      <c r="D97" s="34">
        <v>199</v>
      </c>
      <c r="E97" s="34">
        <v>2786.2835</v>
      </c>
      <c r="F97" s="34">
        <f t="shared" si="12"/>
        <v>2985.2835</v>
      </c>
      <c r="G97" s="34">
        <v>0</v>
      </c>
      <c r="H97" s="34">
        <v>2786.2835</v>
      </c>
      <c r="I97" s="34">
        <v>3032.0493599999995</v>
      </c>
      <c r="J97" s="34">
        <f t="shared" si="13"/>
        <v>245.76585999999952</v>
      </c>
      <c r="K97" s="34">
        <v>2846.0493599999995</v>
      </c>
      <c r="L97" s="34">
        <v>3045.0493599999995</v>
      </c>
      <c r="M97" s="34">
        <f t="shared" si="14"/>
        <v>199</v>
      </c>
      <c r="N97" s="34">
        <v>0</v>
      </c>
      <c r="O97" s="34">
        <v>0</v>
      </c>
      <c r="P97" s="34">
        <f t="shared" si="15"/>
        <v>0</v>
      </c>
      <c r="Q97" s="34">
        <v>0</v>
      </c>
      <c r="R97" s="34">
        <v>0</v>
      </c>
      <c r="S97" s="34">
        <f t="shared" si="16"/>
        <v>0</v>
      </c>
      <c r="T97" s="34">
        <v>0</v>
      </c>
      <c r="U97" s="34">
        <v>0</v>
      </c>
      <c r="V97" s="34">
        <f t="shared" si="17"/>
        <v>0</v>
      </c>
      <c r="W97" s="34">
        <v>8.7420000000000009</v>
      </c>
      <c r="X97" s="34">
        <v>2.883</v>
      </c>
      <c r="Y97" s="34">
        <v>0.186</v>
      </c>
      <c r="Z97" s="34">
        <v>0.27900000000000003</v>
      </c>
      <c r="AA97" s="34">
        <v>0</v>
      </c>
      <c r="AB97" s="34">
        <v>0</v>
      </c>
      <c r="AC97" s="34">
        <v>0</v>
      </c>
      <c r="AD97" s="34">
        <v>184.99320839999999</v>
      </c>
      <c r="AE97" s="34">
        <f t="shared" si="18"/>
        <v>197.08320839999999</v>
      </c>
      <c r="AF97" s="34">
        <f t="shared" si="19"/>
        <v>12.090000000000003</v>
      </c>
      <c r="AG97" s="34">
        <v>43.896000000000001</v>
      </c>
      <c r="AH97" s="34">
        <v>10.23</v>
      </c>
      <c r="AI97" s="34">
        <v>0.372</v>
      </c>
      <c r="AJ97" s="34">
        <v>1.1160000000000001</v>
      </c>
      <c r="AK97" s="34">
        <v>1.395</v>
      </c>
      <c r="AL97" s="34">
        <v>2.79</v>
      </c>
      <c r="AM97" s="34">
        <v>0</v>
      </c>
      <c r="AN97" s="34">
        <v>0</v>
      </c>
      <c r="AO97" s="34">
        <v>0</v>
      </c>
      <c r="AP97" s="34">
        <v>915.00486923999983</v>
      </c>
      <c r="AQ97" s="34">
        <f t="shared" si="20"/>
        <v>974.80386923999981</v>
      </c>
      <c r="AR97" s="34">
        <f t="shared" si="21"/>
        <v>59.798999999999978</v>
      </c>
      <c r="AS97" s="34">
        <f t="shared" si="22"/>
        <v>71.888999999999982</v>
      </c>
      <c r="AT97" t="str">
        <f t="shared" si="23"/>
        <v>OK</v>
      </c>
    </row>
    <row r="98" spans="1:46" x14ac:dyDescent="0.25">
      <c r="A98" t="s">
        <v>108</v>
      </c>
      <c r="B98" t="s">
        <v>186</v>
      </c>
      <c r="C98" s="34">
        <v>2388</v>
      </c>
      <c r="D98" s="34">
        <v>199</v>
      </c>
      <c r="E98" s="34">
        <v>2786.2835</v>
      </c>
      <c r="F98" s="34">
        <f t="shared" si="12"/>
        <v>2985.2835</v>
      </c>
      <c r="G98" s="34">
        <v>0</v>
      </c>
      <c r="H98" s="34">
        <v>2786.2835</v>
      </c>
      <c r="I98" s="34">
        <v>3032.0493599999995</v>
      </c>
      <c r="J98" s="34">
        <f t="shared" si="13"/>
        <v>245.76585999999952</v>
      </c>
      <c r="K98" s="34">
        <v>2846.0493599999995</v>
      </c>
      <c r="L98" s="34">
        <v>3045.0493599999995</v>
      </c>
      <c r="M98" s="34">
        <f t="shared" si="14"/>
        <v>199</v>
      </c>
      <c r="N98" s="34">
        <v>0</v>
      </c>
      <c r="O98" s="34">
        <v>0</v>
      </c>
      <c r="P98" s="34">
        <f t="shared" si="15"/>
        <v>0</v>
      </c>
      <c r="Q98" s="34">
        <v>0</v>
      </c>
      <c r="R98" s="34">
        <v>0</v>
      </c>
      <c r="S98" s="34">
        <f t="shared" si="16"/>
        <v>0</v>
      </c>
      <c r="T98" s="34">
        <v>0</v>
      </c>
      <c r="U98" s="34">
        <v>0</v>
      </c>
      <c r="V98" s="34">
        <f t="shared" si="17"/>
        <v>0</v>
      </c>
      <c r="W98" s="34">
        <v>8.7420000000000009</v>
      </c>
      <c r="X98" s="34">
        <v>2.883</v>
      </c>
      <c r="Y98" s="34">
        <v>0.186</v>
      </c>
      <c r="Z98" s="34">
        <v>0.27900000000000003</v>
      </c>
      <c r="AA98" s="34">
        <v>0</v>
      </c>
      <c r="AB98" s="34">
        <v>0</v>
      </c>
      <c r="AC98" s="34">
        <v>0</v>
      </c>
      <c r="AD98" s="34">
        <v>184.99320839999999</v>
      </c>
      <c r="AE98" s="34">
        <f t="shared" si="18"/>
        <v>197.08320839999999</v>
      </c>
      <c r="AF98" s="34">
        <f t="shared" si="19"/>
        <v>12.090000000000003</v>
      </c>
      <c r="AG98" s="34">
        <v>43.896000000000001</v>
      </c>
      <c r="AH98" s="34">
        <v>10.23</v>
      </c>
      <c r="AI98" s="34">
        <v>0.372</v>
      </c>
      <c r="AJ98" s="34">
        <v>1.1160000000000001</v>
      </c>
      <c r="AK98" s="34">
        <v>1.395</v>
      </c>
      <c r="AL98" s="34">
        <v>2.79</v>
      </c>
      <c r="AM98" s="34">
        <v>0</v>
      </c>
      <c r="AN98" s="34">
        <v>0</v>
      </c>
      <c r="AO98" s="34">
        <v>0</v>
      </c>
      <c r="AP98" s="34">
        <v>915.00486923999983</v>
      </c>
      <c r="AQ98" s="34">
        <f t="shared" si="20"/>
        <v>974.80386923999981</v>
      </c>
      <c r="AR98" s="34">
        <f t="shared" si="21"/>
        <v>59.798999999999978</v>
      </c>
      <c r="AS98" s="34">
        <f t="shared" si="22"/>
        <v>71.888999999999982</v>
      </c>
      <c r="AT98" t="str">
        <f t="shared" si="23"/>
        <v>OK</v>
      </c>
    </row>
    <row r="99" spans="1:46" x14ac:dyDescent="0.25">
      <c r="A99" t="s">
        <v>108</v>
      </c>
      <c r="B99" t="s">
        <v>187</v>
      </c>
      <c r="C99" s="34">
        <v>2388</v>
      </c>
      <c r="D99" s="34">
        <v>199</v>
      </c>
      <c r="E99" s="34">
        <v>2786.2835</v>
      </c>
      <c r="F99" s="34">
        <f t="shared" si="12"/>
        <v>2985.2835</v>
      </c>
      <c r="G99" s="34">
        <v>0</v>
      </c>
      <c r="H99" s="34">
        <v>2786.2835</v>
      </c>
      <c r="I99" s="34">
        <v>3032.0493599999995</v>
      </c>
      <c r="J99" s="34">
        <f t="shared" si="13"/>
        <v>245.76585999999952</v>
      </c>
      <c r="K99" s="34">
        <v>2846.0493599999995</v>
      </c>
      <c r="L99" s="34">
        <v>3045.0493599999995</v>
      </c>
      <c r="M99" s="34">
        <f t="shared" si="14"/>
        <v>199</v>
      </c>
      <c r="N99" s="34">
        <v>0</v>
      </c>
      <c r="O99" s="34">
        <v>0</v>
      </c>
      <c r="P99" s="34">
        <f t="shared" si="15"/>
        <v>0</v>
      </c>
      <c r="Q99" s="34">
        <v>0</v>
      </c>
      <c r="R99" s="34">
        <v>0</v>
      </c>
      <c r="S99" s="34">
        <f t="shared" si="16"/>
        <v>0</v>
      </c>
      <c r="T99" s="34">
        <v>0</v>
      </c>
      <c r="U99" s="34">
        <v>0</v>
      </c>
      <c r="V99" s="34">
        <f t="shared" si="17"/>
        <v>0</v>
      </c>
      <c r="W99" s="34">
        <v>8.7420000000000009</v>
      </c>
      <c r="X99" s="34">
        <v>2.883</v>
      </c>
      <c r="Y99" s="34">
        <v>0.186</v>
      </c>
      <c r="Z99" s="34">
        <v>0.27900000000000003</v>
      </c>
      <c r="AA99" s="34">
        <v>0</v>
      </c>
      <c r="AB99" s="34">
        <v>0</v>
      </c>
      <c r="AC99" s="34">
        <v>0</v>
      </c>
      <c r="AD99" s="34">
        <v>184.99320839999999</v>
      </c>
      <c r="AE99" s="34">
        <f t="shared" si="18"/>
        <v>197.08320839999999</v>
      </c>
      <c r="AF99" s="34">
        <f t="shared" si="19"/>
        <v>12.090000000000003</v>
      </c>
      <c r="AG99" s="34">
        <v>43.896000000000001</v>
      </c>
      <c r="AH99" s="34">
        <v>10.23</v>
      </c>
      <c r="AI99" s="34">
        <v>0.372</v>
      </c>
      <c r="AJ99" s="34">
        <v>1.1160000000000001</v>
      </c>
      <c r="AK99" s="34">
        <v>1.395</v>
      </c>
      <c r="AL99" s="34">
        <v>2.79</v>
      </c>
      <c r="AM99" s="34">
        <v>0</v>
      </c>
      <c r="AN99" s="34">
        <v>0</v>
      </c>
      <c r="AO99" s="34">
        <v>0</v>
      </c>
      <c r="AP99" s="34">
        <v>915.00486923999983</v>
      </c>
      <c r="AQ99" s="34">
        <f t="shared" si="20"/>
        <v>974.80386923999981</v>
      </c>
      <c r="AR99" s="34">
        <f t="shared" si="21"/>
        <v>59.798999999999978</v>
      </c>
      <c r="AS99" s="34">
        <f t="shared" si="22"/>
        <v>71.888999999999982</v>
      </c>
      <c r="AT99" t="str">
        <f t="shared" si="23"/>
        <v>OK</v>
      </c>
    </row>
    <row r="100" spans="1:46" x14ac:dyDescent="0.25">
      <c r="A100" t="s">
        <v>108</v>
      </c>
      <c r="B100" t="s">
        <v>189</v>
      </c>
      <c r="C100" s="34">
        <v>2388</v>
      </c>
      <c r="D100" s="34">
        <v>199</v>
      </c>
      <c r="E100" s="34">
        <v>2786.2835</v>
      </c>
      <c r="F100" s="34">
        <f t="shared" si="12"/>
        <v>2985.2835</v>
      </c>
      <c r="G100" s="34">
        <v>0</v>
      </c>
      <c r="H100" s="34">
        <v>2786.2835</v>
      </c>
      <c r="I100" s="34">
        <v>3032.0493599999995</v>
      </c>
      <c r="J100" s="34">
        <f t="shared" si="13"/>
        <v>245.76585999999952</v>
      </c>
      <c r="K100" s="34">
        <v>2846.0493599999995</v>
      </c>
      <c r="L100" s="34">
        <v>3045.0493599999995</v>
      </c>
      <c r="M100" s="34">
        <f t="shared" si="14"/>
        <v>199</v>
      </c>
      <c r="N100" s="34">
        <v>0</v>
      </c>
      <c r="O100" s="34">
        <v>0</v>
      </c>
      <c r="P100" s="34">
        <f t="shared" si="15"/>
        <v>0</v>
      </c>
      <c r="Q100" s="34">
        <v>0</v>
      </c>
      <c r="R100" s="34">
        <v>0</v>
      </c>
      <c r="S100" s="34">
        <f t="shared" si="16"/>
        <v>0</v>
      </c>
      <c r="T100" s="34">
        <v>0</v>
      </c>
      <c r="U100" s="34">
        <v>0</v>
      </c>
      <c r="V100" s="34">
        <f t="shared" si="17"/>
        <v>0</v>
      </c>
      <c r="W100" s="34">
        <v>8.7420000000000009</v>
      </c>
      <c r="X100" s="34">
        <v>2.883</v>
      </c>
      <c r="Y100" s="34">
        <v>0.186</v>
      </c>
      <c r="Z100" s="34">
        <v>0.27900000000000003</v>
      </c>
      <c r="AA100" s="34">
        <v>0</v>
      </c>
      <c r="AB100" s="34">
        <v>0</v>
      </c>
      <c r="AC100" s="34">
        <v>0</v>
      </c>
      <c r="AD100" s="34">
        <v>184.99320839999999</v>
      </c>
      <c r="AE100" s="34">
        <f t="shared" si="18"/>
        <v>197.08320839999999</v>
      </c>
      <c r="AF100" s="34">
        <f t="shared" si="19"/>
        <v>12.090000000000003</v>
      </c>
      <c r="AG100" s="34">
        <v>43.896000000000001</v>
      </c>
      <c r="AH100" s="34">
        <v>10.23</v>
      </c>
      <c r="AI100" s="34">
        <v>0.372</v>
      </c>
      <c r="AJ100" s="34">
        <v>1.1160000000000001</v>
      </c>
      <c r="AK100" s="34">
        <v>1.395</v>
      </c>
      <c r="AL100" s="34">
        <v>2.79</v>
      </c>
      <c r="AM100" s="34">
        <v>0</v>
      </c>
      <c r="AN100" s="34">
        <v>0</v>
      </c>
      <c r="AO100" s="34">
        <v>0</v>
      </c>
      <c r="AP100" s="34">
        <v>915.00486923999983</v>
      </c>
      <c r="AQ100" s="34">
        <f t="shared" si="20"/>
        <v>974.80386923999981</v>
      </c>
      <c r="AR100" s="34">
        <f t="shared" si="21"/>
        <v>59.798999999999978</v>
      </c>
      <c r="AS100" s="34">
        <f t="shared" si="22"/>
        <v>71.888999999999982</v>
      </c>
      <c r="AT100" t="str">
        <f t="shared" si="23"/>
        <v>OK</v>
      </c>
    </row>
    <row r="101" spans="1:46" x14ac:dyDescent="0.25">
      <c r="A101" t="s">
        <v>110</v>
      </c>
      <c r="B101" t="s">
        <v>173</v>
      </c>
      <c r="C101" s="34">
        <v>0</v>
      </c>
      <c r="D101" s="34">
        <v>0</v>
      </c>
      <c r="E101" s="34">
        <v>15740.433333333332</v>
      </c>
      <c r="F101" s="34">
        <f t="shared" si="12"/>
        <v>15740.433333333332</v>
      </c>
      <c r="G101" s="34">
        <v>0</v>
      </c>
      <c r="H101" s="34">
        <v>5101.2</v>
      </c>
      <c r="I101" s="34">
        <v>5101.2</v>
      </c>
      <c r="J101" s="34">
        <f t="shared" si="13"/>
        <v>0</v>
      </c>
      <c r="K101" s="34">
        <v>5101.2</v>
      </c>
      <c r="L101" s="34">
        <v>5101.2</v>
      </c>
      <c r="M101" s="34">
        <f t="shared" si="14"/>
        <v>0</v>
      </c>
      <c r="N101" s="34">
        <v>510.11999999999989</v>
      </c>
      <c r="O101" s="34">
        <v>510.11999999999989</v>
      </c>
      <c r="P101" s="34">
        <f t="shared" si="15"/>
        <v>0</v>
      </c>
      <c r="Q101" s="34">
        <v>2040.4800000000005</v>
      </c>
      <c r="R101" s="34">
        <v>2040.4800000000005</v>
      </c>
      <c r="S101" s="34">
        <f t="shared" si="16"/>
        <v>0</v>
      </c>
      <c r="T101" s="34">
        <v>8088.6333333333323</v>
      </c>
      <c r="U101" s="34">
        <v>7816.114583333333</v>
      </c>
      <c r="V101" s="34">
        <f t="shared" si="17"/>
        <v>0</v>
      </c>
      <c r="W101" s="34">
        <v>0</v>
      </c>
      <c r="X101" s="34">
        <v>0</v>
      </c>
      <c r="Y101" s="34">
        <v>0</v>
      </c>
      <c r="Z101" s="34">
        <v>0</v>
      </c>
      <c r="AA101" s="34">
        <v>0</v>
      </c>
      <c r="AB101" s="34">
        <v>0</v>
      </c>
      <c r="AC101" s="34">
        <v>0</v>
      </c>
      <c r="AD101" s="34">
        <v>355.59091099999995</v>
      </c>
      <c r="AE101" s="34">
        <f t="shared" si="18"/>
        <v>355.59091099999995</v>
      </c>
      <c r="AF101" s="34">
        <f t="shared" si="19"/>
        <v>0</v>
      </c>
      <c r="AG101" s="34">
        <v>0</v>
      </c>
      <c r="AH101" s="34">
        <v>0</v>
      </c>
      <c r="AI101" s="34">
        <v>0</v>
      </c>
      <c r="AJ101" s="34">
        <v>0</v>
      </c>
      <c r="AK101" s="34">
        <v>0</v>
      </c>
      <c r="AL101" s="34">
        <v>0</v>
      </c>
      <c r="AM101" s="34">
        <v>0</v>
      </c>
      <c r="AN101" s="34">
        <v>0</v>
      </c>
      <c r="AO101" s="34">
        <v>0</v>
      </c>
      <c r="AP101" s="34">
        <v>1761.5105419166666</v>
      </c>
      <c r="AQ101" s="34">
        <f t="shared" si="20"/>
        <v>1761.5105419166666</v>
      </c>
      <c r="AR101" s="34">
        <f t="shared" si="21"/>
        <v>0</v>
      </c>
      <c r="AS101" s="34">
        <f t="shared" si="22"/>
        <v>0</v>
      </c>
      <c r="AT101" t="str">
        <f t="shared" si="23"/>
        <v>SIN BONUS</v>
      </c>
    </row>
    <row r="102" spans="1:46" x14ac:dyDescent="0.25">
      <c r="A102" t="s">
        <v>110</v>
      </c>
      <c r="B102" t="s">
        <v>176</v>
      </c>
      <c r="C102" s="34">
        <v>0</v>
      </c>
      <c r="D102" s="34">
        <v>0</v>
      </c>
      <c r="E102" s="34">
        <v>15740.433333333332</v>
      </c>
      <c r="F102" s="34">
        <f t="shared" si="12"/>
        <v>15740.433333333332</v>
      </c>
      <c r="G102" s="34">
        <v>0</v>
      </c>
      <c r="H102" s="34">
        <v>5101.2</v>
      </c>
      <c r="I102" s="34">
        <v>5101.2</v>
      </c>
      <c r="J102" s="34">
        <f t="shared" si="13"/>
        <v>0</v>
      </c>
      <c r="K102" s="34">
        <v>5101.2</v>
      </c>
      <c r="L102" s="34">
        <v>5101.2</v>
      </c>
      <c r="M102" s="34">
        <f t="shared" si="14"/>
        <v>0</v>
      </c>
      <c r="N102" s="34">
        <v>510.11999999999989</v>
      </c>
      <c r="O102" s="34">
        <v>510.11999999999989</v>
      </c>
      <c r="P102" s="34">
        <f t="shared" si="15"/>
        <v>0</v>
      </c>
      <c r="Q102" s="34">
        <v>2040.4800000000005</v>
      </c>
      <c r="R102" s="34">
        <v>2040.4800000000005</v>
      </c>
      <c r="S102" s="34">
        <f t="shared" si="16"/>
        <v>0</v>
      </c>
      <c r="T102" s="34">
        <v>8088.6333333333323</v>
      </c>
      <c r="U102" s="34">
        <v>7816.114583333333</v>
      </c>
      <c r="V102" s="34">
        <f t="shared" si="17"/>
        <v>0</v>
      </c>
      <c r="W102" s="34">
        <v>0</v>
      </c>
      <c r="X102" s="34">
        <v>0</v>
      </c>
      <c r="Y102" s="34">
        <v>0</v>
      </c>
      <c r="Z102" s="34">
        <v>0</v>
      </c>
      <c r="AA102" s="34">
        <v>0</v>
      </c>
      <c r="AB102" s="34">
        <v>0</v>
      </c>
      <c r="AC102" s="34">
        <v>0</v>
      </c>
      <c r="AD102" s="34">
        <v>355.59091099999995</v>
      </c>
      <c r="AE102" s="34">
        <f t="shared" si="18"/>
        <v>355.59091099999995</v>
      </c>
      <c r="AF102" s="34">
        <f t="shared" si="19"/>
        <v>0</v>
      </c>
      <c r="AG102" s="34">
        <v>0</v>
      </c>
      <c r="AH102" s="34">
        <v>0</v>
      </c>
      <c r="AI102" s="34">
        <v>0</v>
      </c>
      <c r="AJ102" s="34">
        <v>0</v>
      </c>
      <c r="AK102" s="34">
        <v>0</v>
      </c>
      <c r="AL102" s="34">
        <v>0</v>
      </c>
      <c r="AM102" s="34">
        <v>0</v>
      </c>
      <c r="AN102" s="34">
        <v>0</v>
      </c>
      <c r="AO102" s="34">
        <v>0</v>
      </c>
      <c r="AP102" s="34">
        <v>1761.5105419166666</v>
      </c>
      <c r="AQ102" s="34">
        <f t="shared" si="20"/>
        <v>1761.5105419166666</v>
      </c>
      <c r="AR102" s="34">
        <f t="shared" si="21"/>
        <v>0</v>
      </c>
      <c r="AS102" s="34">
        <f t="shared" si="22"/>
        <v>0</v>
      </c>
      <c r="AT102" t="str">
        <f t="shared" si="23"/>
        <v>SIN BONUS</v>
      </c>
    </row>
    <row r="103" spans="1:46" x14ac:dyDescent="0.25">
      <c r="A103" t="s">
        <v>110</v>
      </c>
      <c r="B103" t="s">
        <v>177</v>
      </c>
      <c r="C103" s="34">
        <v>0</v>
      </c>
      <c r="D103" s="34">
        <v>0</v>
      </c>
      <c r="E103" s="34">
        <v>15740.433333333332</v>
      </c>
      <c r="F103" s="34">
        <f t="shared" si="12"/>
        <v>15740.433333333332</v>
      </c>
      <c r="G103" s="34">
        <v>0</v>
      </c>
      <c r="H103" s="34">
        <v>5101.2</v>
      </c>
      <c r="I103" s="34">
        <v>5101.2</v>
      </c>
      <c r="J103" s="34">
        <f t="shared" si="13"/>
        <v>0</v>
      </c>
      <c r="K103" s="34">
        <v>5101.2</v>
      </c>
      <c r="L103" s="34">
        <v>5101.2</v>
      </c>
      <c r="M103" s="34">
        <f t="shared" si="14"/>
        <v>0</v>
      </c>
      <c r="N103" s="34">
        <v>510.11999999999989</v>
      </c>
      <c r="O103" s="34">
        <v>510.11999999999989</v>
      </c>
      <c r="P103" s="34">
        <f t="shared" si="15"/>
        <v>0</v>
      </c>
      <c r="Q103" s="34">
        <v>2040.4800000000005</v>
      </c>
      <c r="R103" s="34">
        <v>2040.4800000000005</v>
      </c>
      <c r="S103" s="34">
        <f t="shared" si="16"/>
        <v>0</v>
      </c>
      <c r="T103" s="34">
        <v>8088.6333333333323</v>
      </c>
      <c r="U103" s="34">
        <v>7816.114583333333</v>
      </c>
      <c r="V103" s="34">
        <f t="shared" si="17"/>
        <v>0</v>
      </c>
      <c r="W103" s="34">
        <v>0</v>
      </c>
      <c r="X103" s="34">
        <v>0</v>
      </c>
      <c r="Y103" s="34">
        <v>0</v>
      </c>
      <c r="Z103" s="34">
        <v>0</v>
      </c>
      <c r="AA103" s="34">
        <v>0</v>
      </c>
      <c r="AB103" s="34">
        <v>0</v>
      </c>
      <c r="AC103" s="34">
        <v>0</v>
      </c>
      <c r="AD103" s="34">
        <v>355.59091099999995</v>
      </c>
      <c r="AE103" s="34">
        <f t="shared" si="18"/>
        <v>355.59091099999995</v>
      </c>
      <c r="AF103" s="34">
        <f t="shared" si="19"/>
        <v>0</v>
      </c>
      <c r="AG103" s="34">
        <v>0</v>
      </c>
      <c r="AH103" s="34">
        <v>0</v>
      </c>
      <c r="AI103" s="34">
        <v>0</v>
      </c>
      <c r="AJ103" s="34">
        <v>0</v>
      </c>
      <c r="AK103" s="34">
        <v>0</v>
      </c>
      <c r="AL103" s="34">
        <v>0</v>
      </c>
      <c r="AM103" s="34">
        <v>0</v>
      </c>
      <c r="AN103" s="34">
        <v>0</v>
      </c>
      <c r="AO103" s="34">
        <v>0</v>
      </c>
      <c r="AP103" s="34">
        <v>1761.5105419166666</v>
      </c>
      <c r="AQ103" s="34">
        <f t="shared" si="20"/>
        <v>1761.5105419166666</v>
      </c>
      <c r="AR103" s="34">
        <f t="shared" si="21"/>
        <v>0</v>
      </c>
      <c r="AS103" s="34">
        <f t="shared" si="22"/>
        <v>0</v>
      </c>
      <c r="AT103" t="str">
        <f t="shared" si="23"/>
        <v>SIN BONUS</v>
      </c>
    </row>
    <row r="104" spans="1:46" x14ac:dyDescent="0.25">
      <c r="A104" t="s">
        <v>110</v>
      </c>
      <c r="B104" t="s">
        <v>178</v>
      </c>
      <c r="C104" s="34">
        <v>0</v>
      </c>
      <c r="D104" s="34">
        <v>0</v>
      </c>
      <c r="E104" s="34">
        <v>15740.433333333332</v>
      </c>
      <c r="F104" s="34">
        <f t="shared" si="12"/>
        <v>15740.433333333332</v>
      </c>
      <c r="G104" s="34">
        <v>0</v>
      </c>
      <c r="H104" s="34">
        <v>5101.2</v>
      </c>
      <c r="I104" s="34">
        <v>5101.2</v>
      </c>
      <c r="J104" s="34">
        <f t="shared" si="13"/>
        <v>0</v>
      </c>
      <c r="K104" s="34">
        <v>5101.2</v>
      </c>
      <c r="L104" s="34">
        <v>5101.2</v>
      </c>
      <c r="M104" s="34">
        <f t="shared" si="14"/>
        <v>0</v>
      </c>
      <c r="N104" s="34">
        <v>510.11999999999989</v>
      </c>
      <c r="O104" s="34">
        <v>510.11999999999989</v>
      </c>
      <c r="P104" s="34">
        <f t="shared" si="15"/>
        <v>0</v>
      </c>
      <c r="Q104" s="34">
        <v>2040.4800000000005</v>
      </c>
      <c r="R104" s="34">
        <v>2040.4800000000005</v>
      </c>
      <c r="S104" s="34">
        <f t="shared" si="16"/>
        <v>0</v>
      </c>
      <c r="T104" s="34">
        <v>8088.6333333333323</v>
      </c>
      <c r="U104" s="34">
        <v>7816.114583333333</v>
      </c>
      <c r="V104" s="34">
        <f t="shared" si="17"/>
        <v>0</v>
      </c>
      <c r="W104" s="34">
        <v>0</v>
      </c>
      <c r="X104" s="34">
        <v>0</v>
      </c>
      <c r="Y104" s="34">
        <v>0</v>
      </c>
      <c r="Z104" s="34">
        <v>0</v>
      </c>
      <c r="AA104" s="34">
        <v>0</v>
      </c>
      <c r="AB104" s="34">
        <v>0</v>
      </c>
      <c r="AC104" s="34">
        <v>0</v>
      </c>
      <c r="AD104" s="34">
        <v>355.59091099999995</v>
      </c>
      <c r="AE104" s="34">
        <f t="shared" si="18"/>
        <v>355.59091099999995</v>
      </c>
      <c r="AF104" s="34">
        <f t="shared" si="19"/>
        <v>0</v>
      </c>
      <c r="AG104" s="34">
        <v>0</v>
      </c>
      <c r="AH104" s="34">
        <v>0</v>
      </c>
      <c r="AI104" s="34">
        <v>0</v>
      </c>
      <c r="AJ104" s="34">
        <v>0</v>
      </c>
      <c r="AK104" s="34">
        <v>0</v>
      </c>
      <c r="AL104" s="34">
        <v>0</v>
      </c>
      <c r="AM104" s="34">
        <v>0</v>
      </c>
      <c r="AN104" s="34">
        <v>0</v>
      </c>
      <c r="AO104" s="34">
        <v>0</v>
      </c>
      <c r="AP104" s="34">
        <v>1761.5105419166666</v>
      </c>
      <c r="AQ104" s="34">
        <f t="shared" si="20"/>
        <v>1761.5105419166666</v>
      </c>
      <c r="AR104" s="34">
        <f t="shared" si="21"/>
        <v>0</v>
      </c>
      <c r="AS104" s="34">
        <f t="shared" si="22"/>
        <v>0</v>
      </c>
      <c r="AT104" t="str">
        <f t="shared" si="23"/>
        <v>SIN BONUS</v>
      </c>
    </row>
    <row r="105" spans="1:46" x14ac:dyDescent="0.25">
      <c r="A105" t="s">
        <v>110</v>
      </c>
      <c r="B105" t="s">
        <v>179</v>
      </c>
      <c r="C105" s="34">
        <v>0</v>
      </c>
      <c r="D105" s="34">
        <v>0</v>
      </c>
      <c r="E105" s="34">
        <v>15740.433333333332</v>
      </c>
      <c r="F105" s="34">
        <f t="shared" si="12"/>
        <v>15740.433333333332</v>
      </c>
      <c r="G105" s="34">
        <v>0</v>
      </c>
      <c r="H105" s="34">
        <v>5101.2</v>
      </c>
      <c r="I105" s="34">
        <v>5101.2</v>
      </c>
      <c r="J105" s="34">
        <f t="shared" si="13"/>
        <v>0</v>
      </c>
      <c r="K105" s="34">
        <v>5101.2</v>
      </c>
      <c r="L105" s="34">
        <v>5101.2</v>
      </c>
      <c r="M105" s="34">
        <f t="shared" si="14"/>
        <v>0</v>
      </c>
      <c r="N105" s="34">
        <v>510.11999999999989</v>
      </c>
      <c r="O105" s="34">
        <v>510.11999999999989</v>
      </c>
      <c r="P105" s="34">
        <f t="shared" si="15"/>
        <v>0</v>
      </c>
      <c r="Q105" s="34">
        <v>2040.4800000000005</v>
      </c>
      <c r="R105" s="34">
        <v>2040.4800000000005</v>
      </c>
      <c r="S105" s="34">
        <f t="shared" si="16"/>
        <v>0</v>
      </c>
      <c r="T105" s="34">
        <v>8088.6333333333323</v>
      </c>
      <c r="U105" s="34">
        <v>7816.114583333333</v>
      </c>
      <c r="V105" s="34">
        <f t="shared" si="17"/>
        <v>0</v>
      </c>
      <c r="W105" s="34">
        <v>0</v>
      </c>
      <c r="X105" s="34">
        <v>0</v>
      </c>
      <c r="Y105" s="34">
        <v>0</v>
      </c>
      <c r="Z105" s="34">
        <v>0</v>
      </c>
      <c r="AA105" s="34">
        <v>0</v>
      </c>
      <c r="AB105" s="34">
        <v>0</v>
      </c>
      <c r="AC105" s="34">
        <v>0</v>
      </c>
      <c r="AD105" s="34">
        <v>355.59091099999995</v>
      </c>
      <c r="AE105" s="34">
        <f t="shared" si="18"/>
        <v>355.59091099999995</v>
      </c>
      <c r="AF105" s="34">
        <f t="shared" si="19"/>
        <v>0</v>
      </c>
      <c r="AG105" s="34">
        <v>0</v>
      </c>
      <c r="AH105" s="34">
        <v>0</v>
      </c>
      <c r="AI105" s="34">
        <v>0</v>
      </c>
      <c r="AJ105" s="34">
        <v>0</v>
      </c>
      <c r="AK105" s="34">
        <v>0</v>
      </c>
      <c r="AL105" s="34">
        <v>0</v>
      </c>
      <c r="AM105" s="34">
        <v>0</v>
      </c>
      <c r="AN105" s="34">
        <v>0</v>
      </c>
      <c r="AO105" s="34">
        <v>0</v>
      </c>
      <c r="AP105" s="34">
        <v>1761.5105419166666</v>
      </c>
      <c r="AQ105" s="34">
        <f t="shared" si="20"/>
        <v>1761.5105419166666</v>
      </c>
      <c r="AR105" s="34">
        <f t="shared" si="21"/>
        <v>0</v>
      </c>
      <c r="AS105" s="34">
        <f t="shared" si="22"/>
        <v>0</v>
      </c>
      <c r="AT105" t="str">
        <f t="shared" si="23"/>
        <v>SIN BONUS</v>
      </c>
    </row>
    <row r="106" spans="1:46" x14ac:dyDescent="0.25">
      <c r="A106" t="s">
        <v>110</v>
      </c>
      <c r="B106" t="s">
        <v>180</v>
      </c>
      <c r="C106" s="34">
        <v>0</v>
      </c>
      <c r="D106" s="34">
        <v>0</v>
      </c>
      <c r="E106" s="34">
        <v>15740.433333333332</v>
      </c>
      <c r="F106" s="34">
        <f t="shared" si="12"/>
        <v>15740.433333333332</v>
      </c>
      <c r="G106" s="34">
        <v>0</v>
      </c>
      <c r="H106" s="34">
        <v>5101.2</v>
      </c>
      <c r="I106" s="34">
        <v>5101.2</v>
      </c>
      <c r="J106" s="34">
        <f t="shared" si="13"/>
        <v>0</v>
      </c>
      <c r="K106" s="34">
        <v>5101.2</v>
      </c>
      <c r="L106" s="34">
        <v>5101.2</v>
      </c>
      <c r="M106" s="34">
        <f t="shared" si="14"/>
        <v>0</v>
      </c>
      <c r="N106" s="34">
        <v>510.11999999999989</v>
      </c>
      <c r="O106" s="34">
        <v>510.11999999999989</v>
      </c>
      <c r="P106" s="34">
        <f t="shared" si="15"/>
        <v>0</v>
      </c>
      <c r="Q106" s="34">
        <v>2040.4800000000005</v>
      </c>
      <c r="R106" s="34">
        <v>2040.4800000000005</v>
      </c>
      <c r="S106" s="34">
        <f t="shared" si="16"/>
        <v>0</v>
      </c>
      <c r="T106" s="34">
        <v>8088.6333333333323</v>
      </c>
      <c r="U106" s="34">
        <v>7816.114583333333</v>
      </c>
      <c r="V106" s="34">
        <f t="shared" si="17"/>
        <v>0</v>
      </c>
      <c r="W106" s="34">
        <v>0</v>
      </c>
      <c r="X106" s="34">
        <v>0</v>
      </c>
      <c r="Y106" s="34">
        <v>0</v>
      </c>
      <c r="Z106" s="34">
        <v>0</v>
      </c>
      <c r="AA106" s="34">
        <v>0</v>
      </c>
      <c r="AB106" s="34">
        <v>0</v>
      </c>
      <c r="AC106" s="34">
        <v>0</v>
      </c>
      <c r="AD106" s="34">
        <v>355.59091099999995</v>
      </c>
      <c r="AE106" s="34">
        <f t="shared" si="18"/>
        <v>355.59091099999995</v>
      </c>
      <c r="AF106" s="34">
        <f t="shared" si="19"/>
        <v>0</v>
      </c>
      <c r="AG106" s="34">
        <v>0</v>
      </c>
      <c r="AH106" s="34">
        <v>0</v>
      </c>
      <c r="AI106" s="34">
        <v>0</v>
      </c>
      <c r="AJ106" s="34">
        <v>0</v>
      </c>
      <c r="AK106" s="34">
        <v>0</v>
      </c>
      <c r="AL106" s="34">
        <v>0</v>
      </c>
      <c r="AM106" s="34">
        <v>0</v>
      </c>
      <c r="AN106" s="34">
        <v>0</v>
      </c>
      <c r="AO106" s="34">
        <v>0</v>
      </c>
      <c r="AP106" s="34">
        <v>1761.5105419166666</v>
      </c>
      <c r="AQ106" s="34">
        <f t="shared" si="20"/>
        <v>1761.5105419166666</v>
      </c>
      <c r="AR106" s="34">
        <f t="shared" si="21"/>
        <v>0</v>
      </c>
      <c r="AS106" s="34">
        <f t="shared" si="22"/>
        <v>0</v>
      </c>
      <c r="AT106" t="str">
        <f t="shared" si="23"/>
        <v>SIN BONUS</v>
      </c>
    </row>
    <row r="107" spans="1:46" x14ac:dyDescent="0.25">
      <c r="A107" t="s">
        <v>110</v>
      </c>
      <c r="B107" t="s">
        <v>183</v>
      </c>
      <c r="C107" s="34">
        <v>0</v>
      </c>
      <c r="D107" s="34">
        <v>0</v>
      </c>
      <c r="E107" s="34">
        <v>15740.433333333332</v>
      </c>
      <c r="F107" s="34">
        <f t="shared" si="12"/>
        <v>15740.433333333332</v>
      </c>
      <c r="G107" s="34">
        <v>0</v>
      </c>
      <c r="H107" s="34">
        <v>5101.2</v>
      </c>
      <c r="I107" s="34">
        <v>5101.2</v>
      </c>
      <c r="J107" s="34">
        <f t="shared" si="13"/>
        <v>0</v>
      </c>
      <c r="K107" s="34">
        <v>5101.2</v>
      </c>
      <c r="L107" s="34">
        <v>5101.2</v>
      </c>
      <c r="M107" s="34">
        <f t="shared" si="14"/>
        <v>0</v>
      </c>
      <c r="N107" s="34">
        <v>510.11999999999989</v>
      </c>
      <c r="O107" s="34">
        <v>510.11999999999989</v>
      </c>
      <c r="P107" s="34">
        <f t="shared" si="15"/>
        <v>0</v>
      </c>
      <c r="Q107" s="34">
        <v>2040.4800000000005</v>
      </c>
      <c r="R107" s="34">
        <v>2040.4800000000005</v>
      </c>
      <c r="S107" s="34">
        <f t="shared" si="16"/>
        <v>0</v>
      </c>
      <c r="T107" s="34">
        <v>8088.6333333333323</v>
      </c>
      <c r="U107" s="34">
        <v>7816.114583333333</v>
      </c>
      <c r="V107" s="34">
        <f t="shared" si="17"/>
        <v>0</v>
      </c>
      <c r="W107" s="34">
        <v>0</v>
      </c>
      <c r="X107" s="34">
        <v>0</v>
      </c>
      <c r="Y107" s="34">
        <v>0</v>
      </c>
      <c r="Z107" s="34">
        <v>0</v>
      </c>
      <c r="AA107" s="34">
        <v>0</v>
      </c>
      <c r="AB107" s="34">
        <v>0</v>
      </c>
      <c r="AC107" s="34">
        <v>0</v>
      </c>
      <c r="AD107" s="34">
        <v>355.59091099999995</v>
      </c>
      <c r="AE107" s="34">
        <f t="shared" si="18"/>
        <v>355.59091099999995</v>
      </c>
      <c r="AF107" s="34">
        <f t="shared" si="19"/>
        <v>0</v>
      </c>
      <c r="AG107" s="34">
        <v>0</v>
      </c>
      <c r="AH107" s="34">
        <v>0</v>
      </c>
      <c r="AI107" s="34">
        <v>0</v>
      </c>
      <c r="AJ107" s="34">
        <v>0</v>
      </c>
      <c r="AK107" s="34">
        <v>0</v>
      </c>
      <c r="AL107" s="34">
        <v>0</v>
      </c>
      <c r="AM107" s="34">
        <v>0</v>
      </c>
      <c r="AN107" s="34">
        <v>0</v>
      </c>
      <c r="AO107" s="34">
        <v>0</v>
      </c>
      <c r="AP107" s="34">
        <v>1761.5105419166666</v>
      </c>
      <c r="AQ107" s="34">
        <f t="shared" si="20"/>
        <v>1761.5105419166666</v>
      </c>
      <c r="AR107" s="34">
        <f t="shared" si="21"/>
        <v>0</v>
      </c>
      <c r="AS107" s="34">
        <f t="shared" si="22"/>
        <v>0</v>
      </c>
      <c r="AT107" t="str">
        <f t="shared" si="23"/>
        <v>SIN BONUS</v>
      </c>
    </row>
    <row r="108" spans="1:46" x14ac:dyDescent="0.25">
      <c r="A108" t="s">
        <v>110</v>
      </c>
      <c r="B108" t="s">
        <v>184</v>
      </c>
      <c r="C108" s="34">
        <v>0</v>
      </c>
      <c r="D108" s="34">
        <v>0</v>
      </c>
      <c r="E108" s="34">
        <v>15740.433333333332</v>
      </c>
      <c r="F108" s="34">
        <f t="shared" si="12"/>
        <v>15740.433333333332</v>
      </c>
      <c r="G108" s="34">
        <v>0</v>
      </c>
      <c r="H108" s="34">
        <v>5101.2</v>
      </c>
      <c r="I108" s="34">
        <v>5101.2</v>
      </c>
      <c r="J108" s="34">
        <f t="shared" si="13"/>
        <v>0</v>
      </c>
      <c r="K108" s="34">
        <v>5101.2</v>
      </c>
      <c r="L108" s="34">
        <v>5101.2</v>
      </c>
      <c r="M108" s="34">
        <f t="shared" si="14"/>
        <v>0</v>
      </c>
      <c r="N108" s="34">
        <v>510.11999999999989</v>
      </c>
      <c r="O108" s="34">
        <v>510.11999999999989</v>
      </c>
      <c r="P108" s="34">
        <f t="shared" si="15"/>
        <v>0</v>
      </c>
      <c r="Q108" s="34">
        <v>2040.4800000000005</v>
      </c>
      <c r="R108" s="34">
        <v>2040.4800000000005</v>
      </c>
      <c r="S108" s="34">
        <f t="shared" si="16"/>
        <v>0</v>
      </c>
      <c r="T108" s="34">
        <v>8088.6333333333323</v>
      </c>
      <c r="U108" s="34">
        <v>7816.114583333333</v>
      </c>
      <c r="V108" s="34">
        <f t="shared" si="17"/>
        <v>0</v>
      </c>
      <c r="W108" s="34">
        <v>0</v>
      </c>
      <c r="X108" s="34">
        <v>0</v>
      </c>
      <c r="Y108" s="34">
        <v>0</v>
      </c>
      <c r="Z108" s="34">
        <v>0</v>
      </c>
      <c r="AA108" s="34">
        <v>0</v>
      </c>
      <c r="AB108" s="34">
        <v>0</v>
      </c>
      <c r="AC108" s="34">
        <v>0</v>
      </c>
      <c r="AD108" s="34">
        <v>355.59091099999995</v>
      </c>
      <c r="AE108" s="34">
        <f t="shared" si="18"/>
        <v>355.59091099999995</v>
      </c>
      <c r="AF108" s="34">
        <f t="shared" si="19"/>
        <v>0</v>
      </c>
      <c r="AG108" s="34">
        <v>0</v>
      </c>
      <c r="AH108" s="34">
        <v>0</v>
      </c>
      <c r="AI108" s="34">
        <v>0</v>
      </c>
      <c r="AJ108" s="34">
        <v>0</v>
      </c>
      <c r="AK108" s="34">
        <v>0</v>
      </c>
      <c r="AL108" s="34">
        <v>0</v>
      </c>
      <c r="AM108" s="34">
        <v>0</v>
      </c>
      <c r="AN108" s="34">
        <v>0</v>
      </c>
      <c r="AO108" s="34">
        <v>0</v>
      </c>
      <c r="AP108" s="34">
        <v>1761.5105419166666</v>
      </c>
      <c r="AQ108" s="34">
        <f t="shared" si="20"/>
        <v>1761.5105419166666</v>
      </c>
      <c r="AR108" s="34">
        <f t="shared" si="21"/>
        <v>0</v>
      </c>
      <c r="AS108" s="34">
        <f t="shared" si="22"/>
        <v>0</v>
      </c>
      <c r="AT108" t="str">
        <f t="shared" si="23"/>
        <v>SIN BONUS</v>
      </c>
    </row>
    <row r="109" spans="1:46" x14ac:dyDescent="0.25">
      <c r="A109" t="s">
        <v>110</v>
      </c>
      <c r="B109" t="s">
        <v>185</v>
      </c>
      <c r="C109" s="34">
        <v>0</v>
      </c>
      <c r="D109" s="34">
        <v>0</v>
      </c>
      <c r="E109" s="34">
        <v>15740.433333333332</v>
      </c>
      <c r="F109" s="34">
        <f t="shared" si="12"/>
        <v>15740.433333333332</v>
      </c>
      <c r="G109" s="34">
        <v>0</v>
      </c>
      <c r="H109" s="34">
        <v>5101.2</v>
      </c>
      <c r="I109" s="34">
        <v>5101.2</v>
      </c>
      <c r="J109" s="34">
        <f t="shared" si="13"/>
        <v>0</v>
      </c>
      <c r="K109" s="34">
        <v>5101.2</v>
      </c>
      <c r="L109" s="34">
        <v>5101.2</v>
      </c>
      <c r="M109" s="34">
        <f t="shared" si="14"/>
        <v>0</v>
      </c>
      <c r="N109" s="34">
        <v>510.11999999999989</v>
      </c>
      <c r="O109" s="34">
        <v>510.11999999999989</v>
      </c>
      <c r="P109" s="34">
        <f t="shared" si="15"/>
        <v>0</v>
      </c>
      <c r="Q109" s="34">
        <v>2040.4800000000005</v>
      </c>
      <c r="R109" s="34">
        <v>2040.4800000000005</v>
      </c>
      <c r="S109" s="34">
        <f t="shared" si="16"/>
        <v>0</v>
      </c>
      <c r="T109" s="34">
        <v>8088.6333333333323</v>
      </c>
      <c r="U109" s="34">
        <v>7816.114583333333</v>
      </c>
      <c r="V109" s="34">
        <f t="shared" si="17"/>
        <v>0</v>
      </c>
      <c r="W109" s="34">
        <v>0</v>
      </c>
      <c r="X109" s="34">
        <v>0</v>
      </c>
      <c r="Y109" s="34">
        <v>0</v>
      </c>
      <c r="Z109" s="34">
        <v>0</v>
      </c>
      <c r="AA109" s="34">
        <v>0</v>
      </c>
      <c r="AB109" s="34">
        <v>0</v>
      </c>
      <c r="AC109" s="34">
        <v>0</v>
      </c>
      <c r="AD109" s="34">
        <v>355.59091099999995</v>
      </c>
      <c r="AE109" s="34">
        <f t="shared" si="18"/>
        <v>355.59091099999995</v>
      </c>
      <c r="AF109" s="34">
        <f t="shared" si="19"/>
        <v>0</v>
      </c>
      <c r="AG109" s="34">
        <v>0</v>
      </c>
      <c r="AH109" s="34">
        <v>0</v>
      </c>
      <c r="AI109" s="34">
        <v>0</v>
      </c>
      <c r="AJ109" s="34">
        <v>0</v>
      </c>
      <c r="AK109" s="34">
        <v>0</v>
      </c>
      <c r="AL109" s="34">
        <v>0</v>
      </c>
      <c r="AM109" s="34">
        <v>0</v>
      </c>
      <c r="AN109" s="34">
        <v>0</v>
      </c>
      <c r="AO109" s="34">
        <v>0</v>
      </c>
      <c r="AP109" s="34">
        <v>1761.5105419166666</v>
      </c>
      <c r="AQ109" s="34">
        <f t="shared" si="20"/>
        <v>1761.5105419166666</v>
      </c>
      <c r="AR109" s="34">
        <f t="shared" si="21"/>
        <v>0</v>
      </c>
      <c r="AS109" s="34">
        <f t="shared" si="22"/>
        <v>0</v>
      </c>
      <c r="AT109" t="str">
        <f t="shared" si="23"/>
        <v>SIN BONUS</v>
      </c>
    </row>
    <row r="110" spans="1:46" x14ac:dyDescent="0.25">
      <c r="A110" t="s">
        <v>110</v>
      </c>
      <c r="B110" t="s">
        <v>186</v>
      </c>
      <c r="C110" s="34">
        <v>0</v>
      </c>
      <c r="D110" s="34">
        <v>0</v>
      </c>
      <c r="E110" s="34">
        <v>15740.433333333332</v>
      </c>
      <c r="F110" s="34">
        <f t="shared" si="12"/>
        <v>15740.433333333332</v>
      </c>
      <c r="G110" s="34">
        <v>0</v>
      </c>
      <c r="H110" s="34">
        <v>5101.2</v>
      </c>
      <c r="I110" s="34">
        <v>5101.2</v>
      </c>
      <c r="J110" s="34">
        <f t="shared" si="13"/>
        <v>0</v>
      </c>
      <c r="K110" s="34">
        <v>5101.2</v>
      </c>
      <c r="L110" s="34">
        <v>5101.2</v>
      </c>
      <c r="M110" s="34">
        <f t="shared" si="14"/>
        <v>0</v>
      </c>
      <c r="N110" s="34">
        <v>510.11999999999989</v>
      </c>
      <c r="O110" s="34">
        <v>510.11999999999989</v>
      </c>
      <c r="P110" s="34">
        <f t="shared" si="15"/>
        <v>0</v>
      </c>
      <c r="Q110" s="34">
        <v>2040.4800000000005</v>
      </c>
      <c r="R110" s="34">
        <v>2040.4800000000005</v>
      </c>
      <c r="S110" s="34">
        <f t="shared" si="16"/>
        <v>0</v>
      </c>
      <c r="T110" s="34">
        <v>8088.6333333333323</v>
      </c>
      <c r="U110" s="34">
        <v>7816.114583333333</v>
      </c>
      <c r="V110" s="34">
        <f t="shared" si="17"/>
        <v>0</v>
      </c>
      <c r="W110" s="34">
        <v>0</v>
      </c>
      <c r="X110" s="34">
        <v>0</v>
      </c>
      <c r="Y110" s="34">
        <v>0</v>
      </c>
      <c r="Z110" s="34">
        <v>0</v>
      </c>
      <c r="AA110" s="34">
        <v>0</v>
      </c>
      <c r="AB110" s="34">
        <v>0</v>
      </c>
      <c r="AC110" s="34">
        <v>0</v>
      </c>
      <c r="AD110" s="34">
        <v>355.59091099999995</v>
      </c>
      <c r="AE110" s="34">
        <f t="shared" si="18"/>
        <v>355.59091099999995</v>
      </c>
      <c r="AF110" s="34">
        <f t="shared" si="19"/>
        <v>0</v>
      </c>
      <c r="AG110" s="34">
        <v>0</v>
      </c>
      <c r="AH110" s="34">
        <v>0</v>
      </c>
      <c r="AI110" s="34">
        <v>0</v>
      </c>
      <c r="AJ110" s="34">
        <v>0</v>
      </c>
      <c r="AK110" s="34">
        <v>0</v>
      </c>
      <c r="AL110" s="34">
        <v>0</v>
      </c>
      <c r="AM110" s="34">
        <v>0</v>
      </c>
      <c r="AN110" s="34">
        <v>0</v>
      </c>
      <c r="AO110" s="34">
        <v>0</v>
      </c>
      <c r="AP110" s="34">
        <v>1761.5105419166666</v>
      </c>
      <c r="AQ110" s="34">
        <f t="shared" si="20"/>
        <v>1761.5105419166666</v>
      </c>
      <c r="AR110" s="34">
        <f t="shared" si="21"/>
        <v>0</v>
      </c>
      <c r="AS110" s="34">
        <f t="shared" si="22"/>
        <v>0</v>
      </c>
      <c r="AT110" t="str">
        <f t="shared" si="23"/>
        <v>SIN BONUS</v>
      </c>
    </row>
    <row r="111" spans="1:46" x14ac:dyDescent="0.25">
      <c r="A111" t="s">
        <v>110</v>
      </c>
      <c r="B111" t="s">
        <v>187</v>
      </c>
      <c r="C111" s="34">
        <v>0</v>
      </c>
      <c r="D111" s="34">
        <v>0</v>
      </c>
      <c r="E111" s="34">
        <v>15740.433333333332</v>
      </c>
      <c r="F111" s="34">
        <f t="shared" si="12"/>
        <v>15740.433333333332</v>
      </c>
      <c r="G111" s="34">
        <v>0</v>
      </c>
      <c r="H111" s="34">
        <v>5101.2</v>
      </c>
      <c r="I111" s="34">
        <v>5101.2</v>
      </c>
      <c r="J111" s="34">
        <f t="shared" si="13"/>
        <v>0</v>
      </c>
      <c r="K111" s="34">
        <v>5101.2</v>
      </c>
      <c r="L111" s="34">
        <v>5101.2</v>
      </c>
      <c r="M111" s="34">
        <f t="shared" si="14"/>
        <v>0</v>
      </c>
      <c r="N111" s="34">
        <v>510.11999999999989</v>
      </c>
      <c r="O111" s="34">
        <v>510.11999999999989</v>
      </c>
      <c r="P111" s="34">
        <f t="shared" si="15"/>
        <v>0</v>
      </c>
      <c r="Q111" s="34">
        <v>2040.4800000000005</v>
      </c>
      <c r="R111" s="34">
        <v>2040.4800000000005</v>
      </c>
      <c r="S111" s="34">
        <f t="shared" si="16"/>
        <v>0</v>
      </c>
      <c r="T111" s="34">
        <v>8088.6333333333323</v>
      </c>
      <c r="U111" s="34">
        <v>7816.114583333333</v>
      </c>
      <c r="V111" s="34">
        <f t="shared" si="17"/>
        <v>0</v>
      </c>
      <c r="W111" s="34">
        <v>0</v>
      </c>
      <c r="X111" s="34">
        <v>0</v>
      </c>
      <c r="Y111" s="34">
        <v>0</v>
      </c>
      <c r="Z111" s="34">
        <v>0</v>
      </c>
      <c r="AA111" s="34">
        <v>0</v>
      </c>
      <c r="AB111" s="34">
        <v>0</v>
      </c>
      <c r="AC111" s="34">
        <v>0</v>
      </c>
      <c r="AD111" s="34">
        <v>355.59091099999995</v>
      </c>
      <c r="AE111" s="34">
        <f t="shared" si="18"/>
        <v>355.59091099999995</v>
      </c>
      <c r="AF111" s="34">
        <f t="shared" si="19"/>
        <v>0</v>
      </c>
      <c r="AG111" s="34">
        <v>0</v>
      </c>
      <c r="AH111" s="34">
        <v>0</v>
      </c>
      <c r="AI111" s="34">
        <v>0</v>
      </c>
      <c r="AJ111" s="34">
        <v>0</v>
      </c>
      <c r="AK111" s="34">
        <v>0</v>
      </c>
      <c r="AL111" s="34">
        <v>0</v>
      </c>
      <c r="AM111" s="34">
        <v>0</v>
      </c>
      <c r="AN111" s="34">
        <v>0</v>
      </c>
      <c r="AO111" s="34">
        <v>0</v>
      </c>
      <c r="AP111" s="34">
        <v>1761.5105419166666</v>
      </c>
      <c r="AQ111" s="34">
        <f t="shared" si="20"/>
        <v>1761.5105419166666</v>
      </c>
      <c r="AR111" s="34">
        <f t="shared" si="21"/>
        <v>0</v>
      </c>
      <c r="AS111" s="34">
        <f t="shared" si="22"/>
        <v>0</v>
      </c>
      <c r="AT111" t="str">
        <f t="shared" si="23"/>
        <v>SIN BONUS</v>
      </c>
    </row>
    <row r="112" spans="1:46" x14ac:dyDescent="0.25">
      <c r="A112" t="s">
        <v>110</v>
      </c>
      <c r="B112" t="s">
        <v>189</v>
      </c>
      <c r="C112" s="34">
        <v>0</v>
      </c>
      <c r="D112" s="34">
        <v>0</v>
      </c>
      <c r="E112" s="34">
        <v>15740.433333333332</v>
      </c>
      <c r="F112" s="34">
        <f t="shared" si="12"/>
        <v>15740.433333333332</v>
      </c>
      <c r="G112" s="34">
        <v>0</v>
      </c>
      <c r="H112" s="34">
        <v>5101.2</v>
      </c>
      <c r="I112" s="34">
        <v>5101.2</v>
      </c>
      <c r="J112" s="34">
        <f t="shared" si="13"/>
        <v>0</v>
      </c>
      <c r="K112" s="34">
        <v>5101.2</v>
      </c>
      <c r="L112" s="34">
        <v>5101.2</v>
      </c>
      <c r="M112" s="34">
        <f t="shared" si="14"/>
        <v>0</v>
      </c>
      <c r="N112" s="34">
        <v>510.11999999999989</v>
      </c>
      <c r="O112" s="34">
        <v>510.11999999999989</v>
      </c>
      <c r="P112" s="34">
        <f t="shared" si="15"/>
        <v>0</v>
      </c>
      <c r="Q112" s="34">
        <v>2040.4800000000005</v>
      </c>
      <c r="R112" s="34">
        <v>2040.4800000000005</v>
      </c>
      <c r="S112" s="34">
        <f t="shared" si="16"/>
        <v>0</v>
      </c>
      <c r="T112" s="34">
        <v>8088.6333333333323</v>
      </c>
      <c r="U112" s="34">
        <v>7816.114583333333</v>
      </c>
      <c r="V112" s="34">
        <f t="shared" si="17"/>
        <v>0</v>
      </c>
      <c r="W112" s="34">
        <v>0</v>
      </c>
      <c r="X112" s="34">
        <v>0</v>
      </c>
      <c r="Y112" s="34">
        <v>0</v>
      </c>
      <c r="Z112" s="34">
        <v>0</v>
      </c>
      <c r="AA112" s="34">
        <v>0</v>
      </c>
      <c r="AB112" s="34">
        <v>0</v>
      </c>
      <c r="AC112" s="34">
        <v>0</v>
      </c>
      <c r="AD112" s="34">
        <v>355.59091099999995</v>
      </c>
      <c r="AE112" s="34">
        <f t="shared" si="18"/>
        <v>355.59091099999995</v>
      </c>
      <c r="AF112" s="34">
        <f t="shared" si="19"/>
        <v>0</v>
      </c>
      <c r="AG112" s="34">
        <v>0</v>
      </c>
      <c r="AH112" s="34">
        <v>0</v>
      </c>
      <c r="AI112" s="34">
        <v>0</v>
      </c>
      <c r="AJ112" s="34">
        <v>0</v>
      </c>
      <c r="AK112" s="34">
        <v>0</v>
      </c>
      <c r="AL112" s="34">
        <v>0</v>
      </c>
      <c r="AM112" s="34">
        <v>0</v>
      </c>
      <c r="AN112" s="34">
        <v>0</v>
      </c>
      <c r="AO112" s="34">
        <v>0</v>
      </c>
      <c r="AP112" s="34">
        <v>1761.5105419166666</v>
      </c>
      <c r="AQ112" s="34">
        <f t="shared" si="20"/>
        <v>1761.5105419166666</v>
      </c>
      <c r="AR112" s="34">
        <f t="shared" si="21"/>
        <v>0</v>
      </c>
      <c r="AS112" s="34">
        <f t="shared" si="22"/>
        <v>0</v>
      </c>
      <c r="AT112" t="str">
        <f t="shared" si="23"/>
        <v>SIN BONUS</v>
      </c>
    </row>
    <row r="113" spans="1:46" x14ac:dyDescent="0.25">
      <c r="A113" t="s">
        <v>112</v>
      </c>
      <c r="B113" t="s">
        <v>173</v>
      </c>
      <c r="C113" s="34">
        <v>3158</v>
      </c>
      <c r="D113" s="34">
        <v>263.16666666666669</v>
      </c>
      <c r="E113" s="34">
        <v>2084.4110000000001</v>
      </c>
      <c r="F113" s="34">
        <f t="shared" si="12"/>
        <v>2347.5776666666666</v>
      </c>
      <c r="G113" s="34">
        <v>0</v>
      </c>
      <c r="H113" s="34">
        <v>2084.4110000000001</v>
      </c>
      <c r="I113" s="34">
        <v>2531.2093449999998</v>
      </c>
      <c r="J113" s="34">
        <f t="shared" si="13"/>
        <v>446.7983449999997</v>
      </c>
      <c r="K113" s="34">
        <v>2251.2093449999998</v>
      </c>
      <c r="L113" s="34">
        <v>2514.3760116666663</v>
      </c>
      <c r="M113" s="34">
        <f t="shared" si="14"/>
        <v>263.16666666666652</v>
      </c>
      <c r="N113" s="34">
        <v>0</v>
      </c>
      <c r="O113" s="34">
        <v>0</v>
      </c>
      <c r="P113" s="34">
        <f t="shared" si="15"/>
        <v>0</v>
      </c>
      <c r="Q113" s="34">
        <v>0</v>
      </c>
      <c r="R113" s="34">
        <v>0</v>
      </c>
      <c r="S113" s="34">
        <f t="shared" si="16"/>
        <v>0</v>
      </c>
      <c r="T113" s="34">
        <v>0</v>
      </c>
      <c r="U113" s="34">
        <v>0</v>
      </c>
      <c r="V113" s="34">
        <f t="shared" si="17"/>
        <v>0</v>
      </c>
      <c r="W113" s="34">
        <v>13.16</v>
      </c>
      <c r="X113" s="34">
        <v>4.34</v>
      </c>
      <c r="Y113" s="34">
        <v>0.28000000000000003</v>
      </c>
      <c r="Z113" s="34">
        <v>0.42</v>
      </c>
      <c r="AA113" s="34">
        <v>0</v>
      </c>
      <c r="AB113" s="34">
        <v>0</v>
      </c>
      <c r="AC113" s="34">
        <v>0</v>
      </c>
      <c r="AD113" s="34">
        <v>146.328607425</v>
      </c>
      <c r="AE113" s="34">
        <f t="shared" si="18"/>
        <v>164.52860742500002</v>
      </c>
      <c r="AF113" s="34">
        <f t="shared" si="19"/>
        <v>18.200000000000017</v>
      </c>
      <c r="AG113" s="34">
        <v>66.08</v>
      </c>
      <c r="AH113" s="34">
        <v>15.4</v>
      </c>
      <c r="AI113" s="34">
        <v>0.56000000000000005</v>
      </c>
      <c r="AJ113" s="34">
        <v>1.68</v>
      </c>
      <c r="AK113" s="34">
        <v>2.1</v>
      </c>
      <c r="AL113" s="34">
        <v>4.2</v>
      </c>
      <c r="AM113" s="34">
        <v>0</v>
      </c>
      <c r="AN113" s="34">
        <v>0</v>
      </c>
      <c r="AO113" s="34">
        <v>0</v>
      </c>
      <c r="AP113" s="34">
        <v>723.76380441750007</v>
      </c>
      <c r="AQ113" s="34">
        <f t="shared" si="20"/>
        <v>813.78380441750005</v>
      </c>
      <c r="AR113" s="34">
        <f t="shared" si="21"/>
        <v>90.019999999999982</v>
      </c>
      <c r="AS113" s="34">
        <f t="shared" si="22"/>
        <v>108.22</v>
      </c>
      <c r="AT113" t="str">
        <f t="shared" si="23"/>
        <v>OK</v>
      </c>
    </row>
    <row r="114" spans="1:46" x14ac:dyDescent="0.25">
      <c r="A114" t="s">
        <v>112</v>
      </c>
      <c r="B114" t="s">
        <v>176</v>
      </c>
      <c r="C114" s="34">
        <v>3158</v>
      </c>
      <c r="D114" s="34">
        <v>263.16666666666669</v>
      </c>
      <c r="E114" s="34">
        <v>2084.4110000000001</v>
      </c>
      <c r="F114" s="34">
        <f t="shared" si="12"/>
        <v>2347.5776666666666</v>
      </c>
      <c r="G114" s="34">
        <v>0</v>
      </c>
      <c r="H114" s="34">
        <v>2084.4110000000001</v>
      </c>
      <c r="I114" s="34">
        <v>2531.2093449999998</v>
      </c>
      <c r="J114" s="34">
        <f t="shared" si="13"/>
        <v>446.7983449999997</v>
      </c>
      <c r="K114" s="34">
        <v>2251.2093449999998</v>
      </c>
      <c r="L114" s="34">
        <v>2514.3760116666663</v>
      </c>
      <c r="M114" s="34">
        <f t="shared" si="14"/>
        <v>263.16666666666652</v>
      </c>
      <c r="N114" s="34">
        <v>0</v>
      </c>
      <c r="O114" s="34">
        <v>0</v>
      </c>
      <c r="P114" s="34">
        <f t="shared" si="15"/>
        <v>0</v>
      </c>
      <c r="Q114" s="34">
        <v>0</v>
      </c>
      <c r="R114" s="34">
        <v>0</v>
      </c>
      <c r="S114" s="34">
        <f t="shared" si="16"/>
        <v>0</v>
      </c>
      <c r="T114" s="34">
        <v>0</v>
      </c>
      <c r="U114" s="34">
        <v>0</v>
      </c>
      <c r="V114" s="34">
        <f t="shared" si="17"/>
        <v>0</v>
      </c>
      <c r="W114" s="34">
        <v>13.16</v>
      </c>
      <c r="X114" s="34">
        <v>4.34</v>
      </c>
      <c r="Y114" s="34">
        <v>0.28000000000000003</v>
      </c>
      <c r="Z114" s="34">
        <v>0.42</v>
      </c>
      <c r="AA114" s="34">
        <v>0</v>
      </c>
      <c r="AB114" s="34">
        <v>0</v>
      </c>
      <c r="AC114" s="34">
        <v>0</v>
      </c>
      <c r="AD114" s="34">
        <v>146.328607425</v>
      </c>
      <c r="AE114" s="34">
        <f t="shared" si="18"/>
        <v>164.52860742500002</v>
      </c>
      <c r="AF114" s="34">
        <f t="shared" si="19"/>
        <v>18.200000000000017</v>
      </c>
      <c r="AG114" s="34">
        <v>66.08</v>
      </c>
      <c r="AH114" s="34">
        <v>15.4</v>
      </c>
      <c r="AI114" s="34">
        <v>0.56000000000000005</v>
      </c>
      <c r="AJ114" s="34">
        <v>1.68</v>
      </c>
      <c r="AK114" s="34">
        <v>2.1</v>
      </c>
      <c r="AL114" s="34">
        <v>4.2</v>
      </c>
      <c r="AM114" s="34">
        <v>0</v>
      </c>
      <c r="AN114" s="34">
        <v>0</v>
      </c>
      <c r="AO114" s="34">
        <v>0</v>
      </c>
      <c r="AP114" s="34">
        <v>723.76380441750007</v>
      </c>
      <c r="AQ114" s="34">
        <f t="shared" si="20"/>
        <v>813.78380441750005</v>
      </c>
      <c r="AR114" s="34">
        <f t="shared" si="21"/>
        <v>90.019999999999982</v>
      </c>
      <c r="AS114" s="34">
        <f t="shared" si="22"/>
        <v>108.22</v>
      </c>
      <c r="AT114" t="str">
        <f t="shared" si="23"/>
        <v>OK</v>
      </c>
    </row>
    <row r="115" spans="1:46" x14ac:dyDescent="0.25">
      <c r="A115" t="s">
        <v>112</v>
      </c>
      <c r="B115" t="s">
        <v>177</v>
      </c>
      <c r="C115" s="34">
        <v>3158</v>
      </c>
      <c r="D115" s="34">
        <v>263.16666666666669</v>
      </c>
      <c r="E115" s="34">
        <v>2084.4110000000001</v>
      </c>
      <c r="F115" s="34">
        <f t="shared" si="12"/>
        <v>2347.5776666666666</v>
      </c>
      <c r="G115" s="34">
        <v>0</v>
      </c>
      <c r="H115" s="34">
        <v>2084.4110000000001</v>
      </c>
      <c r="I115" s="34">
        <v>2531.2093449999998</v>
      </c>
      <c r="J115" s="34">
        <f t="shared" si="13"/>
        <v>446.7983449999997</v>
      </c>
      <c r="K115" s="34">
        <v>2084.4110000000001</v>
      </c>
      <c r="L115" s="34">
        <v>2347.5776666666666</v>
      </c>
      <c r="M115" s="34">
        <f t="shared" si="14"/>
        <v>263.16666666666652</v>
      </c>
      <c r="N115" s="34">
        <v>0</v>
      </c>
      <c r="O115" s="34">
        <v>0</v>
      </c>
      <c r="P115" s="34">
        <f t="shared" si="15"/>
        <v>0</v>
      </c>
      <c r="Q115" s="34">
        <v>0</v>
      </c>
      <c r="R115" s="34">
        <v>0</v>
      </c>
      <c r="S115" s="34">
        <f t="shared" si="16"/>
        <v>0</v>
      </c>
      <c r="T115" s="34">
        <v>0</v>
      </c>
      <c r="U115" s="34">
        <v>0</v>
      </c>
      <c r="V115" s="34">
        <f t="shared" si="17"/>
        <v>0</v>
      </c>
      <c r="W115" s="34">
        <v>13.16</v>
      </c>
      <c r="X115" s="34">
        <v>4.34</v>
      </c>
      <c r="Y115" s="34">
        <v>0.28000000000000003</v>
      </c>
      <c r="Z115" s="34">
        <v>0.42</v>
      </c>
      <c r="AA115" s="34">
        <v>0</v>
      </c>
      <c r="AB115" s="34">
        <v>0</v>
      </c>
      <c r="AC115" s="34">
        <v>0</v>
      </c>
      <c r="AD115" s="34">
        <v>135.486715</v>
      </c>
      <c r="AE115" s="34">
        <f t="shared" si="18"/>
        <v>153.68671499999999</v>
      </c>
      <c r="AF115" s="34">
        <f t="shared" si="19"/>
        <v>18.199999999999989</v>
      </c>
      <c r="AG115" s="34">
        <v>66.08</v>
      </c>
      <c r="AH115" s="34">
        <v>15.4</v>
      </c>
      <c r="AI115" s="34">
        <v>0.56000000000000005</v>
      </c>
      <c r="AJ115" s="34">
        <v>1.68</v>
      </c>
      <c r="AK115" s="34">
        <v>2.1</v>
      </c>
      <c r="AL115" s="34">
        <v>4.2</v>
      </c>
      <c r="AM115" s="34">
        <v>0</v>
      </c>
      <c r="AN115" s="34">
        <v>0</v>
      </c>
      <c r="AO115" s="34">
        <v>0</v>
      </c>
      <c r="AP115" s="34">
        <v>670.13813650000009</v>
      </c>
      <c r="AQ115" s="34">
        <f t="shared" si="20"/>
        <v>760.15813650000007</v>
      </c>
      <c r="AR115" s="34">
        <f t="shared" si="21"/>
        <v>90.019999999999982</v>
      </c>
      <c r="AS115" s="34">
        <f t="shared" si="22"/>
        <v>108.21999999999997</v>
      </c>
      <c r="AT115" t="str">
        <f t="shared" si="23"/>
        <v>OK</v>
      </c>
    </row>
    <row r="116" spans="1:46" x14ac:dyDescent="0.25">
      <c r="A116" t="s">
        <v>112</v>
      </c>
      <c r="B116" t="s">
        <v>178</v>
      </c>
      <c r="C116" s="34">
        <v>3158</v>
      </c>
      <c r="D116" s="34">
        <v>263.16666666666669</v>
      </c>
      <c r="E116" s="34">
        <v>2084.4110000000001</v>
      </c>
      <c r="F116" s="34">
        <f t="shared" si="12"/>
        <v>2347.5776666666666</v>
      </c>
      <c r="G116" s="34">
        <v>0</v>
      </c>
      <c r="H116" s="34">
        <v>2084.4110000000001</v>
      </c>
      <c r="I116" s="34">
        <v>2531.2093449999998</v>
      </c>
      <c r="J116" s="34">
        <f t="shared" si="13"/>
        <v>446.7983449999997</v>
      </c>
      <c r="K116" s="34">
        <v>2251.2093449999998</v>
      </c>
      <c r="L116" s="34">
        <v>2514.3760116666663</v>
      </c>
      <c r="M116" s="34">
        <f t="shared" si="14"/>
        <v>263.16666666666652</v>
      </c>
      <c r="N116" s="34">
        <v>0</v>
      </c>
      <c r="O116" s="34">
        <v>0</v>
      </c>
      <c r="P116" s="34">
        <f t="shared" si="15"/>
        <v>0</v>
      </c>
      <c r="Q116" s="34">
        <v>0</v>
      </c>
      <c r="R116" s="34">
        <v>0</v>
      </c>
      <c r="S116" s="34">
        <f t="shared" si="16"/>
        <v>0</v>
      </c>
      <c r="T116" s="34">
        <v>0</v>
      </c>
      <c r="U116" s="34">
        <v>0</v>
      </c>
      <c r="V116" s="34">
        <f t="shared" si="17"/>
        <v>0</v>
      </c>
      <c r="W116" s="34">
        <v>13.16</v>
      </c>
      <c r="X116" s="34">
        <v>4.34</v>
      </c>
      <c r="Y116" s="34">
        <v>0.28000000000000003</v>
      </c>
      <c r="Z116" s="34">
        <v>0.42</v>
      </c>
      <c r="AA116" s="34">
        <v>0</v>
      </c>
      <c r="AB116" s="34">
        <v>0</v>
      </c>
      <c r="AC116" s="34">
        <v>0</v>
      </c>
      <c r="AD116" s="34">
        <v>146.328607425</v>
      </c>
      <c r="AE116" s="34">
        <f t="shared" si="18"/>
        <v>164.52860742500002</v>
      </c>
      <c r="AF116" s="34">
        <f t="shared" si="19"/>
        <v>18.200000000000017</v>
      </c>
      <c r="AG116" s="34">
        <v>66.08</v>
      </c>
      <c r="AH116" s="34">
        <v>15.4</v>
      </c>
      <c r="AI116" s="34">
        <v>0.56000000000000005</v>
      </c>
      <c r="AJ116" s="34">
        <v>1.68</v>
      </c>
      <c r="AK116" s="34">
        <v>2.1</v>
      </c>
      <c r="AL116" s="34">
        <v>4.2</v>
      </c>
      <c r="AM116" s="34">
        <v>0</v>
      </c>
      <c r="AN116" s="34">
        <v>0</v>
      </c>
      <c r="AO116" s="34">
        <v>0</v>
      </c>
      <c r="AP116" s="34">
        <v>723.76380441750007</v>
      </c>
      <c r="AQ116" s="34">
        <f t="shared" si="20"/>
        <v>813.78380441750005</v>
      </c>
      <c r="AR116" s="34">
        <f t="shared" si="21"/>
        <v>90.019999999999982</v>
      </c>
      <c r="AS116" s="34">
        <f t="shared" si="22"/>
        <v>108.22</v>
      </c>
      <c r="AT116" t="str">
        <f t="shared" si="23"/>
        <v>OK</v>
      </c>
    </row>
    <row r="117" spans="1:46" x14ac:dyDescent="0.25">
      <c r="A117" t="s">
        <v>112</v>
      </c>
      <c r="B117" t="s">
        <v>179</v>
      </c>
      <c r="C117" s="34">
        <v>3158</v>
      </c>
      <c r="D117" s="34">
        <v>263.16666666666669</v>
      </c>
      <c r="E117" s="34">
        <v>2084.4110000000001</v>
      </c>
      <c r="F117" s="34">
        <f t="shared" si="12"/>
        <v>2347.5776666666666</v>
      </c>
      <c r="G117" s="34">
        <v>0</v>
      </c>
      <c r="H117" s="34">
        <v>2084.4110000000001</v>
      </c>
      <c r="I117" s="34">
        <v>2531.2093449999998</v>
      </c>
      <c r="J117" s="34">
        <f t="shared" si="13"/>
        <v>446.7983449999997</v>
      </c>
      <c r="K117" s="34">
        <v>2251.2093449999998</v>
      </c>
      <c r="L117" s="34">
        <v>2514.3760116666663</v>
      </c>
      <c r="M117" s="34">
        <f t="shared" si="14"/>
        <v>263.16666666666652</v>
      </c>
      <c r="N117" s="34">
        <v>0</v>
      </c>
      <c r="O117" s="34">
        <v>0</v>
      </c>
      <c r="P117" s="34">
        <f t="shared" si="15"/>
        <v>0</v>
      </c>
      <c r="Q117" s="34">
        <v>0</v>
      </c>
      <c r="R117" s="34">
        <v>0</v>
      </c>
      <c r="S117" s="34">
        <f t="shared" si="16"/>
        <v>0</v>
      </c>
      <c r="T117" s="34">
        <v>0</v>
      </c>
      <c r="U117" s="34">
        <v>0</v>
      </c>
      <c r="V117" s="34">
        <f t="shared" si="17"/>
        <v>0</v>
      </c>
      <c r="W117" s="34">
        <v>13.16</v>
      </c>
      <c r="X117" s="34">
        <v>4.34</v>
      </c>
      <c r="Y117" s="34">
        <v>0.28000000000000003</v>
      </c>
      <c r="Z117" s="34">
        <v>0.42</v>
      </c>
      <c r="AA117" s="34">
        <v>0</v>
      </c>
      <c r="AB117" s="34">
        <v>0</v>
      </c>
      <c r="AC117" s="34">
        <v>0</v>
      </c>
      <c r="AD117" s="34">
        <v>146.328607425</v>
      </c>
      <c r="AE117" s="34">
        <f t="shared" si="18"/>
        <v>164.52860742500002</v>
      </c>
      <c r="AF117" s="34">
        <f t="shared" si="19"/>
        <v>18.200000000000017</v>
      </c>
      <c r="AG117" s="34">
        <v>66.08</v>
      </c>
      <c r="AH117" s="34">
        <v>15.4</v>
      </c>
      <c r="AI117" s="34">
        <v>0.56000000000000005</v>
      </c>
      <c r="AJ117" s="34">
        <v>1.68</v>
      </c>
      <c r="AK117" s="34">
        <v>2.1</v>
      </c>
      <c r="AL117" s="34">
        <v>4.2</v>
      </c>
      <c r="AM117" s="34">
        <v>0</v>
      </c>
      <c r="AN117" s="34">
        <v>0</v>
      </c>
      <c r="AO117" s="34">
        <v>0</v>
      </c>
      <c r="AP117" s="34">
        <v>723.76380441750007</v>
      </c>
      <c r="AQ117" s="34">
        <f t="shared" si="20"/>
        <v>813.78380441750005</v>
      </c>
      <c r="AR117" s="34">
        <f t="shared" si="21"/>
        <v>90.019999999999982</v>
      </c>
      <c r="AS117" s="34">
        <f t="shared" si="22"/>
        <v>108.22</v>
      </c>
      <c r="AT117" t="str">
        <f t="shared" si="23"/>
        <v>OK</v>
      </c>
    </row>
    <row r="118" spans="1:46" x14ac:dyDescent="0.25">
      <c r="A118" t="s">
        <v>112</v>
      </c>
      <c r="B118" t="s">
        <v>180</v>
      </c>
      <c r="C118" s="34">
        <v>3158</v>
      </c>
      <c r="D118" s="34">
        <v>263.16666666666669</v>
      </c>
      <c r="E118" s="34">
        <v>2084.4110000000001</v>
      </c>
      <c r="F118" s="34">
        <f t="shared" si="12"/>
        <v>2347.5776666666666</v>
      </c>
      <c r="G118" s="34">
        <v>0</v>
      </c>
      <c r="H118" s="34">
        <v>2084.4110000000001</v>
      </c>
      <c r="I118" s="34">
        <v>2531.2093449999998</v>
      </c>
      <c r="J118" s="34">
        <f t="shared" si="13"/>
        <v>446.7983449999997</v>
      </c>
      <c r="K118" s="34">
        <v>2251.2093449999998</v>
      </c>
      <c r="L118" s="34">
        <v>2514.3760116666663</v>
      </c>
      <c r="M118" s="34">
        <f t="shared" si="14"/>
        <v>263.16666666666652</v>
      </c>
      <c r="N118" s="34">
        <v>0</v>
      </c>
      <c r="O118" s="34">
        <v>0</v>
      </c>
      <c r="P118" s="34">
        <f t="shared" si="15"/>
        <v>0</v>
      </c>
      <c r="Q118" s="34">
        <v>0</v>
      </c>
      <c r="R118" s="34">
        <v>0</v>
      </c>
      <c r="S118" s="34">
        <f t="shared" si="16"/>
        <v>0</v>
      </c>
      <c r="T118" s="34">
        <v>0</v>
      </c>
      <c r="U118" s="34">
        <v>0</v>
      </c>
      <c r="V118" s="34">
        <f t="shared" si="17"/>
        <v>0</v>
      </c>
      <c r="W118" s="34">
        <v>13.16</v>
      </c>
      <c r="X118" s="34">
        <v>4.34</v>
      </c>
      <c r="Y118" s="34">
        <v>0.28000000000000003</v>
      </c>
      <c r="Z118" s="34">
        <v>0.42</v>
      </c>
      <c r="AA118" s="34">
        <v>0</v>
      </c>
      <c r="AB118" s="34">
        <v>0</v>
      </c>
      <c r="AC118" s="34">
        <v>0</v>
      </c>
      <c r="AD118" s="34">
        <v>146.328607425</v>
      </c>
      <c r="AE118" s="34">
        <f t="shared" si="18"/>
        <v>164.52860742500002</v>
      </c>
      <c r="AF118" s="34">
        <f t="shared" si="19"/>
        <v>18.200000000000017</v>
      </c>
      <c r="AG118" s="34">
        <v>66.08</v>
      </c>
      <c r="AH118" s="34">
        <v>15.4</v>
      </c>
      <c r="AI118" s="34">
        <v>0.56000000000000005</v>
      </c>
      <c r="AJ118" s="34">
        <v>1.68</v>
      </c>
      <c r="AK118" s="34">
        <v>2.1</v>
      </c>
      <c r="AL118" s="34">
        <v>4.2</v>
      </c>
      <c r="AM118" s="34">
        <v>0</v>
      </c>
      <c r="AN118" s="34">
        <v>0</v>
      </c>
      <c r="AO118" s="34">
        <v>0</v>
      </c>
      <c r="AP118" s="34">
        <v>723.76380441750007</v>
      </c>
      <c r="AQ118" s="34">
        <f t="shared" si="20"/>
        <v>813.78380441750005</v>
      </c>
      <c r="AR118" s="34">
        <f t="shared" si="21"/>
        <v>90.019999999999982</v>
      </c>
      <c r="AS118" s="34">
        <f t="shared" si="22"/>
        <v>108.22</v>
      </c>
      <c r="AT118" t="str">
        <f t="shared" si="23"/>
        <v>OK</v>
      </c>
    </row>
    <row r="119" spans="1:46" x14ac:dyDescent="0.25">
      <c r="A119" t="s">
        <v>112</v>
      </c>
      <c r="B119" t="s">
        <v>183</v>
      </c>
      <c r="C119" s="34">
        <v>3158</v>
      </c>
      <c r="D119" s="34">
        <v>263.16666666666669</v>
      </c>
      <c r="E119" s="34">
        <v>2084.4110000000001</v>
      </c>
      <c r="F119" s="34">
        <f t="shared" si="12"/>
        <v>2347.5776666666666</v>
      </c>
      <c r="G119" s="34">
        <v>0</v>
      </c>
      <c r="H119" s="34">
        <v>2084.4110000000001</v>
      </c>
      <c r="I119" s="34">
        <v>2531.2093449999998</v>
      </c>
      <c r="J119" s="34">
        <f t="shared" si="13"/>
        <v>446.7983449999997</v>
      </c>
      <c r="K119" s="34">
        <v>2251.2093449999998</v>
      </c>
      <c r="L119" s="34">
        <v>2514.3760116666663</v>
      </c>
      <c r="M119" s="34">
        <f t="shared" si="14"/>
        <v>263.16666666666652</v>
      </c>
      <c r="N119" s="34">
        <v>0</v>
      </c>
      <c r="O119" s="34">
        <v>0</v>
      </c>
      <c r="P119" s="34">
        <f t="shared" si="15"/>
        <v>0</v>
      </c>
      <c r="Q119" s="34">
        <v>0</v>
      </c>
      <c r="R119" s="34">
        <v>0</v>
      </c>
      <c r="S119" s="34">
        <f t="shared" si="16"/>
        <v>0</v>
      </c>
      <c r="T119" s="34">
        <v>0</v>
      </c>
      <c r="U119" s="34">
        <v>0</v>
      </c>
      <c r="V119" s="34">
        <f t="shared" si="17"/>
        <v>0</v>
      </c>
      <c r="W119" s="34">
        <v>13.16</v>
      </c>
      <c r="X119" s="34">
        <v>4.34</v>
      </c>
      <c r="Y119" s="34">
        <v>0.28000000000000003</v>
      </c>
      <c r="Z119" s="34">
        <v>0.42</v>
      </c>
      <c r="AA119" s="34">
        <v>0</v>
      </c>
      <c r="AB119" s="34">
        <v>0</v>
      </c>
      <c r="AC119" s="34">
        <v>0</v>
      </c>
      <c r="AD119" s="34">
        <v>146.328607425</v>
      </c>
      <c r="AE119" s="34">
        <f t="shared" si="18"/>
        <v>164.52860742500002</v>
      </c>
      <c r="AF119" s="34">
        <f t="shared" si="19"/>
        <v>18.200000000000017</v>
      </c>
      <c r="AG119" s="34">
        <v>66.08</v>
      </c>
      <c r="AH119" s="34">
        <v>15.4</v>
      </c>
      <c r="AI119" s="34">
        <v>0.56000000000000005</v>
      </c>
      <c r="AJ119" s="34">
        <v>1.68</v>
      </c>
      <c r="AK119" s="34">
        <v>2.1</v>
      </c>
      <c r="AL119" s="34">
        <v>4.2</v>
      </c>
      <c r="AM119" s="34">
        <v>0</v>
      </c>
      <c r="AN119" s="34">
        <v>0</v>
      </c>
      <c r="AO119" s="34">
        <v>0</v>
      </c>
      <c r="AP119" s="34">
        <v>723.76380441750007</v>
      </c>
      <c r="AQ119" s="34">
        <f t="shared" si="20"/>
        <v>813.78380441750005</v>
      </c>
      <c r="AR119" s="34">
        <f t="shared" si="21"/>
        <v>90.019999999999982</v>
      </c>
      <c r="AS119" s="34">
        <f t="shared" si="22"/>
        <v>108.22</v>
      </c>
      <c r="AT119" t="str">
        <f t="shared" si="23"/>
        <v>OK</v>
      </c>
    </row>
    <row r="120" spans="1:46" x14ac:dyDescent="0.25">
      <c r="A120" t="s">
        <v>112</v>
      </c>
      <c r="B120" t="s">
        <v>184</v>
      </c>
      <c r="C120" s="34">
        <v>3158</v>
      </c>
      <c r="D120" s="34">
        <v>263.16666666666669</v>
      </c>
      <c r="E120" s="34">
        <v>2183.6686666666665</v>
      </c>
      <c r="F120" s="34">
        <f t="shared" si="12"/>
        <v>2446.835333333333</v>
      </c>
      <c r="G120" s="34">
        <v>0</v>
      </c>
      <c r="H120" s="34">
        <v>2183.6686666666665</v>
      </c>
      <c r="I120" s="34">
        <v>2531.2093449999998</v>
      </c>
      <c r="J120" s="34">
        <f t="shared" si="13"/>
        <v>347.54067833333329</v>
      </c>
      <c r="K120" s="34">
        <v>2251.2093449999998</v>
      </c>
      <c r="L120" s="34">
        <v>2514.3760116666663</v>
      </c>
      <c r="M120" s="34">
        <f t="shared" si="14"/>
        <v>263.16666666666652</v>
      </c>
      <c r="N120" s="34">
        <v>0</v>
      </c>
      <c r="O120" s="34">
        <v>0</v>
      </c>
      <c r="P120" s="34">
        <f t="shared" si="15"/>
        <v>0</v>
      </c>
      <c r="Q120" s="34">
        <v>0</v>
      </c>
      <c r="R120" s="34">
        <v>0</v>
      </c>
      <c r="S120" s="34">
        <f t="shared" si="16"/>
        <v>0</v>
      </c>
      <c r="T120" s="34">
        <v>0</v>
      </c>
      <c r="U120" s="34">
        <v>0</v>
      </c>
      <c r="V120" s="34">
        <f t="shared" si="17"/>
        <v>0</v>
      </c>
      <c r="W120" s="34">
        <v>13.16</v>
      </c>
      <c r="X120" s="34">
        <v>4.34</v>
      </c>
      <c r="Y120" s="34">
        <v>0.28000000000000003</v>
      </c>
      <c r="Z120" s="34">
        <v>0.42</v>
      </c>
      <c r="AA120" s="34">
        <v>0</v>
      </c>
      <c r="AB120" s="34">
        <v>0</v>
      </c>
      <c r="AC120" s="34">
        <v>0</v>
      </c>
      <c r="AD120" s="34">
        <v>146.328607425</v>
      </c>
      <c r="AE120" s="34">
        <f t="shared" si="18"/>
        <v>164.52860742500002</v>
      </c>
      <c r="AF120" s="34">
        <f t="shared" si="19"/>
        <v>18.200000000000017</v>
      </c>
      <c r="AG120" s="34">
        <v>66.08</v>
      </c>
      <c r="AH120" s="34">
        <v>15.4</v>
      </c>
      <c r="AI120" s="34">
        <v>0.56000000000000005</v>
      </c>
      <c r="AJ120" s="34">
        <v>1.68</v>
      </c>
      <c r="AK120" s="34">
        <v>2.1</v>
      </c>
      <c r="AL120" s="34">
        <v>4.2</v>
      </c>
      <c r="AM120" s="34">
        <v>0</v>
      </c>
      <c r="AN120" s="34">
        <v>0</v>
      </c>
      <c r="AO120" s="34">
        <v>0</v>
      </c>
      <c r="AP120" s="34">
        <v>723.76380441750007</v>
      </c>
      <c r="AQ120" s="34">
        <f t="shared" si="20"/>
        <v>813.78380441750005</v>
      </c>
      <c r="AR120" s="34">
        <f t="shared" si="21"/>
        <v>90.019999999999982</v>
      </c>
      <c r="AS120" s="34">
        <f t="shared" si="22"/>
        <v>108.22</v>
      </c>
      <c r="AT120" t="str">
        <f t="shared" si="23"/>
        <v>OK</v>
      </c>
    </row>
    <row r="121" spans="1:46" x14ac:dyDescent="0.25">
      <c r="A121" t="s">
        <v>112</v>
      </c>
      <c r="B121" t="s">
        <v>185</v>
      </c>
      <c r="C121" s="34">
        <v>3158</v>
      </c>
      <c r="D121" s="34">
        <v>263.16666666666669</v>
      </c>
      <c r="E121" s="34">
        <v>2183.6686666666665</v>
      </c>
      <c r="F121" s="34">
        <f t="shared" si="12"/>
        <v>2446.835333333333</v>
      </c>
      <c r="G121" s="34">
        <v>0</v>
      </c>
      <c r="H121" s="34">
        <v>2183.6686666666665</v>
      </c>
      <c r="I121" s="34">
        <v>2531.2093449999998</v>
      </c>
      <c r="J121" s="34">
        <f t="shared" si="13"/>
        <v>347.54067833333329</v>
      </c>
      <c r="K121" s="34">
        <v>2251.2093449999998</v>
      </c>
      <c r="L121" s="34">
        <v>2514.3760116666663</v>
      </c>
      <c r="M121" s="34">
        <f t="shared" si="14"/>
        <v>263.16666666666652</v>
      </c>
      <c r="N121" s="34">
        <v>0</v>
      </c>
      <c r="O121" s="34">
        <v>0</v>
      </c>
      <c r="P121" s="34">
        <f t="shared" si="15"/>
        <v>0</v>
      </c>
      <c r="Q121" s="34">
        <v>0</v>
      </c>
      <c r="R121" s="34">
        <v>0</v>
      </c>
      <c r="S121" s="34">
        <f t="shared" si="16"/>
        <v>0</v>
      </c>
      <c r="T121" s="34">
        <v>0</v>
      </c>
      <c r="U121" s="34">
        <v>0</v>
      </c>
      <c r="V121" s="34">
        <f t="shared" si="17"/>
        <v>0</v>
      </c>
      <c r="W121" s="34">
        <v>13.16</v>
      </c>
      <c r="X121" s="34">
        <v>4.34</v>
      </c>
      <c r="Y121" s="34">
        <v>0.28000000000000003</v>
      </c>
      <c r="Z121" s="34">
        <v>0.42</v>
      </c>
      <c r="AA121" s="34">
        <v>0</v>
      </c>
      <c r="AB121" s="34">
        <v>0</v>
      </c>
      <c r="AC121" s="34">
        <v>0</v>
      </c>
      <c r="AD121" s="34">
        <v>146.328607425</v>
      </c>
      <c r="AE121" s="34">
        <f t="shared" si="18"/>
        <v>164.52860742500002</v>
      </c>
      <c r="AF121" s="34">
        <f t="shared" si="19"/>
        <v>18.200000000000017</v>
      </c>
      <c r="AG121" s="34">
        <v>66.08</v>
      </c>
      <c r="AH121" s="34">
        <v>15.4</v>
      </c>
      <c r="AI121" s="34">
        <v>0.56000000000000005</v>
      </c>
      <c r="AJ121" s="34">
        <v>1.68</v>
      </c>
      <c r="AK121" s="34">
        <v>2.1</v>
      </c>
      <c r="AL121" s="34">
        <v>4.2</v>
      </c>
      <c r="AM121" s="34">
        <v>0</v>
      </c>
      <c r="AN121" s="34">
        <v>0</v>
      </c>
      <c r="AO121" s="34">
        <v>0</v>
      </c>
      <c r="AP121" s="34">
        <v>723.76380441750007</v>
      </c>
      <c r="AQ121" s="34">
        <f t="shared" si="20"/>
        <v>813.78380441750005</v>
      </c>
      <c r="AR121" s="34">
        <f t="shared" si="21"/>
        <v>90.019999999999982</v>
      </c>
      <c r="AS121" s="34">
        <f t="shared" si="22"/>
        <v>108.22</v>
      </c>
      <c r="AT121" t="str">
        <f t="shared" si="23"/>
        <v>OK</v>
      </c>
    </row>
    <row r="122" spans="1:46" x14ac:dyDescent="0.25">
      <c r="A122" t="s">
        <v>112</v>
      </c>
      <c r="B122" t="s">
        <v>186</v>
      </c>
      <c r="C122" s="34">
        <v>3158</v>
      </c>
      <c r="D122" s="34">
        <v>263.16666666666669</v>
      </c>
      <c r="E122" s="34">
        <v>2183.6686666666665</v>
      </c>
      <c r="F122" s="34">
        <f t="shared" si="12"/>
        <v>2446.835333333333</v>
      </c>
      <c r="G122" s="34">
        <v>0</v>
      </c>
      <c r="H122" s="34">
        <v>2183.6686666666665</v>
      </c>
      <c r="I122" s="34">
        <v>2531.2093449999998</v>
      </c>
      <c r="J122" s="34">
        <f t="shared" si="13"/>
        <v>347.54067833333329</v>
      </c>
      <c r="K122" s="34">
        <v>2251.2093449999998</v>
      </c>
      <c r="L122" s="34">
        <v>2514.3760116666663</v>
      </c>
      <c r="M122" s="34">
        <f t="shared" si="14"/>
        <v>263.16666666666652</v>
      </c>
      <c r="N122" s="34">
        <v>0</v>
      </c>
      <c r="O122" s="34">
        <v>0</v>
      </c>
      <c r="P122" s="34">
        <f t="shared" si="15"/>
        <v>0</v>
      </c>
      <c r="Q122" s="34">
        <v>0</v>
      </c>
      <c r="R122" s="34">
        <v>0</v>
      </c>
      <c r="S122" s="34">
        <f t="shared" si="16"/>
        <v>0</v>
      </c>
      <c r="T122" s="34">
        <v>0</v>
      </c>
      <c r="U122" s="34">
        <v>0</v>
      </c>
      <c r="V122" s="34">
        <f t="shared" si="17"/>
        <v>0</v>
      </c>
      <c r="W122" s="34">
        <v>13.16</v>
      </c>
      <c r="X122" s="34">
        <v>4.34</v>
      </c>
      <c r="Y122" s="34">
        <v>0.28000000000000003</v>
      </c>
      <c r="Z122" s="34">
        <v>0.42</v>
      </c>
      <c r="AA122" s="34">
        <v>0</v>
      </c>
      <c r="AB122" s="34">
        <v>0</v>
      </c>
      <c r="AC122" s="34">
        <v>0</v>
      </c>
      <c r="AD122" s="34">
        <v>146.328607425</v>
      </c>
      <c r="AE122" s="34">
        <f t="shared" si="18"/>
        <v>164.52860742500002</v>
      </c>
      <c r="AF122" s="34">
        <f t="shared" si="19"/>
        <v>18.200000000000017</v>
      </c>
      <c r="AG122" s="34">
        <v>66.08</v>
      </c>
      <c r="AH122" s="34">
        <v>15.4</v>
      </c>
      <c r="AI122" s="34">
        <v>0.56000000000000005</v>
      </c>
      <c r="AJ122" s="34">
        <v>1.68</v>
      </c>
      <c r="AK122" s="34">
        <v>2.1</v>
      </c>
      <c r="AL122" s="34">
        <v>4.2</v>
      </c>
      <c r="AM122" s="34">
        <v>0</v>
      </c>
      <c r="AN122" s="34">
        <v>0</v>
      </c>
      <c r="AO122" s="34">
        <v>0</v>
      </c>
      <c r="AP122" s="34">
        <v>723.76380441750007</v>
      </c>
      <c r="AQ122" s="34">
        <f t="shared" si="20"/>
        <v>813.78380441750005</v>
      </c>
      <c r="AR122" s="34">
        <f t="shared" si="21"/>
        <v>90.019999999999982</v>
      </c>
      <c r="AS122" s="34">
        <f t="shared" si="22"/>
        <v>108.22</v>
      </c>
      <c r="AT122" t="str">
        <f t="shared" si="23"/>
        <v>OK</v>
      </c>
    </row>
    <row r="123" spans="1:46" x14ac:dyDescent="0.25">
      <c r="A123" t="s">
        <v>112</v>
      </c>
      <c r="B123" t="s">
        <v>187</v>
      </c>
      <c r="C123" s="34">
        <v>3158</v>
      </c>
      <c r="D123" s="34">
        <v>263.16666666666669</v>
      </c>
      <c r="E123" s="34">
        <v>2183.6686666666665</v>
      </c>
      <c r="F123" s="34">
        <f t="shared" si="12"/>
        <v>2446.835333333333</v>
      </c>
      <c r="G123" s="34">
        <v>0</v>
      </c>
      <c r="H123" s="34">
        <v>2183.6686666666665</v>
      </c>
      <c r="I123" s="34">
        <v>2531.2093449999998</v>
      </c>
      <c r="J123" s="34">
        <f t="shared" si="13"/>
        <v>347.54067833333329</v>
      </c>
      <c r="K123" s="34">
        <v>2251.2093449999998</v>
      </c>
      <c r="L123" s="34">
        <v>2514.3760116666663</v>
      </c>
      <c r="M123" s="34">
        <f t="shared" si="14"/>
        <v>263.16666666666652</v>
      </c>
      <c r="N123" s="34">
        <v>0</v>
      </c>
      <c r="O123" s="34">
        <v>0</v>
      </c>
      <c r="P123" s="34">
        <f t="shared" si="15"/>
        <v>0</v>
      </c>
      <c r="Q123" s="34">
        <v>0</v>
      </c>
      <c r="R123" s="34">
        <v>0</v>
      </c>
      <c r="S123" s="34">
        <f t="shared" si="16"/>
        <v>0</v>
      </c>
      <c r="T123" s="34">
        <v>0</v>
      </c>
      <c r="U123" s="34">
        <v>0</v>
      </c>
      <c r="V123" s="34">
        <f t="shared" si="17"/>
        <v>0</v>
      </c>
      <c r="W123" s="34">
        <v>13.16</v>
      </c>
      <c r="X123" s="34">
        <v>4.34</v>
      </c>
      <c r="Y123" s="34">
        <v>0.28000000000000003</v>
      </c>
      <c r="Z123" s="34">
        <v>0.42</v>
      </c>
      <c r="AA123" s="34">
        <v>0</v>
      </c>
      <c r="AB123" s="34">
        <v>0</v>
      </c>
      <c r="AC123" s="34">
        <v>0</v>
      </c>
      <c r="AD123" s="34">
        <v>146.328607425</v>
      </c>
      <c r="AE123" s="34">
        <f t="shared" si="18"/>
        <v>164.52860742500002</v>
      </c>
      <c r="AF123" s="34">
        <f t="shared" si="19"/>
        <v>18.200000000000017</v>
      </c>
      <c r="AG123" s="34">
        <v>66.08</v>
      </c>
      <c r="AH123" s="34">
        <v>15.4</v>
      </c>
      <c r="AI123" s="34">
        <v>0.56000000000000005</v>
      </c>
      <c r="AJ123" s="34">
        <v>1.68</v>
      </c>
      <c r="AK123" s="34">
        <v>2.1</v>
      </c>
      <c r="AL123" s="34">
        <v>4.2</v>
      </c>
      <c r="AM123" s="34">
        <v>0</v>
      </c>
      <c r="AN123" s="34">
        <v>0</v>
      </c>
      <c r="AO123" s="34">
        <v>0</v>
      </c>
      <c r="AP123" s="34">
        <v>723.76380441750007</v>
      </c>
      <c r="AQ123" s="34">
        <f t="shared" si="20"/>
        <v>813.78380441750005</v>
      </c>
      <c r="AR123" s="34">
        <f t="shared" si="21"/>
        <v>90.019999999999982</v>
      </c>
      <c r="AS123" s="34">
        <f t="shared" si="22"/>
        <v>108.22</v>
      </c>
      <c r="AT123" t="str">
        <f t="shared" si="23"/>
        <v>OK</v>
      </c>
    </row>
    <row r="124" spans="1:46" x14ac:dyDescent="0.25">
      <c r="A124" t="s">
        <v>112</v>
      </c>
      <c r="B124" t="s">
        <v>189</v>
      </c>
      <c r="C124" s="34">
        <v>3158</v>
      </c>
      <c r="D124" s="34">
        <v>263.16666666666669</v>
      </c>
      <c r="E124" s="34">
        <v>2183.6686666666665</v>
      </c>
      <c r="F124" s="34">
        <f t="shared" si="12"/>
        <v>2446.835333333333</v>
      </c>
      <c r="G124" s="34">
        <v>0</v>
      </c>
      <c r="H124" s="34">
        <v>2183.6686666666665</v>
      </c>
      <c r="I124" s="34">
        <v>2531.2093449999998</v>
      </c>
      <c r="J124" s="34">
        <f t="shared" si="13"/>
        <v>347.54067833333329</v>
      </c>
      <c r="K124" s="34">
        <v>2251.2093449999998</v>
      </c>
      <c r="L124" s="34">
        <v>2514.3760116666663</v>
      </c>
      <c r="M124" s="34">
        <f t="shared" si="14"/>
        <v>263.16666666666652</v>
      </c>
      <c r="N124" s="34">
        <v>0</v>
      </c>
      <c r="O124" s="34">
        <v>0</v>
      </c>
      <c r="P124" s="34">
        <f t="shared" si="15"/>
        <v>0</v>
      </c>
      <c r="Q124" s="34">
        <v>0</v>
      </c>
      <c r="R124" s="34">
        <v>0</v>
      </c>
      <c r="S124" s="34">
        <f t="shared" si="16"/>
        <v>0</v>
      </c>
      <c r="T124" s="34">
        <v>0</v>
      </c>
      <c r="U124" s="34">
        <v>0</v>
      </c>
      <c r="V124" s="34">
        <f t="shared" si="17"/>
        <v>0</v>
      </c>
      <c r="W124" s="34">
        <v>13.16</v>
      </c>
      <c r="X124" s="34">
        <v>4.34</v>
      </c>
      <c r="Y124" s="34">
        <v>0.28000000000000003</v>
      </c>
      <c r="Z124" s="34">
        <v>0.42</v>
      </c>
      <c r="AA124" s="34">
        <v>0</v>
      </c>
      <c r="AB124" s="34">
        <v>0</v>
      </c>
      <c r="AC124" s="34">
        <v>0</v>
      </c>
      <c r="AD124" s="34">
        <v>146.328607425</v>
      </c>
      <c r="AE124" s="34">
        <f t="shared" si="18"/>
        <v>164.52860742500002</v>
      </c>
      <c r="AF124" s="34">
        <f t="shared" si="19"/>
        <v>18.200000000000017</v>
      </c>
      <c r="AG124" s="34">
        <v>66.08</v>
      </c>
      <c r="AH124" s="34">
        <v>15.4</v>
      </c>
      <c r="AI124" s="34">
        <v>0.56000000000000005</v>
      </c>
      <c r="AJ124" s="34">
        <v>1.68</v>
      </c>
      <c r="AK124" s="34">
        <v>2.1</v>
      </c>
      <c r="AL124" s="34">
        <v>4.2</v>
      </c>
      <c r="AM124" s="34">
        <v>0</v>
      </c>
      <c r="AN124" s="34">
        <v>0</v>
      </c>
      <c r="AO124" s="34">
        <v>0</v>
      </c>
      <c r="AP124" s="34">
        <v>723.76380441750007</v>
      </c>
      <c r="AQ124" s="34">
        <f t="shared" si="20"/>
        <v>813.78380441750005</v>
      </c>
      <c r="AR124" s="34">
        <f t="shared" si="21"/>
        <v>90.019999999999982</v>
      </c>
      <c r="AS124" s="34">
        <f t="shared" si="22"/>
        <v>108.22</v>
      </c>
      <c r="AT124" t="str">
        <f t="shared" si="23"/>
        <v>OK</v>
      </c>
    </row>
    <row r="125" spans="1:46" x14ac:dyDescent="0.25">
      <c r="A125" t="s">
        <v>114</v>
      </c>
      <c r="B125" t="s">
        <v>173</v>
      </c>
      <c r="C125" s="34">
        <v>82400</v>
      </c>
      <c r="D125" s="34">
        <v>6866.666666666667</v>
      </c>
      <c r="E125" s="34">
        <v>8939.4812500000007</v>
      </c>
      <c r="F125" s="34">
        <f t="shared" si="12"/>
        <v>15806.147916666669</v>
      </c>
      <c r="G125" s="34">
        <v>0</v>
      </c>
      <c r="H125" s="34">
        <v>5101.2</v>
      </c>
      <c r="I125" s="34">
        <v>5101.2</v>
      </c>
      <c r="J125" s="34">
        <f t="shared" si="13"/>
        <v>0</v>
      </c>
      <c r="K125" s="34">
        <v>5101.2</v>
      </c>
      <c r="L125" s="34">
        <v>5101.2</v>
      </c>
      <c r="M125" s="34">
        <f t="shared" si="14"/>
        <v>0</v>
      </c>
      <c r="N125" s="34">
        <v>510.11999999999989</v>
      </c>
      <c r="O125" s="34">
        <v>510.11999999999989</v>
      </c>
      <c r="P125" s="34">
        <f t="shared" si="15"/>
        <v>0</v>
      </c>
      <c r="Q125" s="34">
        <v>2040.4800000000005</v>
      </c>
      <c r="R125" s="34">
        <v>2040.4800000000005</v>
      </c>
      <c r="S125" s="34">
        <f t="shared" si="16"/>
        <v>0</v>
      </c>
      <c r="T125" s="34">
        <v>1287.6812500000005</v>
      </c>
      <c r="U125" s="34">
        <v>7761.9179166666681</v>
      </c>
      <c r="V125" s="34">
        <f t="shared" si="17"/>
        <v>6474.2366666666676</v>
      </c>
      <c r="W125" s="34">
        <v>0</v>
      </c>
      <c r="X125" s="34">
        <v>0</v>
      </c>
      <c r="Y125" s="34">
        <v>0</v>
      </c>
      <c r="Z125" s="34">
        <v>0</v>
      </c>
      <c r="AA125" s="34">
        <v>0</v>
      </c>
      <c r="AB125" s="34">
        <v>0</v>
      </c>
      <c r="AC125" s="34">
        <v>16</v>
      </c>
      <c r="AD125" s="34">
        <v>339.46083899999996</v>
      </c>
      <c r="AE125" s="34">
        <f t="shared" si="18"/>
        <v>355.46083899999996</v>
      </c>
      <c r="AF125" s="34">
        <f t="shared" si="19"/>
        <v>16</v>
      </c>
      <c r="AG125" s="34">
        <v>0</v>
      </c>
      <c r="AH125" s="34">
        <v>0</v>
      </c>
      <c r="AI125" s="34">
        <v>0</v>
      </c>
      <c r="AJ125" s="34">
        <v>0</v>
      </c>
      <c r="AK125" s="34">
        <v>0</v>
      </c>
      <c r="AL125" s="34">
        <v>0</v>
      </c>
      <c r="AM125" s="34">
        <v>0</v>
      </c>
      <c r="AN125" s="34">
        <v>0</v>
      </c>
      <c r="AO125" s="34">
        <v>81.333333333333357</v>
      </c>
      <c r="AP125" s="34">
        <v>1679.5160092499998</v>
      </c>
      <c r="AQ125" s="34">
        <f t="shared" si="20"/>
        <v>1760.8493425833331</v>
      </c>
      <c r="AR125" s="34">
        <f t="shared" si="21"/>
        <v>81.333333333333258</v>
      </c>
      <c r="AS125" s="34">
        <f t="shared" si="22"/>
        <v>97.333333333333258</v>
      </c>
      <c r="AT125" t="str">
        <f t="shared" si="23"/>
        <v>OK</v>
      </c>
    </row>
    <row r="126" spans="1:46" x14ac:dyDescent="0.25">
      <c r="A126" t="s">
        <v>114</v>
      </c>
      <c r="B126" t="s">
        <v>176</v>
      </c>
      <c r="C126" s="34">
        <v>82400</v>
      </c>
      <c r="D126" s="34">
        <v>6866.666666666667</v>
      </c>
      <c r="E126" s="34">
        <v>8939.4812500000007</v>
      </c>
      <c r="F126" s="34">
        <f t="shared" si="12"/>
        <v>15806.147916666669</v>
      </c>
      <c r="G126" s="34">
        <v>0</v>
      </c>
      <c r="H126" s="34">
        <v>5101.2</v>
      </c>
      <c r="I126" s="34">
        <v>5101.2</v>
      </c>
      <c r="J126" s="34">
        <f t="shared" si="13"/>
        <v>0</v>
      </c>
      <c r="K126" s="34">
        <v>5101.2</v>
      </c>
      <c r="L126" s="34">
        <v>5101.2</v>
      </c>
      <c r="M126" s="34">
        <f t="shared" si="14"/>
        <v>0</v>
      </c>
      <c r="N126" s="34">
        <v>510.11999999999989</v>
      </c>
      <c r="O126" s="34">
        <v>510.11999999999989</v>
      </c>
      <c r="P126" s="34">
        <f t="shared" si="15"/>
        <v>0</v>
      </c>
      <c r="Q126" s="34">
        <v>2040.4800000000005</v>
      </c>
      <c r="R126" s="34">
        <v>2040.4800000000005</v>
      </c>
      <c r="S126" s="34">
        <f t="shared" si="16"/>
        <v>0</v>
      </c>
      <c r="T126" s="34">
        <v>1287.6812500000005</v>
      </c>
      <c r="U126" s="34">
        <v>7761.9179166666681</v>
      </c>
      <c r="V126" s="34">
        <f t="shared" si="17"/>
        <v>6474.2366666666676</v>
      </c>
      <c r="W126" s="34">
        <v>0</v>
      </c>
      <c r="X126" s="34">
        <v>0</v>
      </c>
      <c r="Y126" s="34">
        <v>0</v>
      </c>
      <c r="Z126" s="34">
        <v>0</v>
      </c>
      <c r="AA126" s="34">
        <v>0</v>
      </c>
      <c r="AB126" s="34">
        <v>0</v>
      </c>
      <c r="AC126" s="34">
        <v>16</v>
      </c>
      <c r="AD126" s="34">
        <v>339.46083899999996</v>
      </c>
      <c r="AE126" s="34">
        <f t="shared" si="18"/>
        <v>355.46083899999996</v>
      </c>
      <c r="AF126" s="34">
        <f t="shared" si="19"/>
        <v>16</v>
      </c>
      <c r="AG126" s="34">
        <v>0</v>
      </c>
      <c r="AH126" s="34">
        <v>0</v>
      </c>
      <c r="AI126" s="34">
        <v>0</v>
      </c>
      <c r="AJ126" s="34">
        <v>0</v>
      </c>
      <c r="AK126" s="34">
        <v>0</v>
      </c>
      <c r="AL126" s="34">
        <v>0</v>
      </c>
      <c r="AM126" s="34">
        <v>0</v>
      </c>
      <c r="AN126" s="34">
        <v>0</v>
      </c>
      <c r="AO126" s="34">
        <v>81.333333333333357</v>
      </c>
      <c r="AP126" s="34">
        <v>1679.5160092499998</v>
      </c>
      <c r="AQ126" s="34">
        <f t="shared" si="20"/>
        <v>1760.8493425833331</v>
      </c>
      <c r="AR126" s="34">
        <f t="shared" si="21"/>
        <v>81.333333333333258</v>
      </c>
      <c r="AS126" s="34">
        <f t="shared" si="22"/>
        <v>97.333333333333258</v>
      </c>
      <c r="AT126" t="str">
        <f t="shared" si="23"/>
        <v>OK</v>
      </c>
    </row>
    <row r="127" spans="1:46" x14ac:dyDescent="0.25">
      <c r="A127" t="s">
        <v>114</v>
      </c>
      <c r="B127" t="s">
        <v>177</v>
      </c>
      <c r="C127" s="34">
        <v>82400</v>
      </c>
      <c r="D127" s="34">
        <v>6866.666666666667</v>
      </c>
      <c r="E127" s="34">
        <v>8939.4812500000007</v>
      </c>
      <c r="F127" s="34">
        <f t="shared" si="12"/>
        <v>15806.147916666669</v>
      </c>
      <c r="G127" s="34">
        <v>0</v>
      </c>
      <c r="H127" s="34">
        <v>5101.2</v>
      </c>
      <c r="I127" s="34">
        <v>5101.2</v>
      </c>
      <c r="J127" s="34">
        <f t="shared" si="13"/>
        <v>0</v>
      </c>
      <c r="K127" s="34">
        <v>5101.2</v>
      </c>
      <c r="L127" s="34">
        <v>5101.2</v>
      </c>
      <c r="M127" s="34">
        <f t="shared" si="14"/>
        <v>0</v>
      </c>
      <c r="N127" s="34">
        <v>510.11999999999989</v>
      </c>
      <c r="O127" s="34">
        <v>510.11999999999989</v>
      </c>
      <c r="P127" s="34">
        <f t="shared" si="15"/>
        <v>0</v>
      </c>
      <c r="Q127" s="34">
        <v>2040.4800000000005</v>
      </c>
      <c r="R127" s="34">
        <v>2040.4800000000005</v>
      </c>
      <c r="S127" s="34">
        <f t="shared" si="16"/>
        <v>0</v>
      </c>
      <c r="T127" s="34">
        <v>1287.6812500000005</v>
      </c>
      <c r="U127" s="34">
        <v>7761.9179166666681</v>
      </c>
      <c r="V127" s="34">
        <f t="shared" si="17"/>
        <v>6474.2366666666676</v>
      </c>
      <c r="W127" s="34">
        <v>0</v>
      </c>
      <c r="X127" s="34">
        <v>0</v>
      </c>
      <c r="Y127" s="34">
        <v>0</v>
      </c>
      <c r="Z127" s="34">
        <v>0</v>
      </c>
      <c r="AA127" s="34">
        <v>0</v>
      </c>
      <c r="AB127" s="34">
        <v>0</v>
      </c>
      <c r="AC127" s="34">
        <v>16</v>
      </c>
      <c r="AD127" s="34">
        <v>339.46083899999996</v>
      </c>
      <c r="AE127" s="34">
        <f t="shared" si="18"/>
        <v>355.46083899999996</v>
      </c>
      <c r="AF127" s="34">
        <f t="shared" si="19"/>
        <v>16</v>
      </c>
      <c r="AG127" s="34">
        <v>0</v>
      </c>
      <c r="AH127" s="34">
        <v>0</v>
      </c>
      <c r="AI127" s="34">
        <v>0</v>
      </c>
      <c r="AJ127" s="34">
        <v>0</v>
      </c>
      <c r="AK127" s="34">
        <v>0</v>
      </c>
      <c r="AL127" s="34">
        <v>0</v>
      </c>
      <c r="AM127" s="34">
        <v>0</v>
      </c>
      <c r="AN127" s="34">
        <v>0</v>
      </c>
      <c r="AO127" s="34">
        <v>81.333333333333357</v>
      </c>
      <c r="AP127" s="34">
        <v>1679.5160092499998</v>
      </c>
      <c r="AQ127" s="34">
        <f t="shared" si="20"/>
        <v>1760.8493425833331</v>
      </c>
      <c r="AR127" s="34">
        <f t="shared" si="21"/>
        <v>81.333333333333258</v>
      </c>
      <c r="AS127" s="34">
        <f t="shared" si="22"/>
        <v>97.333333333333258</v>
      </c>
      <c r="AT127" t="str">
        <f t="shared" si="23"/>
        <v>OK</v>
      </c>
    </row>
    <row r="128" spans="1:46" x14ac:dyDescent="0.25">
      <c r="A128" t="s">
        <v>114</v>
      </c>
      <c r="B128" t="s">
        <v>178</v>
      </c>
      <c r="C128" s="34">
        <v>82400</v>
      </c>
      <c r="D128" s="34">
        <v>6866.666666666667</v>
      </c>
      <c r="E128" s="34">
        <v>8939.4812500000007</v>
      </c>
      <c r="F128" s="34">
        <f t="shared" si="12"/>
        <v>15806.147916666669</v>
      </c>
      <c r="G128" s="34">
        <v>0</v>
      </c>
      <c r="H128" s="34">
        <v>5101.2</v>
      </c>
      <c r="I128" s="34">
        <v>5101.2</v>
      </c>
      <c r="J128" s="34">
        <f t="shared" si="13"/>
        <v>0</v>
      </c>
      <c r="K128" s="34">
        <v>5101.2</v>
      </c>
      <c r="L128" s="34">
        <v>5101.2</v>
      </c>
      <c r="M128" s="34">
        <f t="shared" si="14"/>
        <v>0</v>
      </c>
      <c r="N128" s="34">
        <v>510.11999999999989</v>
      </c>
      <c r="O128" s="34">
        <v>510.11999999999989</v>
      </c>
      <c r="P128" s="34">
        <f t="shared" si="15"/>
        <v>0</v>
      </c>
      <c r="Q128" s="34">
        <v>2040.4800000000005</v>
      </c>
      <c r="R128" s="34">
        <v>2040.4800000000005</v>
      </c>
      <c r="S128" s="34">
        <f t="shared" si="16"/>
        <v>0</v>
      </c>
      <c r="T128" s="34">
        <v>1287.6812500000005</v>
      </c>
      <c r="U128" s="34">
        <v>7761.9179166666681</v>
      </c>
      <c r="V128" s="34">
        <f t="shared" si="17"/>
        <v>6474.2366666666676</v>
      </c>
      <c r="W128" s="34">
        <v>0</v>
      </c>
      <c r="X128" s="34">
        <v>0</v>
      </c>
      <c r="Y128" s="34">
        <v>0</v>
      </c>
      <c r="Z128" s="34">
        <v>0</v>
      </c>
      <c r="AA128" s="34">
        <v>0</v>
      </c>
      <c r="AB128" s="34">
        <v>0</v>
      </c>
      <c r="AC128" s="34">
        <v>16</v>
      </c>
      <c r="AD128" s="34">
        <v>339.46083899999996</v>
      </c>
      <c r="AE128" s="34">
        <f t="shared" si="18"/>
        <v>355.46083899999996</v>
      </c>
      <c r="AF128" s="34">
        <f t="shared" si="19"/>
        <v>16</v>
      </c>
      <c r="AG128" s="34">
        <v>0</v>
      </c>
      <c r="AH128" s="34">
        <v>0</v>
      </c>
      <c r="AI128" s="34">
        <v>0</v>
      </c>
      <c r="AJ128" s="34">
        <v>0</v>
      </c>
      <c r="AK128" s="34">
        <v>0</v>
      </c>
      <c r="AL128" s="34">
        <v>0</v>
      </c>
      <c r="AM128" s="34">
        <v>0</v>
      </c>
      <c r="AN128" s="34">
        <v>0</v>
      </c>
      <c r="AO128" s="34">
        <v>81.333333333333357</v>
      </c>
      <c r="AP128" s="34">
        <v>1679.5160092499998</v>
      </c>
      <c r="AQ128" s="34">
        <f t="shared" si="20"/>
        <v>1760.8493425833331</v>
      </c>
      <c r="AR128" s="34">
        <f t="shared" si="21"/>
        <v>81.333333333333258</v>
      </c>
      <c r="AS128" s="34">
        <f t="shared" si="22"/>
        <v>97.333333333333258</v>
      </c>
      <c r="AT128" t="str">
        <f t="shared" si="23"/>
        <v>OK</v>
      </c>
    </row>
    <row r="129" spans="1:46" x14ac:dyDescent="0.25">
      <c r="A129" t="s">
        <v>114</v>
      </c>
      <c r="B129" t="s">
        <v>179</v>
      </c>
      <c r="C129" s="34">
        <v>82400</v>
      </c>
      <c r="D129" s="34">
        <v>6866.666666666667</v>
      </c>
      <c r="E129" s="34">
        <v>8939.4812500000007</v>
      </c>
      <c r="F129" s="34">
        <f t="shared" si="12"/>
        <v>15806.147916666669</v>
      </c>
      <c r="G129" s="34">
        <v>0</v>
      </c>
      <c r="H129" s="34">
        <v>5101.2</v>
      </c>
      <c r="I129" s="34">
        <v>5101.2</v>
      </c>
      <c r="J129" s="34">
        <f t="shared" si="13"/>
        <v>0</v>
      </c>
      <c r="K129" s="34">
        <v>5101.2</v>
      </c>
      <c r="L129" s="34">
        <v>5101.2</v>
      </c>
      <c r="M129" s="34">
        <f t="shared" si="14"/>
        <v>0</v>
      </c>
      <c r="N129" s="34">
        <v>510.11999999999989</v>
      </c>
      <c r="O129" s="34">
        <v>510.11999999999989</v>
      </c>
      <c r="P129" s="34">
        <f t="shared" si="15"/>
        <v>0</v>
      </c>
      <c r="Q129" s="34">
        <v>2040.4800000000005</v>
      </c>
      <c r="R129" s="34">
        <v>2040.4800000000005</v>
      </c>
      <c r="S129" s="34">
        <f t="shared" si="16"/>
        <v>0</v>
      </c>
      <c r="T129" s="34">
        <v>1287.6812500000005</v>
      </c>
      <c r="U129" s="34">
        <v>7761.9179166666681</v>
      </c>
      <c r="V129" s="34">
        <f t="shared" si="17"/>
        <v>6474.2366666666676</v>
      </c>
      <c r="W129" s="34">
        <v>0</v>
      </c>
      <c r="X129" s="34">
        <v>0</v>
      </c>
      <c r="Y129" s="34">
        <v>0</v>
      </c>
      <c r="Z129" s="34">
        <v>0</v>
      </c>
      <c r="AA129" s="34">
        <v>0</v>
      </c>
      <c r="AB129" s="34">
        <v>0</v>
      </c>
      <c r="AC129" s="34">
        <v>16</v>
      </c>
      <c r="AD129" s="34">
        <v>339.46083899999996</v>
      </c>
      <c r="AE129" s="34">
        <f t="shared" si="18"/>
        <v>355.46083899999996</v>
      </c>
      <c r="AF129" s="34">
        <f t="shared" si="19"/>
        <v>16</v>
      </c>
      <c r="AG129" s="34">
        <v>0</v>
      </c>
      <c r="AH129" s="34">
        <v>0</v>
      </c>
      <c r="AI129" s="34">
        <v>0</v>
      </c>
      <c r="AJ129" s="34">
        <v>0</v>
      </c>
      <c r="AK129" s="34">
        <v>0</v>
      </c>
      <c r="AL129" s="34">
        <v>0</v>
      </c>
      <c r="AM129" s="34">
        <v>0</v>
      </c>
      <c r="AN129" s="34">
        <v>0</v>
      </c>
      <c r="AO129" s="34">
        <v>81.333333333333357</v>
      </c>
      <c r="AP129" s="34">
        <v>1679.5160092499998</v>
      </c>
      <c r="AQ129" s="34">
        <f t="shared" si="20"/>
        <v>1760.8493425833331</v>
      </c>
      <c r="AR129" s="34">
        <f t="shared" si="21"/>
        <v>81.333333333333258</v>
      </c>
      <c r="AS129" s="34">
        <f t="shared" si="22"/>
        <v>97.333333333333258</v>
      </c>
      <c r="AT129" t="str">
        <f t="shared" si="23"/>
        <v>OK</v>
      </c>
    </row>
    <row r="130" spans="1:46" x14ac:dyDescent="0.25">
      <c r="A130" t="s">
        <v>114</v>
      </c>
      <c r="B130" t="s">
        <v>180</v>
      </c>
      <c r="C130" s="34">
        <v>82400</v>
      </c>
      <c r="D130" s="34">
        <v>6866.666666666667</v>
      </c>
      <c r="E130" s="34">
        <v>8939.4812500000007</v>
      </c>
      <c r="F130" s="34">
        <f t="shared" si="12"/>
        <v>15806.147916666669</v>
      </c>
      <c r="G130" s="34">
        <v>0</v>
      </c>
      <c r="H130" s="34">
        <v>5101.2</v>
      </c>
      <c r="I130" s="34">
        <v>5101.2</v>
      </c>
      <c r="J130" s="34">
        <f t="shared" si="13"/>
        <v>0</v>
      </c>
      <c r="K130" s="34">
        <v>5101.2</v>
      </c>
      <c r="L130" s="34">
        <v>5101.2</v>
      </c>
      <c r="M130" s="34">
        <f t="shared" si="14"/>
        <v>0</v>
      </c>
      <c r="N130" s="34">
        <v>510.11999999999989</v>
      </c>
      <c r="O130" s="34">
        <v>510.11999999999989</v>
      </c>
      <c r="P130" s="34">
        <f t="shared" si="15"/>
        <v>0</v>
      </c>
      <c r="Q130" s="34">
        <v>2040.4800000000005</v>
      </c>
      <c r="R130" s="34">
        <v>2040.4800000000005</v>
      </c>
      <c r="S130" s="34">
        <f t="shared" si="16"/>
        <v>0</v>
      </c>
      <c r="T130" s="34">
        <v>1287.6812500000005</v>
      </c>
      <c r="U130" s="34">
        <v>7761.9179166666681</v>
      </c>
      <c r="V130" s="34">
        <f t="shared" si="17"/>
        <v>6474.2366666666676</v>
      </c>
      <c r="W130" s="34">
        <v>0</v>
      </c>
      <c r="X130" s="34">
        <v>0</v>
      </c>
      <c r="Y130" s="34">
        <v>0</v>
      </c>
      <c r="Z130" s="34">
        <v>0</v>
      </c>
      <c r="AA130" s="34">
        <v>0</v>
      </c>
      <c r="AB130" s="34">
        <v>0</v>
      </c>
      <c r="AC130" s="34">
        <v>16</v>
      </c>
      <c r="AD130" s="34">
        <v>339.46083899999996</v>
      </c>
      <c r="AE130" s="34">
        <f t="shared" si="18"/>
        <v>355.46083899999996</v>
      </c>
      <c r="AF130" s="34">
        <f t="shared" si="19"/>
        <v>16</v>
      </c>
      <c r="AG130" s="34">
        <v>0</v>
      </c>
      <c r="AH130" s="34">
        <v>0</v>
      </c>
      <c r="AI130" s="34">
        <v>0</v>
      </c>
      <c r="AJ130" s="34">
        <v>0</v>
      </c>
      <c r="AK130" s="34">
        <v>0</v>
      </c>
      <c r="AL130" s="34">
        <v>0</v>
      </c>
      <c r="AM130" s="34">
        <v>0</v>
      </c>
      <c r="AN130" s="34">
        <v>0</v>
      </c>
      <c r="AO130" s="34">
        <v>81.333333333333357</v>
      </c>
      <c r="AP130" s="34">
        <v>1679.5160092499998</v>
      </c>
      <c r="AQ130" s="34">
        <f t="shared" si="20"/>
        <v>1760.8493425833331</v>
      </c>
      <c r="AR130" s="34">
        <f t="shared" si="21"/>
        <v>81.333333333333258</v>
      </c>
      <c r="AS130" s="34">
        <f t="shared" si="22"/>
        <v>97.333333333333258</v>
      </c>
      <c r="AT130" t="str">
        <f t="shared" si="23"/>
        <v>OK</v>
      </c>
    </row>
    <row r="131" spans="1:46" x14ac:dyDescent="0.25">
      <c r="A131" t="s">
        <v>114</v>
      </c>
      <c r="B131" t="s">
        <v>183</v>
      </c>
      <c r="C131" s="34">
        <v>82400</v>
      </c>
      <c r="D131" s="34">
        <v>6866.666666666667</v>
      </c>
      <c r="E131" s="34">
        <v>8939.4812500000007</v>
      </c>
      <c r="F131" s="34">
        <f t="shared" si="12"/>
        <v>15806.147916666669</v>
      </c>
      <c r="G131" s="34">
        <v>0</v>
      </c>
      <c r="H131" s="34">
        <v>5101.2</v>
      </c>
      <c r="I131" s="34">
        <v>5101.2</v>
      </c>
      <c r="J131" s="34">
        <f t="shared" si="13"/>
        <v>0</v>
      </c>
      <c r="K131" s="34">
        <v>5101.2</v>
      </c>
      <c r="L131" s="34">
        <v>5101.2</v>
      </c>
      <c r="M131" s="34">
        <f t="shared" si="14"/>
        <v>0</v>
      </c>
      <c r="N131" s="34">
        <v>510.11999999999989</v>
      </c>
      <c r="O131" s="34">
        <v>510.11999999999989</v>
      </c>
      <c r="P131" s="34">
        <f t="shared" si="15"/>
        <v>0</v>
      </c>
      <c r="Q131" s="34">
        <v>2040.4800000000005</v>
      </c>
      <c r="R131" s="34">
        <v>2040.4800000000005</v>
      </c>
      <c r="S131" s="34">
        <f t="shared" si="16"/>
        <v>0</v>
      </c>
      <c r="T131" s="34">
        <v>1287.6812500000005</v>
      </c>
      <c r="U131" s="34">
        <v>7761.9179166666681</v>
      </c>
      <c r="V131" s="34">
        <f t="shared" si="17"/>
        <v>6474.2366666666676</v>
      </c>
      <c r="W131" s="34">
        <v>0</v>
      </c>
      <c r="X131" s="34">
        <v>0</v>
      </c>
      <c r="Y131" s="34">
        <v>0</v>
      </c>
      <c r="Z131" s="34">
        <v>0</v>
      </c>
      <c r="AA131" s="34">
        <v>0</v>
      </c>
      <c r="AB131" s="34">
        <v>0</v>
      </c>
      <c r="AC131" s="34">
        <v>16</v>
      </c>
      <c r="AD131" s="34">
        <v>339.46083899999996</v>
      </c>
      <c r="AE131" s="34">
        <f t="shared" si="18"/>
        <v>355.46083899999996</v>
      </c>
      <c r="AF131" s="34">
        <f t="shared" si="19"/>
        <v>16</v>
      </c>
      <c r="AG131" s="34">
        <v>0</v>
      </c>
      <c r="AH131" s="34">
        <v>0</v>
      </c>
      <c r="AI131" s="34">
        <v>0</v>
      </c>
      <c r="AJ131" s="34">
        <v>0</v>
      </c>
      <c r="AK131" s="34">
        <v>0</v>
      </c>
      <c r="AL131" s="34">
        <v>0</v>
      </c>
      <c r="AM131" s="34">
        <v>0</v>
      </c>
      <c r="AN131" s="34">
        <v>0</v>
      </c>
      <c r="AO131" s="34">
        <v>81.333333333333357</v>
      </c>
      <c r="AP131" s="34">
        <v>1679.5160092499998</v>
      </c>
      <c r="AQ131" s="34">
        <f t="shared" si="20"/>
        <v>1760.8493425833331</v>
      </c>
      <c r="AR131" s="34">
        <f t="shared" si="21"/>
        <v>81.333333333333258</v>
      </c>
      <c r="AS131" s="34">
        <f t="shared" si="22"/>
        <v>97.333333333333258</v>
      </c>
      <c r="AT131" t="str">
        <f t="shared" si="23"/>
        <v>OK</v>
      </c>
    </row>
    <row r="132" spans="1:46" x14ac:dyDescent="0.25">
      <c r="A132" t="s">
        <v>114</v>
      </c>
      <c r="B132" t="s">
        <v>184</v>
      </c>
      <c r="C132" s="34">
        <v>82400</v>
      </c>
      <c r="D132" s="34">
        <v>6866.666666666667</v>
      </c>
      <c r="E132" s="34">
        <v>8939.4812500000007</v>
      </c>
      <c r="F132" s="34">
        <f t="shared" si="12"/>
        <v>15806.147916666669</v>
      </c>
      <c r="G132" s="34">
        <v>0</v>
      </c>
      <c r="H132" s="34">
        <v>5101.2</v>
      </c>
      <c r="I132" s="34">
        <v>5101.2</v>
      </c>
      <c r="J132" s="34">
        <f t="shared" si="13"/>
        <v>0</v>
      </c>
      <c r="K132" s="34">
        <v>5101.2</v>
      </c>
      <c r="L132" s="34">
        <v>5101.2</v>
      </c>
      <c r="M132" s="34">
        <f t="shared" si="14"/>
        <v>0</v>
      </c>
      <c r="N132" s="34">
        <v>510.11999999999989</v>
      </c>
      <c r="O132" s="34">
        <v>510.11999999999989</v>
      </c>
      <c r="P132" s="34">
        <f t="shared" si="15"/>
        <v>0</v>
      </c>
      <c r="Q132" s="34">
        <v>2040.4800000000005</v>
      </c>
      <c r="R132" s="34">
        <v>2040.4800000000005</v>
      </c>
      <c r="S132" s="34">
        <f t="shared" si="16"/>
        <v>0</v>
      </c>
      <c r="T132" s="34">
        <v>1287.6812500000005</v>
      </c>
      <c r="U132" s="34">
        <v>7761.9179166666681</v>
      </c>
      <c r="V132" s="34">
        <f t="shared" si="17"/>
        <v>6474.2366666666676</v>
      </c>
      <c r="W132" s="34">
        <v>0</v>
      </c>
      <c r="X132" s="34">
        <v>0</v>
      </c>
      <c r="Y132" s="34">
        <v>0</v>
      </c>
      <c r="Z132" s="34">
        <v>0</v>
      </c>
      <c r="AA132" s="34">
        <v>0</v>
      </c>
      <c r="AB132" s="34">
        <v>0</v>
      </c>
      <c r="AC132" s="34">
        <v>16</v>
      </c>
      <c r="AD132" s="34">
        <v>339.46083899999996</v>
      </c>
      <c r="AE132" s="34">
        <f t="shared" si="18"/>
        <v>355.46083899999996</v>
      </c>
      <c r="AF132" s="34">
        <f t="shared" si="19"/>
        <v>16</v>
      </c>
      <c r="AG132" s="34">
        <v>0</v>
      </c>
      <c r="AH132" s="34">
        <v>0</v>
      </c>
      <c r="AI132" s="34">
        <v>0</v>
      </c>
      <c r="AJ132" s="34">
        <v>0</v>
      </c>
      <c r="AK132" s="34">
        <v>0</v>
      </c>
      <c r="AL132" s="34">
        <v>0</v>
      </c>
      <c r="AM132" s="34">
        <v>0</v>
      </c>
      <c r="AN132" s="34">
        <v>0</v>
      </c>
      <c r="AO132" s="34">
        <v>81.333333333333357</v>
      </c>
      <c r="AP132" s="34">
        <v>1679.5160092499998</v>
      </c>
      <c r="AQ132" s="34">
        <f t="shared" si="20"/>
        <v>1760.8493425833331</v>
      </c>
      <c r="AR132" s="34">
        <f t="shared" si="21"/>
        <v>81.333333333333258</v>
      </c>
      <c r="AS132" s="34">
        <f t="shared" si="22"/>
        <v>97.333333333333258</v>
      </c>
      <c r="AT132" t="str">
        <f t="shared" si="23"/>
        <v>OK</v>
      </c>
    </row>
    <row r="133" spans="1:46" x14ac:dyDescent="0.25">
      <c r="A133" t="s">
        <v>114</v>
      </c>
      <c r="B133" t="s">
        <v>185</v>
      </c>
      <c r="C133" s="34">
        <v>82400</v>
      </c>
      <c r="D133" s="34">
        <v>6866.666666666667</v>
      </c>
      <c r="E133" s="34">
        <v>8939.4812500000007</v>
      </c>
      <c r="F133" s="34">
        <f t="shared" ref="F133:F196" si="24">$E133+$D133</f>
        <v>15806.147916666669</v>
      </c>
      <c r="G133" s="34">
        <v>0</v>
      </c>
      <c r="H133" s="34">
        <v>5101.2</v>
      </c>
      <c r="I133" s="34">
        <v>5101.2</v>
      </c>
      <c r="J133" s="34">
        <f t="shared" ref="J133:J196" si="25">MAX(0,$I133-$H133)</f>
        <v>0</v>
      </c>
      <c r="K133" s="34">
        <v>5101.2</v>
      </c>
      <c r="L133" s="34">
        <v>5101.2</v>
      </c>
      <c r="M133" s="34">
        <f t="shared" ref="M133:M196" si="26">MAX(0,$L133-$K133)</f>
        <v>0</v>
      </c>
      <c r="N133" s="34">
        <v>510.11999999999989</v>
      </c>
      <c r="O133" s="34">
        <v>510.11999999999989</v>
      </c>
      <c r="P133" s="34">
        <f t="shared" ref="P133:P196" si="27">MAX(0,$O133-$N133)</f>
        <v>0</v>
      </c>
      <c r="Q133" s="34">
        <v>2040.4800000000005</v>
      </c>
      <c r="R133" s="34">
        <v>2040.4800000000005</v>
      </c>
      <c r="S133" s="34">
        <f t="shared" ref="S133:S196" si="28">MAX(0,$R133-$Q133)</f>
        <v>0</v>
      </c>
      <c r="T133" s="34">
        <v>1287.6812500000005</v>
      </c>
      <c r="U133" s="34">
        <v>8154.3479166666684</v>
      </c>
      <c r="V133" s="34">
        <f t="shared" ref="V133:V196" si="29">MAX(0,$U133-$T133)</f>
        <v>6866.6666666666679</v>
      </c>
      <c r="W133" s="34">
        <v>0</v>
      </c>
      <c r="X133" s="34">
        <v>0</v>
      </c>
      <c r="Y133" s="34">
        <v>0</v>
      </c>
      <c r="Z133" s="34">
        <v>0</v>
      </c>
      <c r="AA133" s="34">
        <v>0</v>
      </c>
      <c r="AB133" s="34">
        <v>0</v>
      </c>
      <c r="AC133" s="34">
        <v>16.48</v>
      </c>
      <c r="AD133" s="34">
        <v>339.46083899999996</v>
      </c>
      <c r="AE133" s="34">
        <f t="shared" ref="AE133:AE196" si="30">$AD133+SUM($W133:$AC133)</f>
        <v>355.94083899999998</v>
      </c>
      <c r="AF133" s="34">
        <f t="shared" ref="AF133:AF196" si="31">$AE133-$AD133</f>
        <v>16.480000000000018</v>
      </c>
      <c r="AG133" s="34">
        <v>0</v>
      </c>
      <c r="AH133" s="34">
        <v>0</v>
      </c>
      <c r="AI133" s="34">
        <v>0</v>
      </c>
      <c r="AJ133" s="34">
        <v>0</v>
      </c>
      <c r="AK133" s="34">
        <v>0</v>
      </c>
      <c r="AL133" s="34">
        <v>0</v>
      </c>
      <c r="AM133" s="34">
        <v>0</v>
      </c>
      <c r="AN133" s="34">
        <v>0</v>
      </c>
      <c r="AO133" s="34">
        <v>83.773333333333355</v>
      </c>
      <c r="AP133" s="34">
        <v>1679.5160092499998</v>
      </c>
      <c r="AQ133" s="34">
        <f t="shared" ref="AQ133:AQ196" si="32">$AP133+SUM($AG133:$AO133)</f>
        <v>1763.2893425833331</v>
      </c>
      <c r="AR133" s="34">
        <f t="shared" ref="AR133:AR196" si="33">$AQ133-$AP133</f>
        <v>83.773333333333312</v>
      </c>
      <c r="AS133" s="34">
        <f t="shared" ref="AS133:AS196" si="34">$AF133+$AR133</f>
        <v>100.25333333333333</v>
      </c>
      <c r="AT133" t="str">
        <f t="shared" ref="AT133:AT196" si="35">IF($C133=0,"SIN BONUS",IF(AND($J133&gt;=0,$M133&gt;=0,$P133&gt;=0,$S133&gt;=0,$V133&gt;=0),"OK","REVISAR"))</f>
        <v>OK</v>
      </c>
    </row>
    <row r="134" spans="1:46" x14ac:dyDescent="0.25">
      <c r="A134" t="s">
        <v>114</v>
      </c>
      <c r="B134" t="s">
        <v>186</v>
      </c>
      <c r="C134" s="34">
        <v>82400</v>
      </c>
      <c r="D134" s="34">
        <v>6866.666666666667</v>
      </c>
      <c r="E134" s="34">
        <v>8939.4812500000007</v>
      </c>
      <c r="F134" s="34">
        <f t="shared" si="24"/>
        <v>15806.147916666669</v>
      </c>
      <c r="G134" s="34">
        <v>0</v>
      </c>
      <c r="H134" s="34">
        <v>5101.2</v>
      </c>
      <c r="I134" s="34">
        <v>5101.2</v>
      </c>
      <c r="J134" s="34">
        <f t="shared" si="25"/>
        <v>0</v>
      </c>
      <c r="K134" s="34">
        <v>5101.2</v>
      </c>
      <c r="L134" s="34">
        <v>5101.2</v>
      </c>
      <c r="M134" s="34">
        <f t="shared" si="26"/>
        <v>0</v>
      </c>
      <c r="N134" s="34">
        <v>510.11999999999989</v>
      </c>
      <c r="O134" s="34">
        <v>510.11999999999989</v>
      </c>
      <c r="P134" s="34">
        <f t="shared" si="27"/>
        <v>0</v>
      </c>
      <c r="Q134" s="34">
        <v>2040.4800000000005</v>
      </c>
      <c r="R134" s="34">
        <v>2040.4800000000005</v>
      </c>
      <c r="S134" s="34">
        <f t="shared" si="28"/>
        <v>0</v>
      </c>
      <c r="T134" s="34">
        <v>1287.6812500000005</v>
      </c>
      <c r="U134" s="34">
        <v>7761.9179166666681</v>
      </c>
      <c r="V134" s="34">
        <f t="shared" si="29"/>
        <v>6474.2366666666676</v>
      </c>
      <c r="W134" s="34">
        <v>0</v>
      </c>
      <c r="X134" s="34">
        <v>0</v>
      </c>
      <c r="Y134" s="34">
        <v>0</v>
      </c>
      <c r="Z134" s="34">
        <v>0</v>
      </c>
      <c r="AA134" s="34">
        <v>0</v>
      </c>
      <c r="AB134" s="34">
        <v>0</v>
      </c>
      <c r="AC134" s="34">
        <v>16</v>
      </c>
      <c r="AD134" s="34">
        <v>339.46083899999996</v>
      </c>
      <c r="AE134" s="34">
        <f t="shared" si="30"/>
        <v>355.46083899999996</v>
      </c>
      <c r="AF134" s="34">
        <f t="shared" si="31"/>
        <v>16</v>
      </c>
      <c r="AG134" s="34">
        <v>0</v>
      </c>
      <c r="AH134" s="34">
        <v>0</v>
      </c>
      <c r="AI134" s="34">
        <v>0</v>
      </c>
      <c r="AJ134" s="34">
        <v>0</v>
      </c>
      <c r="AK134" s="34">
        <v>0</v>
      </c>
      <c r="AL134" s="34">
        <v>0</v>
      </c>
      <c r="AM134" s="34">
        <v>0</v>
      </c>
      <c r="AN134" s="34">
        <v>0</v>
      </c>
      <c r="AO134" s="34">
        <v>81.333333333333357</v>
      </c>
      <c r="AP134" s="34">
        <v>1679.5160092499998</v>
      </c>
      <c r="AQ134" s="34">
        <f t="shared" si="32"/>
        <v>1760.8493425833331</v>
      </c>
      <c r="AR134" s="34">
        <f t="shared" si="33"/>
        <v>81.333333333333258</v>
      </c>
      <c r="AS134" s="34">
        <f t="shared" si="34"/>
        <v>97.333333333333258</v>
      </c>
      <c r="AT134" t="str">
        <f t="shared" si="35"/>
        <v>OK</v>
      </c>
    </row>
    <row r="135" spans="1:46" x14ac:dyDescent="0.25">
      <c r="A135" t="s">
        <v>114</v>
      </c>
      <c r="B135" t="s">
        <v>187</v>
      </c>
      <c r="C135" s="34">
        <v>82400</v>
      </c>
      <c r="D135" s="34">
        <v>6866.666666666667</v>
      </c>
      <c r="E135" s="34">
        <v>8939.4812500000007</v>
      </c>
      <c r="F135" s="34">
        <f t="shared" si="24"/>
        <v>15806.147916666669</v>
      </c>
      <c r="G135" s="34">
        <v>0</v>
      </c>
      <c r="H135" s="34">
        <v>5101.2</v>
      </c>
      <c r="I135" s="34">
        <v>5101.2</v>
      </c>
      <c r="J135" s="34">
        <f t="shared" si="25"/>
        <v>0</v>
      </c>
      <c r="K135" s="34">
        <v>5101.2</v>
      </c>
      <c r="L135" s="34">
        <v>5101.2</v>
      </c>
      <c r="M135" s="34">
        <f t="shared" si="26"/>
        <v>0</v>
      </c>
      <c r="N135" s="34">
        <v>510.11999999999989</v>
      </c>
      <c r="O135" s="34">
        <v>510.11999999999989</v>
      </c>
      <c r="P135" s="34">
        <f t="shared" si="27"/>
        <v>0</v>
      </c>
      <c r="Q135" s="34">
        <v>2040.4800000000005</v>
      </c>
      <c r="R135" s="34">
        <v>2040.4800000000005</v>
      </c>
      <c r="S135" s="34">
        <f t="shared" si="28"/>
        <v>0</v>
      </c>
      <c r="T135" s="34">
        <v>1287.6812500000005</v>
      </c>
      <c r="U135" s="34">
        <v>7761.9179166666681</v>
      </c>
      <c r="V135" s="34">
        <f t="shared" si="29"/>
        <v>6474.2366666666676</v>
      </c>
      <c r="W135" s="34">
        <v>0</v>
      </c>
      <c r="X135" s="34">
        <v>0</v>
      </c>
      <c r="Y135" s="34">
        <v>0</v>
      </c>
      <c r="Z135" s="34">
        <v>0</v>
      </c>
      <c r="AA135" s="34">
        <v>0</v>
      </c>
      <c r="AB135" s="34">
        <v>0</v>
      </c>
      <c r="AC135" s="34">
        <v>16</v>
      </c>
      <c r="AD135" s="34">
        <v>339.46083899999996</v>
      </c>
      <c r="AE135" s="34">
        <f t="shared" si="30"/>
        <v>355.46083899999996</v>
      </c>
      <c r="AF135" s="34">
        <f t="shared" si="31"/>
        <v>16</v>
      </c>
      <c r="AG135" s="34">
        <v>0</v>
      </c>
      <c r="AH135" s="34">
        <v>0</v>
      </c>
      <c r="AI135" s="34">
        <v>0</v>
      </c>
      <c r="AJ135" s="34">
        <v>0</v>
      </c>
      <c r="AK135" s="34">
        <v>0</v>
      </c>
      <c r="AL135" s="34">
        <v>0</v>
      </c>
      <c r="AM135" s="34">
        <v>0</v>
      </c>
      <c r="AN135" s="34">
        <v>0</v>
      </c>
      <c r="AO135" s="34">
        <v>81.333333333333357</v>
      </c>
      <c r="AP135" s="34">
        <v>1679.5160092499998</v>
      </c>
      <c r="AQ135" s="34">
        <f t="shared" si="32"/>
        <v>1760.8493425833331</v>
      </c>
      <c r="AR135" s="34">
        <f t="shared" si="33"/>
        <v>81.333333333333258</v>
      </c>
      <c r="AS135" s="34">
        <f t="shared" si="34"/>
        <v>97.333333333333258</v>
      </c>
      <c r="AT135" t="str">
        <f t="shared" si="35"/>
        <v>OK</v>
      </c>
    </row>
    <row r="136" spans="1:46" x14ac:dyDescent="0.25">
      <c r="A136" t="s">
        <v>114</v>
      </c>
      <c r="B136" t="s">
        <v>189</v>
      </c>
      <c r="C136" s="34">
        <v>82400</v>
      </c>
      <c r="D136" s="34">
        <v>6866.666666666667</v>
      </c>
      <c r="E136" s="34">
        <v>8939.4812500000007</v>
      </c>
      <c r="F136" s="34">
        <f t="shared" si="24"/>
        <v>15806.147916666669</v>
      </c>
      <c r="G136" s="34">
        <v>0</v>
      </c>
      <c r="H136" s="34">
        <v>5101.2</v>
      </c>
      <c r="I136" s="34">
        <v>5101.2</v>
      </c>
      <c r="J136" s="34">
        <f t="shared" si="25"/>
        <v>0</v>
      </c>
      <c r="K136" s="34">
        <v>5101.2</v>
      </c>
      <c r="L136" s="34">
        <v>5101.2</v>
      </c>
      <c r="M136" s="34">
        <f t="shared" si="26"/>
        <v>0</v>
      </c>
      <c r="N136" s="34">
        <v>510.11999999999989</v>
      </c>
      <c r="O136" s="34">
        <v>510.11999999999989</v>
      </c>
      <c r="P136" s="34">
        <f t="shared" si="27"/>
        <v>0</v>
      </c>
      <c r="Q136" s="34">
        <v>2040.4800000000005</v>
      </c>
      <c r="R136" s="34">
        <v>2040.4800000000005</v>
      </c>
      <c r="S136" s="34">
        <f t="shared" si="28"/>
        <v>0</v>
      </c>
      <c r="T136" s="34">
        <v>1287.6812500000005</v>
      </c>
      <c r="U136" s="34">
        <v>7761.9179166666681</v>
      </c>
      <c r="V136" s="34">
        <f t="shared" si="29"/>
        <v>6474.2366666666676</v>
      </c>
      <c r="W136" s="34">
        <v>0</v>
      </c>
      <c r="X136" s="34">
        <v>0</v>
      </c>
      <c r="Y136" s="34">
        <v>0</v>
      </c>
      <c r="Z136" s="34">
        <v>0</v>
      </c>
      <c r="AA136" s="34">
        <v>0</v>
      </c>
      <c r="AB136" s="34">
        <v>0</v>
      </c>
      <c r="AC136" s="34">
        <v>16</v>
      </c>
      <c r="AD136" s="34">
        <v>339.46083899999996</v>
      </c>
      <c r="AE136" s="34">
        <f t="shared" si="30"/>
        <v>355.46083899999996</v>
      </c>
      <c r="AF136" s="34">
        <f t="shared" si="31"/>
        <v>16</v>
      </c>
      <c r="AG136" s="34">
        <v>0</v>
      </c>
      <c r="AH136" s="34">
        <v>0</v>
      </c>
      <c r="AI136" s="34">
        <v>0</v>
      </c>
      <c r="AJ136" s="34">
        <v>0</v>
      </c>
      <c r="AK136" s="34">
        <v>0</v>
      </c>
      <c r="AL136" s="34">
        <v>0</v>
      </c>
      <c r="AM136" s="34">
        <v>0</v>
      </c>
      <c r="AN136" s="34">
        <v>0</v>
      </c>
      <c r="AO136" s="34">
        <v>81.333333333333357</v>
      </c>
      <c r="AP136" s="34">
        <v>1679.5160092499998</v>
      </c>
      <c r="AQ136" s="34">
        <f t="shared" si="32"/>
        <v>1760.8493425833331</v>
      </c>
      <c r="AR136" s="34">
        <f t="shared" si="33"/>
        <v>81.333333333333258</v>
      </c>
      <c r="AS136" s="34">
        <f t="shared" si="34"/>
        <v>97.333333333333258</v>
      </c>
      <c r="AT136" t="str">
        <f t="shared" si="35"/>
        <v>OK</v>
      </c>
    </row>
    <row r="137" spans="1:46" x14ac:dyDescent="0.25">
      <c r="A137" t="s">
        <v>116</v>
      </c>
      <c r="B137" t="s">
        <v>173</v>
      </c>
      <c r="C137" s="34">
        <v>28800</v>
      </c>
      <c r="D137" s="34">
        <v>2400</v>
      </c>
      <c r="E137" s="34">
        <v>6682.0349999999999</v>
      </c>
      <c r="F137" s="34">
        <f t="shared" si="24"/>
        <v>9082.0349999999999</v>
      </c>
      <c r="G137" s="34">
        <v>0</v>
      </c>
      <c r="H137" s="34">
        <v>5101.2</v>
      </c>
      <c r="I137" s="34">
        <v>5101.2</v>
      </c>
      <c r="J137" s="34">
        <f t="shared" si="25"/>
        <v>0</v>
      </c>
      <c r="K137" s="34">
        <v>5101.2</v>
      </c>
      <c r="L137" s="34">
        <v>5101.2</v>
      </c>
      <c r="M137" s="34">
        <f t="shared" si="26"/>
        <v>0</v>
      </c>
      <c r="N137" s="34">
        <v>510.11999999999989</v>
      </c>
      <c r="O137" s="34">
        <v>510.11999999999989</v>
      </c>
      <c r="P137" s="34">
        <f t="shared" si="27"/>
        <v>0</v>
      </c>
      <c r="Q137" s="34">
        <v>1070.7150000000001</v>
      </c>
      <c r="R137" s="34">
        <v>2040.4800000000005</v>
      </c>
      <c r="S137" s="34">
        <f t="shared" si="28"/>
        <v>969.76500000000033</v>
      </c>
      <c r="T137" s="34">
        <v>0</v>
      </c>
      <c r="U137" s="34">
        <v>1638.2249999999995</v>
      </c>
      <c r="V137" s="34">
        <f t="shared" si="29"/>
        <v>1638.2249999999995</v>
      </c>
      <c r="W137" s="34">
        <v>0</v>
      </c>
      <c r="X137" s="34">
        <v>0</v>
      </c>
      <c r="Y137" s="34">
        <v>0</v>
      </c>
      <c r="Z137" s="34">
        <v>0</v>
      </c>
      <c r="AA137" s="34">
        <v>0</v>
      </c>
      <c r="AB137" s="34">
        <v>1.809727500000001</v>
      </c>
      <c r="AC137" s="34">
        <v>3.9317399999999982</v>
      </c>
      <c r="AD137" s="34">
        <v>335.02250849999996</v>
      </c>
      <c r="AE137" s="34">
        <f t="shared" si="30"/>
        <v>340.76397599999996</v>
      </c>
      <c r="AF137" s="34">
        <f t="shared" si="31"/>
        <v>5.7414674999999988</v>
      </c>
      <c r="AG137" s="34">
        <v>0</v>
      </c>
      <c r="AH137" s="34">
        <v>0</v>
      </c>
      <c r="AI137" s="34">
        <v>0</v>
      </c>
      <c r="AJ137" s="34">
        <v>0</v>
      </c>
      <c r="AK137" s="34">
        <v>0</v>
      </c>
      <c r="AL137" s="34">
        <v>0</v>
      </c>
      <c r="AM137" s="34">
        <v>0</v>
      </c>
      <c r="AN137" s="34">
        <v>8.9624600000000054</v>
      </c>
      <c r="AO137" s="34">
        <v>19.986344999999993</v>
      </c>
      <c r="AP137" s="34">
        <v>1657.1914839999999</v>
      </c>
      <c r="AQ137" s="34">
        <f t="shared" si="32"/>
        <v>1686.1402889999999</v>
      </c>
      <c r="AR137" s="34">
        <f t="shared" si="33"/>
        <v>28.948804999999993</v>
      </c>
      <c r="AS137" s="34">
        <f t="shared" si="34"/>
        <v>34.690272499999992</v>
      </c>
      <c r="AT137" t="str">
        <f t="shared" si="35"/>
        <v>OK</v>
      </c>
    </row>
    <row r="138" spans="1:46" x14ac:dyDescent="0.25">
      <c r="A138" t="s">
        <v>116</v>
      </c>
      <c r="B138" t="s">
        <v>176</v>
      </c>
      <c r="C138" s="34">
        <v>28800</v>
      </c>
      <c r="D138" s="34">
        <v>2400</v>
      </c>
      <c r="E138" s="34">
        <v>6682.0349999999999</v>
      </c>
      <c r="F138" s="34">
        <f t="shared" si="24"/>
        <v>9082.0349999999999</v>
      </c>
      <c r="G138" s="34">
        <v>0</v>
      </c>
      <c r="H138" s="34">
        <v>5101.2</v>
      </c>
      <c r="I138" s="34">
        <v>5101.2</v>
      </c>
      <c r="J138" s="34">
        <f t="shared" si="25"/>
        <v>0</v>
      </c>
      <c r="K138" s="34">
        <v>5101.2</v>
      </c>
      <c r="L138" s="34">
        <v>5101.2</v>
      </c>
      <c r="M138" s="34">
        <f t="shared" si="26"/>
        <v>0</v>
      </c>
      <c r="N138" s="34">
        <v>510.11999999999989</v>
      </c>
      <c r="O138" s="34">
        <v>510.11999999999989</v>
      </c>
      <c r="P138" s="34">
        <f t="shared" si="27"/>
        <v>0</v>
      </c>
      <c r="Q138" s="34">
        <v>1070.7150000000001</v>
      </c>
      <c r="R138" s="34">
        <v>2040.4800000000005</v>
      </c>
      <c r="S138" s="34">
        <f t="shared" si="28"/>
        <v>969.76500000000033</v>
      </c>
      <c r="T138" s="34">
        <v>0</v>
      </c>
      <c r="U138" s="34">
        <v>1638.2249999999995</v>
      </c>
      <c r="V138" s="34">
        <f t="shared" si="29"/>
        <v>1638.2249999999995</v>
      </c>
      <c r="W138" s="34">
        <v>0</v>
      </c>
      <c r="X138" s="34">
        <v>0</v>
      </c>
      <c r="Y138" s="34">
        <v>0</v>
      </c>
      <c r="Z138" s="34">
        <v>0</v>
      </c>
      <c r="AA138" s="34">
        <v>0</v>
      </c>
      <c r="AB138" s="34">
        <v>1.809727500000001</v>
      </c>
      <c r="AC138" s="34">
        <v>3.9317399999999982</v>
      </c>
      <c r="AD138" s="34">
        <v>335.02250849999996</v>
      </c>
      <c r="AE138" s="34">
        <f t="shared" si="30"/>
        <v>340.76397599999996</v>
      </c>
      <c r="AF138" s="34">
        <f t="shared" si="31"/>
        <v>5.7414674999999988</v>
      </c>
      <c r="AG138" s="34">
        <v>0</v>
      </c>
      <c r="AH138" s="34">
        <v>0</v>
      </c>
      <c r="AI138" s="34">
        <v>0</v>
      </c>
      <c r="AJ138" s="34">
        <v>0</v>
      </c>
      <c r="AK138" s="34">
        <v>0</v>
      </c>
      <c r="AL138" s="34">
        <v>0</v>
      </c>
      <c r="AM138" s="34">
        <v>0</v>
      </c>
      <c r="AN138" s="34">
        <v>8.9624600000000054</v>
      </c>
      <c r="AO138" s="34">
        <v>19.986344999999993</v>
      </c>
      <c r="AP138" s="34">
        <v>1657.1914839999999</v>
      </c>
      <c r="AQ138" s="34">
        <f t="shared" si="32"/>
        <v>1686.1402889999999</v>
      </c>
      <c r="AR138" s="34">
        <f t="shared" si="33"/>
        <v>28.948804999999993</v>
      </c>
      <c r="AS138" s="34">
        <f t="shared" si="34"/>
        <v>34.690272499999992</v>
      </c>
      <c r="AT138" t="str">
        <f t="shared" si="35"/>
        <v>OK</v>
      </c>
    </row>
    <row r="139" spans="1:46" x14ac:dyDescent="0.25">
      <c r="A139" t="s">
        <v>116</v>
      </c>
      <c r="B139" t="s">
        <v>177</v>
      </c>
      <c r="C139" s="34">
        <v>28800</v>
      </c>
      <c r="D139" s="34">
        <v>2400</v>
      </c>
      <c r="E139" s="34">
        <v>6682.0349999999999</v>
      </c>
      <c r="F139" s="34">
        <f t="shared" si="24"/>
        <v>9082.0349999999999</v>
      </c>
      <c r="G139" s="34">
        <v>0</v>
      </c>
      <c r="H139" s="34">
        <v>5101.2</v>
      </c>
      <c r="I139" s="34">
        <v>5101.2</v>
      </c>
      <c r="J139" s="34">
        <f t="shared" si="25"/>
        <v>0</v>
      </c>
      <c r="K139" s="34">
        <v>5101.2</v>
      </c>
      <c r="L139" s="34">
        <v>5101.2</v>
      </c>
      <c r="M139" s="34">
        <f t="shared" si="26"/>
        <v>0</v>
      </c>
      <c r="N139" s="34">
        <v>510.11999999999989</v>
      </c>
      <c r="O139" s="34">
        <v>510.11999999999989</v>
      </c>
      <c r="P139" s="34">
        <f t="shared" si="27"/>
        <v>0</v>
      </c>
      <c r="Q139" s="34">
        <v>1070.7150000000001</v>
      </c>
      <c r="R139" s="34">
        <v>2040.4800000000005</v>
      </c>
      <c r="S139" s="34">
        <f t="shared" si="28"/>
        <v>969.76500000000033</v>
      </c>
      <c r="T139" s="34">
        <v>0</v>
      </c>
      <c r="U139" s="34">
        <v>1638.2249999999995</v>
      </c>
      <c r="V139" s="34">
        <f t="shared" si="29"/>
        <v>1638.2249999999995</v>
      </c>
      <c r="W139" s="34">
        <v>0</v>
      </c>
      <c r="X139" s="34">
        <v>0</v>
      </c>
      <c r="Y139" s="34">
        <v>0</v>
      </c>
      <c r="Z139" s="34">
        <v>0</v>
      </c>
      <c r="AA139" s="34">
        <v>0</v>
      </c>
      <c r="AB139" s="34">
        <v>1.809727500000001</v>
      </c>
      <c r="AC139" s="34">
        <v>3.9317399999999982</v>
      </c>
      <c r="AD139" s="34">
        <v>335.02250849999996</v>
      </c>
      <c r="AE139" s="34">
        <f t="shared" si="30"/>
        <v>340.76397599999996</v>
      </c>
      <c r="AF139" s="34">
        <f t="shared" si="31"/>
        <v>5.7414674999999988</v>
      </c>
      <c r="AG139" s="34">
        <v>0</v>
      </c>
      <c r="AH139" s="34">
        <v>0</v>
      </c>
      <c r="AI139" s="34">
        <v>0</v>
      </c>
      <c r="AJ139" s="34">
        <v>0</v>
      </c>
      <c r="AK139" s="34">
        <v>0</v>
      </c>
      <c r="AL139" s="34">
        <v>0</v>
      </c>
      <c r="AM139" s="34">
        <v>0</v>
      </c>
      <c r="AN139" s="34">
        <v>8.9624600000000054</v>
      </c>
      <c r="AO139" s="34">
        <v>19.986344999999993</v>
      </c>
      <c r="AP139" s="34">
        <v>1657.1914839999999</v>
      </c>
      <c r="AQ139" s="34">
        <f t="shared" si="32"/>
        <v>1686.1402889999999</v>
      </c>
      <c r="AR139" s="34">
        <f t="shared" si="33"/>
        <v>28.948804999999993</v>
      </c>
      <c r="AS139" s="34">
        <f t="shared" si="34"/>
        <v>34.690272499999992</v>
      </c>
      <c r="AT139" t="str">
        <f t="shared" si="35"/>
        <v>OK</v>
      </c>
    </row>
    <row r="140" spans="1:46" x14ac:dyDescent="0.25">
      <c r="A140" t="s">
        <v>116</v>
      </c>
      <c r="B140" t="s">
        <v>178</v>
      </c>
      <c r="C140" s="34">
        <v>28800</v>
      </c>
      <c r="D140" s="34">
        <v>2400</v>
      </c>
      <c r="E140" s="34">
        <v>6682.0349999999999</v>
      </c>
      <c r="F140" s="34">
        <f t="shared" si="24"/>
        <v>9082.0349999999999</v>
      </c>
      <c r="G140" s="34">
        <v>0</v>
      </c>
      <c r="H140" s="34">
        <v>5101.2</v>
      </c>
      <c r="I140" s="34">
        <v>5101.2</v>
      </c>
      <c r="J140" s="34">
        <f t="shared" si="25"/>
        <v>0</v>
      </c>
      <c r="K140" s="34">
        <v>5101.2</v>
      </c>
      <c r="L140" s="34">
        <v>5101.2</v>
      </c>
      <c r="M140" s="34">
        <f t="shared" si="26"/>
        <v>0</v>
      </c>
      <c r="N140" s="34">
        <v>510.11999999999989</v>
      </c>
      <c r="O140" s="34">
        <v>510.11999999999989</v>
      </c>
      <c r="P140" s="34">
        <f t="shared" si="27"/>
        <v>0</v>
      </c>
      <c r="Q140" s="34">
        <v>1070.7150000000001</v>
      </c>
      <c r="R140" s="34">
        <v>2040.4800000000005</v>
      </c>
      <c r="S140" s="34">
        <f t="shared" si="28"/>
        <v>969.76500000000033</v>
      </c>
      <c r="T140" s="34">
        <v>0</v>
      </c>
      <c r="U140" s="34">
        <v>1638.2249999999995</v>
      </c>
      <c r="V140" s="34">
        <f t="shared" si="29"/>
        <v>1638.2249999999995</v>
      </c>
      <c r="W140" s="34">
        <v>0</v>
      </c>
      <c r="X140" s="34">
        <v>0</v>
      </c>
      <c r="Y140" s="34">
        <v>0</v>
      </c>
      <c r="Z140" s="34">
        <v>0</v>
      </c>
      <c r="AA140" s="34">
        <v>0</v>
      </c>
      <c r="AB140" s="34">
        <v>1.809727500000001</v>
      </c>
      <c r="AC140" s="34">
        <v>3.9317399999999982</v>
      </c>
      <c r="AD140" s="34">
        <v>335.02250849999996</v>
      </c>
      <c r="AE140" s="34">
        <f t="shared" si="30"/>
        <v>340.76397599999996</v>
      </c>
      <c r="AF140" s="34">
        <f t="shared" si="31"/>
        <v>5.7414674999999988</v>
      </c>
      <c r="AG140" s="34">
        <v>0</v>
      </c>
      <c r="AH140" s="34">
        <v>0</v>
      </c>
      <c r="AI140" s="34">
        <v>0</v>
      </c>
      <c r="AJ140" s="34">
        <v>0</v>
      </c>
      <c r="AK140" s="34">
        <v>0</v>
      </c>
      <c r="AL140" s="34">
        <v>0</v>
      </c>
      <c r="AM140" s="34">
        <v>0</v>
      </c>
      <c r="AN140" s="34">
        <v>8.9624600000000054</v>
      </c>
      <c r="AO140" s="34">
        <v>19.986344999999993</v>
      </c>
      <c r="AP140" s="34">
        <v>1657.1914839999999</v>
      </c>
      <c r="AQ140" s="34">
        <f t="shared" si="32"/>
        <v>1686.1402889999999</v>
      </c>
      <c r="AR140" s="34">
        <f t="shared" si="33"/>
        <v>28.948804999999993</v>
      </c>
      <c r="AS140" s="34">
        <f t="shared" si="34"/>
        <v>34.690272499999992</v>
      </c>
      <c r="AT140" t="str">
        <f t="shared" si="35"/>
        <v>OK</v>
      </c>
    </row>
    <row r="141" spans="1:46" x14ac:dyDescent="0.25">
      <c r="A141" t="s">
        <v>116</v>
      </c>
      <c r="B141" t="s">
        <v>179</v>
      </c>
      <c r="C141" s="34">
        <v>28800</v>
      </c>
      <c r="D141" s="34">
        <v>2400</v>
      </c>
      <c r="E141" s="34">
        <v>6682.0349999999999</v>
      </c>
      <c r="F141" s="34">
        <f t="shared" si="24"/>
        <v>9082.0349999999999</v>
      </c>
      <c r="G141" s="34">
        <v>0</v>
      </c>
      <c r="H141" s="34">
        <v>5101.2</v>
      </c>
      <c r="I141" s="34">
        <v>5101.2</v>
      </c>
      <c r="J141" s="34">
        <f t="shared" si="25"/>
        <v>0</v>
      </c>
      <c r="K141" s="34">
        <v>5101.2</v>
      </c>
      <c r="L141" s="34">
        <v>5101.2</v>
      </c>
      <c r="M141" s="34">
        <f t="shared" si="26"/>
        <v>0</v>
      </c>
      <c r="N141" s="34">
        <v>510.11999999999989</v>
      </c>
      <c r="O141" s="34">
        <v>510.11999999999989</v>
      </c>
      <c r="P141" s="34">
        <f t="shared" si="27"/>
        <v>0</v>
      </c>
      <c r="Q141" s="34">
        <v>1070.7150000000001</v>
      </c>
      <c r="R141" s="34">
        <v>2040.4800000000005</v>
      </c>
      <c r="S141" s="34">
        <f t="shared" si="28"/>
        <v>969.76500000000033</v>
      </c>
      <c r="T141" s="34">
        <v>0</v>
      </c>
      <c r="U141" s="34">
        <v>1638.2249999999995</v>
      </c>
      <c r="V141" s="34">
        <f t="shared" si="29"/>
        <v>1638.2249999999995</v>
      </c>
      <c r="W141" s="34">
        <v>0</v>
      </c>
      <c r="X141" s="34">
        <v>0</v>
      </c>
      <c r="Y141" s="34">
        <v>0</v>
      </c>
      <c r="Z141" s="34">
        <v>0</v>
      </c>
      <c r="AA141" s="34">
        <v>0</v>
      </c>
      <c r="AB141" s="34">
        <v>1.809727500000001</v>
      </c>
      <c r="AC141" s="34">
        <v>3.9317399999999982</v>
      </c>
      <c r="AD141" s="34">
        <v>335.02250849999996</v>
      </c>
      <c r="AE141" s="34">
        <f t="shared" si="30"/>
        <v>340.76397599999996</v>
      </c>
      <c r="AF141" s="34">
        <f t="shared" si="31"/>
        <v>5.7414674999999988</v>
      </c>
      <c r="AG141" s="34">
        <v>0</v>
      </c>
      <c r="AH141" s="34">
        <v>0</v>
      </c>
      <c r="AI141" s="34">
        <v>0</v>
      </c>
      <c r="AJ141" s="34">
        <v>0</v>
      </c>
      <c r="AK141" s="34">
        <v>0</v>
      </c>
      <c r="AL141" s="34">
        <v>0</v>
      </c>
      <c r="AM141" s="34">
        <v>0</v>
      </c>
      <c r="AN141" s="34">
        <v>8.9624600000000054</v>
      </c>
      <c r="AO141" s="34">
        <v>19.986344999999993</v>
      </c>
      <c r="AP141" s="34">
        <v>1657.1914839999999</v>
      </c>
      <c r="AQ141" s="34">
        <f t="shared" si="32"/>
        <v>1686.1402889999999</v>
      </c>
      <c r="AR141" s="34">
        <f t="shared" si="33"/>
        <v>28.948804999999993</v>
      </c>
      <c r="AS141" s="34">
        <f t="shared" si="34"/>
        <v>34.690272499999992</v>
      </c>
      <c r="AT141" t="str">
        <f t="shared" si="35"/>
        <v>OK</v>
      </c>
    </row>
    <row r="142" spans="1:46" x14ac:dyDescent="0.25">
      <c r="A142" t="s">
        <v>116</v>
      </c>
      <c r="B142" t="s">
        <v>180</v>
      </c>
      <c r="C142" s="34">
        <v>28800</v>
      </c>
      <c r="D142" s="34">
        <v>2400</v>
      </c>
      <c r="E142" s="34">
        <v>6682.0349999999999</v>
      </c>
      <c r="F142" s="34">
        <f t="shared" si="24"/>
        <v>9082.0349999999999</v>
      </c>
      <c r="G142" s="34">
        <v>0</v>
      </c>
      <c r="H142" s="34">
        <v>5101.2</v>
      </c>
      <c r="I142" s="34">
        <v>5101.2</v>
      </c>
      <c r="J142" s="34">
        <f t="shared" si="25"/>
        <v>0</v>
      </c>
      <c r="K142" s="34">
        <v>5101.2</v>
      </c>
      <c r="L142" s="34">
        <v>5101.2</v>
      </c>
      <c r="M142" s="34">
        <f t="shared" si="26"/>
        <v>0</v>
      </c>
      <c r="N142" s="34">
        <v>510.11999999999989</v>
      </c>
      <c r="O142" s="34">
        <v>510.11999999999989</v>
      </c>
      <c r="P142" s="34">
        <f t="shared" si="27"/>
        <v>0</v>
      </c>
      <c r="Q142" s="34">
        <v>1070.7150000000001</v>
      </c>
      <c r="R142" s="34">
        <v>2040.4800000000005</v>
      </c>
      <c r="S142" s="34">
        <f t="shared" si="28"/>
        <v>969.76500000000033</v>
      </c>
      <c r="T142" s="34">
        <v>0</v>
      </c>
      <c r="U142" s="34">
        <v>1638.2249999999995</v>
      </c>
      <c r="V142" s="34">
        <f t="shared" si="29"/>
        <v>1638.2249999999995</v>
      </c>
      <c r="W142" s="34">
        <v>0</v>
      </c>
      <c r="X142" s="34">
        <v>0</v>
      </c>
      <c r="Y142" s="34">
        <v>0</v>
      </c>
      <c r="Z142" s="34">
        <v>0</v>
      </c>
      <c r="AA142" s="34">
        <v>0</v>
      </c>
      <c r="AB142" s="34">
        <v>1.809727500000001</v>
      </c>
      <c r="AC142" s="34">
        <v>3.9317399999999982</v>
      </c>
      <c r="AD142" s="34">
        <v>335.02250849999996</v>
      </c>
      <c r="AE142" s="34">
        <f t="shared" si="30"/>
        <v>340.76397599999996</v>
      </c>
      <c r="AF142" s="34">
        <f t="shared" si="31"/>
        <v>5.7414674999999988</v>
      </c>
      <c r="AG142" s="34">
        <v>0</v>
      </c>
      <c r="AH142" s="34">
        <v>0</v>
      </c>
      <c r="AI142" s="34">
        <v>0</v>
      </c>
      <c r="AJ142" s="34">
        <v>0</v>
      </c>
      <c r="AK142" s="34">
        <v>0</v>
      </c>
      <c r="AL142" s="34">
        <v>0</v>
      </c>
      <c r="AM142" s="34">
        <v>0</v>
      </c>
      <c r="AN142" s="34">
        <v>8.9624600000000054</v>
      </c>
      <c r="AO142" s="34">
        <v>19.986344999999993</v>
      </c>
      <c r="AP142" s="34">
        <v>1657.1914839999999</v>
      </c>
      <c r="AQ142" s="34">
        <f t="shared" si="32"/>
        <v>1686.1402889999999</v>
      </c>
      <c r="AR142" s="34">
        <f t="shared" si="33"/>
        <v>28.948804999999993</v>
      </c>
      <c r="AS142" s="34">
        <f t="shared" si="34"/>
        <v>34.690272499999992</v>
      </c>
      <c r="AT142" t="str">
        <f t="shared" si="35"/>
        <v>OK</v>
      </c>
    </row>
    <row r="143" spans="1:46" x14ac:dyDescent="0.25">
      <c r="A143" t="s">
        <v>116</v>
      </c>
      <c r="B143" t="s">
        <v>183</v>
      </c>
      <c r="C143" s="34">
        <v>28800</v>
      </c>
      <c r="D143" s="34">
        <v>2400</v>
      </c>
      <c r="E143" s="34">
        <v>4278.6756249999999</v>
      </c>
      <c r="F143" s="34">
        <f t="shared" si="24"/>
        <v>6678.6756249999999</v>
      </c>
      <c r="G143" s="34">
        <v>1147.77</v>
      </c>
      <c r="H143" s="34">
        <v>3953.43</v>
      </c>
      <c r="I143" s="34">
        <v>3953.43</v>
      </c>
      <c r="J143" s="34">
        <f t="shared" si="25"/>
        <v>0</v>
      </c>
      <c r="K143" s="34">
        <v>5101.2</v>
      </c>
      <c r="L143" s="34">
        <v>5101.2</v>
      </c>
      <c r="M143" s="34">
        <f t="shared" si="26"/>
        <v>0</v>
      </c>
      <c r="N143" s="34">
        <v>0</v>
      </c>
      <c r="O143" s="34">
        <v>510.11999999999989</v>
      </c>
      <c r="P143" s="34">
        <f t="shared" si="27"/>
        <v>510.11999999999989</v>
      </c>
      <c r="Q143" s="34">
        <v>0</v>
      </c>
      <c r="R143" s="34">
        <v>1236.4237499999999</v>
      </c>
      <c r="S143" s="34">
        <f t="shared" si="28"/>
        <v>1236.4237499999999</v>
      </c>
      <c r="T143" s="34">
        <v>0</v>
      </c>
      <c r="U143" s="34">
        <v>0</v>
      </c>
      <c r="V143" s="34">
        <f t="shared" si="29"/>
        <v>0</v>
      </c>
      <c r="W143" s="34">
        <v>0</v>
      </c>
      <c r="X143" s="34">
        <v>0</v>
      </c>
      <c r="Y143" s="34">
        <v>0</v>
      </c>
      <c r="Z143" s="34">
        <v>0</v>
      </c>
      <c r="AA143" s="34">
        <v>0.96922799999999976</v>
      </c>
      <c r="AB143" s="34">
        <v>2.5964898749999996</v>
      </c>
      <c r="AC143" s="34">
        <v>0</v>
      </c>
      <c r="AD143" s="34">
        <v>256.97294999999997</v>
      </c>
      <c r="AE143" s="34">
        <f t="shared" si="30"/>
        <v>260.53866787499999</v>
      </c>
      <c r="AF143" s="34">
        <f t="shared" si="31"/>
        <v>3.5657178750000185</v>
      </c>
      <c r="AG143" s="34">
        <v>0</v>
      </c>
      <c r="AH143" s="34">
        <v>0</v>
      </c>
      <c r="AI143" s="34">
        <v>0</v>
      </c>
      <c r="AJ143" s="34">
        <v>0</v>
      </c>
      <c r="AK143" s="34">
        <v>0</v>
      </c>
      <c r="AL143" s="34">
        <v>0</v>
      </c>
      <c r="AM143" s="34">
        <v>4.8971519999999984</v>
      </c>
      <c r="AN143" s="34">
        <v>12.858806999999999</v>
      </c>
      <c r="AO143" s="34">
        <v>0</v>
      </c>
      <c r="AP143" s="34">
        <v>1640.0357999999999</v>
      </c>
      <c r="AQ143" s="34">
        <f t="shared" si="32"/>
        <v>1657.791759</v>
      </c>
      <c r="AR143" s="34">
        <f t="shared" si="33"/>
        <v>17.755959000000075</v>
      </c>
      <c r="AS143" s="34">
        <f t="shared" si="34"/>
        <v>21.321676875000094</v>
      </c>
      <c r="AT143" t="str">
        <f t="shared" si="35"/>
        <v>OK</v>
      </c>
    </row>
    <row r="144" spans="1:46" x14ac:dyDescent="0.25">
      <c r="A144" t="s">
        <v>116</v>
      </c>
      <c r="B144" t="s">
        <v>184</v>
      </c>
      <c r="C144" s="34">
        <v>28800</v>
      </c>
      <c r="D144" s="34">
        <v>2400</v>
      </c>
      <c r="E144" s="34">
        <v>6682.0349999999999</v>
      </c>
      <c r="F144" s="34">
        <f t="shared" si="24"/>
        <v>9082.0349999999999</v>
      </c>
      <c r="G144" s="34">
        <v>0</v>
      </c>
      <c r="H144" s="34">
        <v>5101.2</v>
      </c>
      <c r="I144" s="34">
        <v>5101.2</v>
      </c>
      <c r="J144" s="34">
        <f t="shared" si="25"/>
        <v>0</v>
      </c>
      <c r="K144" s="34">
        <v>5101.2</v>
      </c>
      <c r="L144" s="34">
        <v>5101.2</v>
      </c>
      <c r="M144" s="34">
        <f t="shared" si="26"/>
        <v>0</v>
      </c>
      <c r="N144" s="34">
        <v>510.11999999999989</v>
      </c>
      <c r="O144" s="34">
        <v>510.11999999999989</v>
      </c>
      <c r="P144" s="34">
        <f t="shared" si="27"/>
        <v>0</v>
      </c>
      <c r="Q144" s="34">
        <v>1070.7150000000001</v>
      </c>
      <c r="R144" s="34">
        <v>2040.4800000000005</v>
      </c>
      <c r="S144" s="34">
        <f t="shared" si="28"/>
        <v>969.76500000000033</v>
      </c>
      <c r="T144" s="34">
        <v>0</v>
      </c>
      <c r="U144" s="34">
        <v>1638.2249999999995</v>
      </c>
      <c r="V144" s="34">
        <f t="shared" si="29"/>
        <v>1638.2249999999995</v>
      </c>
      <c r="W144" s="34">
        <v>0</v>
      </c>
      <c r="X144" s="34">
        <v>0</v>
      </c>
      <c r="Y144" s="34">
        <v>0</v>
      </c>
      <c r="Z144" s="34">
        <v>0</v>
      </c>
      <c r="AA144" s="34">
        <v>0</v>
      </c>
      <c r="AB144" s="34">
        <v>1.809727500000001</v>
      </c>
      <c r="AC144" s="34">
        <v>3.9317399999999982</v>
      </c>
      <c r="AD144" s="34">
        <v>335.02250849999996</v>
      </c>
      <c r="AE144" s="34">
        <f t="shared" si="30"/>
        <v>340.76397599999996</v>
      </c>
      <c r="AF144" s="34">
        <f t="shared" si="31"/>
        <v>5.7414674999999988</v>
      </c>
      <c r="AG144" s="34">
        <v>0</v>
      </c>
      <c r="AH144" s="34">
        <v>0</v>
      </c>
      <c r="AI144" s="34">
        <v>0</v>
      </c>
      <c r="AJ144" s="34">
        <v>0</v>
      </c>
      <c r="AK144" s="34">
        <v>0</v>
      </c>
      <c r="AL144" s="34">
        <v>0</v>
      </c>
      <c r="AM144" s="34">
        <v>0</v>
      </c>
      <c r="AN144" s="34">
        <v>8.9624600000000054</v>
      </c>
      <c r="AO144" s="34">
        <v>19.986344999999993</v>
      </c>
      <c r="AP144" s="34">
        <v>1657.1914839999999</v>
      </c>
      <c r="AQ144" s="34">
        <f t="shared" si="32"/>
        <v>1686.1402889999999</v>
      </c>
      <c r="AR144" s="34">
        <f t="shared" si="33"/>
        <v>28.948804999999993</v>
      </c>
      <c r="AS144" s="34">
        <f t="shared" si="34"/>
        <v>34.690272499999992</v>
      </c>
      <c r="AT144" t="str">
        <f t="shared" si="35"/>
        <v>OK</v>
      </c>
    </row>
    <row r="145" spans="1:46" x14ac:dyDescent="0.25">
      <c r="A145" t="s">
        <v>116</v>
      </c>
      <c r="B145" t="s">
        <v>185</v>
      </c>
      <c r="C145" s="34">
        <v>28800</v>
      </c>
      <c r="D145" s="34">
        <v>2400</v>
      </c>
      <c r="E145" s="34">
        <v>6131.8086458333328</v>
      </c>
      <c r="F145" s="34">
        <f t="shared" si="24"/>
        <v>8531.8086458333328</v>
      </c>
      <c r="G145" s="34">
        <v>637.64999999999964</v>
      </c>
      <c r="H145" s="34">
        <v>4463.55</v>
      </c>
      <c r="I145" s="34">
        <v>4463.55</v>
      </c>
      <c r="J145" s="34">
        <f t="shared" si="25"/>
        <v>0</v>
      </c>
      <c r="K145" s="34">
        <v>5101.2</v>
      </c>
      <c r="L145" s="34">
        <v>5101.2</v>
      </c>
      <c r="M145" s="34">
        <f t="shared" si="26"/>
        <v>0</v>
      </c>
      <c r="N145" s="34">
        <v>510.11999999999989</v>
      </c>
      <c r="O145" s="34">
        <v>510.11999999999989</v>
      </c>
      <c r="P145" s="34">
        <f t="shared" si="27"/>
        <v>0</v>
      </c>
      <c r="Q145" s="34">
        <v>520.48864583333307</v>
      </c>
      <c r="R145" s="34">
        <v>2040.4800000000005</v>
      </c>
      <c r="S145" s="34">
        <f t="shared" si="28"/>
        <v>1519.9913541666674</v>
      </c>
      <c r="T145" s="34">
        <v>0</v>
      </c>
      <c r="U145" s="34">
        <v>1078.9578124999998</v>
      </c>
      <c r="V145" s="34">
        <f t="shared" si="29"/>
        <v>1078.9578124999998</v>
      </c>
      <c r="W145" s="34">
        <v>0</v>
      </c>
      <c r="X145" s="34">
        <v>0</v>
      </c>
      <c r="Y145" s="34">
        <v>0</v>
      </c>
      <c r="Z145" s="34">
        <v>0</v>
      </c>
      <c r="AA145" s="34">
        <v>0</v>
      </c>
      <c r="AB145" s="34">
        <v>2.9841885937500003</v>
      </c>
      <c r="AC145" s="34">
        <v>2.5894987499999993</v>
      </c>
      <c r="AD145" s="34">
        <v>292.40079740625004</v>
      </c>
      <c r="AE145" s="34">
        <f t="shared" si="30"/>
        <v>297.97448475000004</v>
      </c>
      <c r="AF145" s="34">
        <f t="shared" si="31"/>
        <v>5.5736873437500094</v>
      </c>
      <c r="AG145" s="34">
        <v>0</v>
      </c>
      <c r="AH145" s="34">
        <v>0</v>
      </c>
      <c r="AI145" s="34">
        <v>0</v>
      </c>
      <c r="AJ145" s="34">
        <v>0</v>
      </c>
      <c r="AK145" s="34">
        <v>0</v>
      </c>
      <c r="AL145" s="34">
        <v>0</v>
      </c>
      <c r="AM145" s="34">
        <v>0</v>
      </c>
      <c r="AN145" s="34">
        <v>14.778838750000002</v>
      </c>
      <c r="AO145" s="34">
        <v>13.163285312499999</v>
      </c>
      <c r="AP145" s="34">
        <v>1651.3751052499999</v>
      </c>
      <c r="AQ145" s="34">
        <f t="shared" si="32"/>
        <v>1679.3172293124999</v>
      </c>
      <c r="AR145" s="34">
        <f t="shared" si="33"/>
        <v>27.942124062499943</v>
      </c>
      <c r="AS145" s="34">
        <f t="shared" si="34"/>
        <v>33.515811406249952</v>
      </c>
      <c r="AT145" t="str">
        <f t="shared" si="35"/>
        <v>OK</v>
      </c>
    </row>
    <row r="146" spans="1:46" x14ac:dyDescent="0.25">
      <c r="A146" t="s">
        <v>116</v>
      </c>
      <c r="B146" t="s">
        <v>186</v>
      </c>
      <c r="C146" s="34">
        <v>28800</v>
      </c>
      <c r="D146" s="34">
        <v>2400</v>
      </c>
      <c r="E146" s="34">
        <v>6682.0349999999999</v>
      </c>
      <c r="F146" s="34">
        <f t="shared" si="24"/>
        <v>9082.0349999999999</v>
      </c>
      <c r="G146" s="34">
        <v>0</v>
      </c>
      <c r="H146" s="34">
        <v>5101.2</v>
      </c>
      <c r="I146" s="34">
        <v>5101.2</v>
      </c>
      <c r="J146" s="34">
        <f t="shared" si="25"/>
        <v>0</v>
      </c>
      <c r="K146" s="34">
        <v>5101.2</v>
      </c>
      <c r="L146" s="34">
        <v>5101.2</v>
      </c>
      <c r="M146" s="34">
        <f t="shared" si="26"/>
        <v>0</v>
      </c>
      <c r="N146" s="34">
        <v>510.11999999999989</v>
      </c>
      <c r="O146" s="34">
        <v>510.11999999999989</v>
      </c>
      <c r="P146" s="34">
        <f t="shared" si="27"/>
        <v>0</v>
      </c>
      <c r="Q146" s="34">
        <v>1070.7150000000001</v>
      </c>
      <c r="R146" s="34">
        <v>2040.4800000000005</v>
      </c>
      <c r="S146" s="34">
        <f t="shared" si="28"/>
        <v>969.76500000000033</v>
      </c>
      <c r="T146" s="34">
        <v>0</v>
      </c>
      <c r="U146" s="34">
        <v>1638.2249999999995</v>
      </c>
      <c r="V146" s="34">
        <f t="shared" si="29"/>
        <v>1638.2249999999995</v>
      </c>
      <c r="W146" s="34">
        <v>0</v>
      </c>
      <c r="X146" s="34">
        <v>0</v>
      </c>
      <c r="Y146" s="34">
        <v>0</v>
      </c>
      <c r="Z146" s="34">
        <v>0</v>
      </c>
      <c r="AA146" s="34">
        <v>0</v>
      </c>
      <c r="AB146" s="34">
        <v>1.809727500000001</v>
      </c>
      <c r="AC146" s="34">
        <v>3.9317399999999982</v>
      </c>
      <c r="AD146" s="34">
        <v>335.02250849999996</v>
      </c>
      <c r="AE146" s="34">
        <f t="shared" si="30"/>
        <v>340.76397599999996</v>
      </c>
      <c r="AF146" s="34">
        <f t="shared" si="31"/>
        <v>5.7414674999999988</v>
      </c>
      <c r="AG146" s="34">
        <v>0</v>
      </c>
      <c r="AH146" s="34">
        <v>0</v>
      </c>
      <c r="AI146" s="34">
        <v>0</v>
      </c>
      <c r="AJ146" s="34">
        <v>0</v>
      </c>
      <c r="AK146" s="34">
        <v>0</v>
      </c>
      <c r="AL146" s="34">
        <v>0</v>
      </c>
      <c r="AM146" s="34">
        <v>0</v>
      </c>
      <c r="AN146" s="34">
        <v>8.9624600000000054</v>
      </c>
      <c r="AO146" s="34">
        <v>19.986344999999993</v>
      </c>
      <c r="AP146" s="34">
        <v>1657.1914839999999</v>
      </c>
      <c r="AQ146" s="34">
        <f t="shared" si="32"/>
        <v>1686.1402889999999</v>
      </c>
      <c r="AR146" s="34">
        <f t="shared" si="33"/>
        <v>28.948804999999993</v>
      </c>
      <c r="AS146" s="34">
        <f t="shared" si="34"/>
        <v>34.690272499999992</v>
      </c>
      <c r="AT146" t="str">
        <f t="shared" si="35"/>
        <v>OK</v>
      </c>
    </row>
    <row r="147" spans="1:46" x14ac:dyDescent="0.25">
      <c r="A147" t="s">
        <v>116</v>
      </c>
      <c r="B147" t="s">
        <v>187</v>
      </c>
      <c r="C147" s="34">
        <v>28800</v>
      </c>
      <c r="D147" s="34">
        <v>2400</v>
      </c>
      <c r="E147" s="34">
        <v>6682.0349999999999</v>
      </c>
      <c r="F147" s="34">
        <f t="shared" si="24"/>
        <v>9082.0349999999999</v>
      </c>
      <c r="G147" s="34">
        <v>0</v>
      </c>
      <c r="H147" s="34">
        <v>5101.2</v>
      </c>
      <c r="I147" s="34">
        <v>5101.2</v>
      </c>
      <c r="J147" s="34">
        <f t="shared" si="25"/>
        <v>0</v>
      </c>
      <c r="K147" s="34">
        <v>5101.2</v>
      </c>
      <c r="L147" s="34">
        <v>5101.2</v>
      </c>
      <c r="M147" s="34">
        <f t="shared" si="26"/>
        <v>0</v>
      </c>
      <c r="N147" s="34">
        <v>510.11999999999989</v>
      </c>
      <c r="O147" s="34">
        <v>510.11999999999989</v>
      </c>
      <c r="P147" s="34">
        <f t="shared" si="27"/>
        <v>0</v>
      </c>
      <c r="Q147" s="34">
        <v>1070.7150000000001</v>
      </c>
      <c r="R147" s="34">
        <v>2040.4800000000005</v>
      </c>
      <c r="S147" s="34">
        <f t="shared" si="28"/>
        <v>969.76500000000033</v>
      </c>
      <c r="T147" s="34">
        <v>0</v>
      </c>
      <c r="U147" s="34">
        <v>1638.2249999999995</v>
      </c>
      <c r="V147" s="34">
        <f t="shared" si="29"/>
        <v>1638.2249999999995</v>
      </c>
      <c r="W147" s="34">
        <v>0</v>
      </c>
      <c r="X147" s="34">
        <v>0</v>
      </c>
      <c r="Y147" s="34">
        <v>0</v>
      </c>
      <c r="Z147" s="34">
        <v>0</v>
      </c>
      <c r="AA147" s="34">
        <v>0</v>
      </c>
      <c r="AB147" s="34">
        <v>1.809727500000001</v>
      </c>
      <c r="AC147" s="34">
        <v>3.9317399999999982</v>
      </c>
      <c r="AD147" s="34">
        <v>335.02250849999996</v>
      </c>
      <c r="AE147" s="34">
        <f t="shared" si="30"/>
        <v>340.76397599999996</v>
      </c>
      <c r="AF147" s="34">
        <f t="shared" si="31"/>
        <v>5.7414674999999988</v>
      </c>
      <c r="AG147" s="34">
        <v>0</v>
      </c>
      <c r="AH147" s="34">
        <v>0</v>
      </c>
      <c r="AI147" s="34">
        <v>0</v>
      </c>
      <c r="AJ147" s="34">
        <v>0</v>
      </c>
      <c r="AK147" s="34">
        <v>0</v>
      </c>
      <c r="AL147" s="34">
        <v>0</v>
      </c>
      <c r="AM147" s="34">
        <v>0</v>
      </c>
      <c r="AN147" s="34">
        <v>8.9624600000000054</v>
      </c>
      <c r="AO147" s="34">
        <v>19.986344999999993</v>
      </c>
      <c r="AP147" s="34">
        <v>1657.1914839999999</v>
      </c>
      <c r="AQ147" s="34">
        <f t="shared" si="32"/>
        <v>1686.1402889999999</v>
      </c>
      <c r="AR147" s="34">
        <f t="shared" si="33"/>
        <v>28.948804999999993</v>
      </c>
      <c r="AS147" s="34">
        <f t="shared" si="34"/>
        <v>34.690272499999992</v>
      </c>
      <c r="AT147" t="str">
        <f t="shared" si="35"/>
        <v>OK</v>
      </c>
    </row>
    <row r="148" spans="1:46" x14ac:dyDescent="0.25">
      <c r="A148" t="s">
        <v>116</v>
      </c>
      <c r="B148" t="s">
        <v>189</v>
      </c>
      <c r="C148" s="34">
        <v>28800</v>
      </c>
      <c r="D148" s="34">
        <v>2400</v>
      </c>
      <c r="E148" s="34">
        <v>6682.0349999999999</v>
      </c>
      <c r="F148" s="34">
        <f t="shared" si="24"/>
        <v>9082.0349999999999</v>
      </c>
      <c r="G148" s="34">
        <v>0</v>
      </c>
      <c r="H148" s="34">
        <v>5101.2</v>
      </c>
      <c r="I148" s="34">
        <v>5101.2</v>
      </c>
      <c r="J148" s="34">
        <f t="shared" si="25"/>
        <v>0</v>
      </c>
      <c r="K148" s="34">
        <v>5101.2</v>
      </c>
      <c r="L148" s="34">
        <v>5101.2</v>
      </c>
      <c r="M148" s="34">
        <f t="shared" si="26"/>
        <v>0</v>
      </c>
      <c r="N148" s="34">
        <v>510.11999999999989</v>
      </c>
      <c r="O148" s="34">
        <v>510.11999999999989</v>
      </c>
      <c r="P148" s="34">
        <f t="shared" si="27"/>
        <v>0</v>
      </c>
      <c r="Q148" s="34">
        <v>1070.7150000000001</v>
      </c>
      <c r="R148" s="34">
        <v>2040.4800000000005</v>
      </c>
      <c r="S148" s="34">
        <f t="shared" si="28"/>
        <v>969.76500000000033</v>
      </c>
      <c r="T148" s="34">
        <v>0</v>
      </c>
      <c r="U148" s="34">
        <v>1638.2249999999995</v>
      </c>
      <c r="V148" s="34">
        <f t="shared" si="29"/>
        <v>1638.2249999999995</v>
      </c>
      <c r="W148" s="34">
        <v>0</v>
      </c>
      <c r="X148" s="34">
        <v>0</v>
      </c>
      <c r="Y148" s="34">
        <v>0</v>
      </c>
      <c r="Z148" s="34">
        <v>0</v>
      </c>
      <c r="AA148" s="34">
        <v>0</v>
      </c>
      <c r="AB148" s="34">
        <v>1.809727500000001</v>
      </c>
      <c r="AC148" s="34">
        <v>3.9317399999999982</v>
      </c>
      <c r="AD148" s="34">
        <v>335.02250849999996</v>
      </c>
      <c r="AE148" s="34">
        <f t="shared" si="30"/>
        <v>340.76397599999996</v>
      </c>
      <c r="AF148" s="34">
        <f t="shared" si="31"/>
        <v>5.7414674999999988</v>
      </c>
      <c r="AG148" s="34">
        <v>0</v>
      </c>
      <c r="AH148" s="34">
        <v>0</v>
      </c>
      <c r="AI148" s="34">
        <v>0</v>
      </c>
      <c r="AJ148" s="34">
        <v>0</v>
      </c>
      <c r="AK148" s="34">
        <v>0</v>
      </c>
      <c r="AL148" s="34">
        <v>0</v>
      </c>
      <c r="AM148" s="34">
        <v>0</v>
      </c>
      <c r="AN148" s="34">
        <v>8.9624600000000054</v>
      </c>
      <c r="AO148" s="34">
        <v>19.986344999999993</v>
      </c>
      <c r="AP148" s="34">
        <v>1657.1914839999999</v>
      </c>
      <c r="AQ148" s="34">
        <f t="shared" si="32"/>
        <v>1686.1402889999999</v>
      </c>
      <c r="AR148" s="34">
        <f t="shared" si="33"/>
        <v>28.948804999999993</v>
      </c>
      <c r="AS148" s="34">
        <f t="shared" si="34"/>
        <v>34.690272499999992</v>
      </c>
      <c r="AT148" t="str">
        <f t="shared" si="35"/>
        <v>OK</v>
      </c>
    </row>
    <row r="149" spans="1:46" x14ac:dyDescent="0.25">
      <c r="A149" t="s">
        <v>118</v>
      </c>
      <c r="B149" t="s">
        <v>173</v>
      </c>
      <c r="C149" s="34">
        <v>91980</v>
      </c>
      <c r="D149" s="34">
        <v>7665</v>
      </c>
      <c r="E149" s="34">
        <v>9174.0687500000004</v>
      </c>
      <c r="F149" s="34">
        <f t="shared" si="24"/>
        <v>16839.068749999999</v>
      </c>
      <c r="G149" s="34">
        <v>0</v>
      </c>
      <c r="H149" s="34">
        <v>5101.2</v>
      </c>
      <c r="I149" s="34">
        <v>5101.2</v>
      </c>
      <c r="J149" s="34">
        <f t="shared" si="25"/>
        <v>0</v>
      </c>
      <c r="K149" s="34">
        <v>5101.2</v>
      </c>
      <c r="L149" s="34">
        <v>5101.2</v>
      </c>
      <c r="M149" s="34">
        <f t="shared" si="26"/>
        <v>0</v>
      </c>
      <c r="N149" s="34">
        <v>510.11999999999989</v>
      </c>
      <c r="O149" s="34">
        <v>510.11999999999989</v>
      </c>
      <c r="P149" s="34">
        <f t="shared" si="27"/>
        <v>0</v>
      </c>
      <c r="Q149" s="34">
        <v>2040.4800000000005</v>
      </c>
      <c r="R149" s="34">
        <v>2040.4800000000005</v>
      </c>
      <c r="S149" s="34">
        <f t="shared" si="28"/>
        <v>0</v>
      </c>
      <c r="T149" s="34">
        <v>1522.2687500000002</v>
      </c>
      <c r="U149" s="34">
        <v>8563.7132500000007</v>
      </c>
      <c r="V149" s="34">
        <f t="shared" si="29"/>
        <v>7041.4445000000005</v>
      </c>
      <c r="W149" s="34">
        <v>0</v>
      </c>
      <c r="X149" s="34">
        <v>0</v>
      </c>
      <c r="Y149" s="34">
        <v>0</v>
      </c>
      <c r="Z149" s="34">
        <v>0</v>
      </c>
      <c r="AA149" s="34">
        <v>0</v>
      </c>
      <c r="AB149" s="34">
        <v>0</v>
      </c>
      <c r="AC149" s="34">
        <v>17.52</v>
      </c>
      <c r="AD149" s="34">
        <v>339.86514779999999</v>
      </c>
      <c r="AE149" s="34">
        <f t="shared" si="30"/>
        <v>357.38514779999997</v>
      </c>
      <c r="AF149" s="34">
        <f t="shared" si="31"/>
        <v>17.519999999999982</v>
      </c>
      <c r="AG149" s="34">
        <v>0</v>
      </c>
      <c r="AH149" s="34">
        <v>0</v>
      </c>
      <c r="AI149" s="34">
        <v>0</v>
      </c>
      <c r="AJ149" s="34">
        <v>0</v>
      </c>
      <c r="AK149" s="34">
        <v>0</v>
      </c>
      <c r="AL149" s="34">
        <v>0</v>
      </c>
      <c r="AM149" s="34">
        <v>0</v>
      </c>
      <c r="AN149" s="34">
        <v>0</v>
      </c>
      <c r="AO149" s="34">
        <v>89.060000000000016</v>
      </c>
      <c r="AP149" s="34">
        <v>1681.5712456499998</v>
      </c>
      <c r="AQ149" s="34">
        <f t="shared" si="32"/>
        <v>1770.6312456499998</v>
      </c>
      <c r="AR149" s="34">
        <f t="shared" si="33"/>
        <v>89.059999999999945</v>
      </c>
      <c r="AS149" s="34">
        <f t="shared" si="34"/>
        <v>106.57999999999993</v>
      </c>
      <c r="AT149" t="str">
        <f t="shared" si="35"/>
        <v>OK</v>
      </c>
    </row>
    <row r="150" spans="1:46" x14ac:dyDescent="0.25">
      <c r="A150" t="s">
        <v>118</v>
      </c>
      <c r="B150" t="s">
        <v>176</v>
      </c>
      <c r="C150" s="34">
        <v>91980</v>
      </c>
      <c r="D150" s="34">
        <v>7665</v>
      </c>
      <c r="E150" s="34">
        <v>9174.0687500000004</v>
      </c>
      <c r="F150" s="34">
        <f t="shared" si="24"/>
        <v>16839.068749999999</v>
      </c>
      <c r="G150" s="34">
        <v>0</v>
      </c>
      <c r="H150" s="34">
        <v>5101.2</v>
      </c>
      <c r="I150" s="34">
        <v>5101.2</v>
      </c>
      <c r="J150" s="34">
        <f t="shared" si="25"/>
        <v>0</v>
      </c>
      <c r="K150" s="34">
        <v>5101.2</v>
      </c>
      <c r="L150" s="34">
        <v>5101.2</v>
      </c>
      <c r="M150" s="34">
        <f t="shared" si="26"/>
        <v>0</v>
      </c>
      <c r="N150" s="34">
        <v>510.11999999999989</v>
      </c>
      <c r="O150" s="34">
        <v>510.11999999999989</v>
      </c>
      <c r="P150" s="34">
        <f t="shared" si="27"/>
        <v>0</v>
      </c>
      <c r="Q150" s="34">
        <v>2040.4800000000005</v>
      </c>
      <c r="R150" s="34">
        <v>2040.4800000000005</v>
      </c>
      <c r="S150" s="34">
        <f t="shared" si="28"/>
        <v>0</v>
      </c>
      <c r="T150" s="34">
        <v>1522.2687500000002</v>
      </c>
      <c r="U150" s="34">
        <v>8563.7132500000007</v>
      </c>
      <c r="V150" s="34">
        <f t="shared" si="29"/>
        <v>7041.4445000000005</v>
      </c>
      <c r="W150" s="34">
        <v>0</v>
      </c>
      <c r="X150" s="34">
        <v>0</v>
      </c>
      <c r="Y150" s="34">
        <v>0</v>
      </c>
      <c r="Z150" s="34">
        <v>0</v>
      </c>
      <c r="AA150" s="34">
        <v>0</v>
      </c>
      <c r="AB150" s="34">
        <v>0</v>
      </c>
      <c r="AC150" s="34">
        <v>17.52</v>
      </c>
      <c r="AD150" s="34">
        <v>339.86514779999999</v>
      </c>
      <c r="AE150" s="34">
        <f t="shared" si="30"/>
        <v>357.38514779999997</v>
      </c>
      <c r="AF150" s="34">
        <f t="shared" si="31"/>
        <v>17.519999999999982</v>
      </c>
      <c r="AG150" s="34">
        <v>0</v>
      </c>
      <c r="AH150" s="34">
        <v>0</v>
      </c>
      <c r="AI150" s="34">
        <v>0</v>
      </c>
      <c r="AJ150" s="34">
        <v>0</v>
      </c>
      <c r="AK150" s="34">
        <v>0</v>
      </c>
      <c r="AL150" s="34">
        <v>0</v>
      </c>
      <c r="AM150" s="34">
        <v>0</v>
      </c>
      <c r="AN150" s="34">
        <v>0</v>
      </c>
      <c r="AO150" s="34">
        <v>89.060000000000016</v>
      </c>
      <c r="AP150" s="34">
        <v>1681.5712456499998</v>
      </c>
      <c r="AQ150" s="34">
        <f t="shared" si="32"/>
        <v>1770.6312456499998</v>
      </c>
      <c r="AR150" s="34">
        <f t="shared" si="33"/>
        <v>89.059999999999945</v>
      </c>
      <c r="AS150" s="34">
        <f t="shared" si="34"/>
        <v>106.57999999999993</v>
      </c>
      <c r="AT150" t="str">
        <f t="shared" si="35"/>
        <v>OK</v>
      </c>
    </row>
    <row r="151" spans="1:46" x14ac:dyDescent="0.25">
      <c r="A151" t="s">
        <v>118</v>
      </c>
      <c r="B151" t="s">
        <v>177</v>
      </c>
      <c r="C151" s="34">
        <v>91980</v>
      </c>
      <c r="D151" s="34">
        <v>7665</v>
      </c>
      <c r="E151" s="34">
        <v>9174.0687500000004</v>
      </c>
      <c r="F151" s="34">
        <f t="shared" si="24"/>
        <v>16839.068749999999</v>
      </c>
      <c r="G151" s="34">
        <v>0</v>
      </c>
      <c r="H151" s="34">
        <v>5101.2</v>
      </c>
      <c r="I151" s="34">
        <v>5101.2</v>
      </c>
      <c r="J151" s="34">
        <f t="shared" si="25"/>
        <v>0</v>
      </c>
      <c r="K151" s="34">
        <v>5101.2</v>
      </c>
      <c r="L151" s="34">
        <v>5101.2</v>
      </c>
      <c r="M151" s="34">
        <f t="shared" si="26"/>
        <v>0</v>
      </c>
      <c r="N151" s="34">
        <v>510.11999999999989</v>
      </c>
      <c r="O151" s="34">
        <v>510.11999999999989</v>
      </c>
      <c r="P151" s="34">
        <f t="shared" si="27"/>
        <v>0</v>
      </c>
      <c r="Q151" s="34">
        <v>2040.4800000000005</v>
      </c>
      <c r="R151" s="34">
        <v>2040.4800000000005</v>
      </c>
      <c r="S151" s="34">
        <f t="shared" si="28"/>
        <v>0</v>
      </c>
      <c r="T151" s="34">
        <v>1522.2687500000002</v>
      </c>
      <c r="U151" s="34">
        <v>8563.7132500000007</v>
      </c>
      <c r="V151" s="34">
        <f t="shared" si="29"/>
        <v>7041.4445000000005</v>
      </c>
      <c r="W151" s="34">
        <v>0</v>
      </c>
      <c r="X151" s="34">
        <v>0</v>
      </c>
      <c r="Y151" s="34">
        <v>0</v>
      </c>
      <c r="Z151" s="34">
        <v>0</v>
      </c>
      <c r="AA151" s="34">
        <v>0</v>
      </c>
      <c r="AB151" s="34">
        <v>0</v>
      </c>
      <c r="AC151" s="34">
        <v>17.52</v>
      </c>
      <c r="AD151" s="34">
        <v>339.86514779999999</v>
      </c>
      <c r="AE151" s="34">
        <f t="shared" si="30"/>
        <v>357.38514779999997</v>
      </c>
      <c r="AF151" s="34">
        <f t="shared" si="31"/>
        <v>17.519999999999982</v>
      </c>
      <c r="AG151" s="34">
        <v>0</v>
      </c>
      <c r="AH151" s="34">
        <v>0</v>
      </c>
      <c r="AI151" s="34">
        <v>0</v>
      </c>
      <c r="AJ151" s="34">
        <v>0</v>
      </c>
      <c r="AK151" s="34">
        <v>0</v>
      </c>
      <c r="AL151" s="34">
        <v>0</v>
      </c>
      <c r="AM151" s="34">
        <v>0</v>
      </c>
      <c r="AN151" s="34">
        <v>0</v>
      </c>
      <c r="AO151" s="34">
        <v>89.060000000000016</v>
      </c>
      <c r="AP151" s="34">
        <v>1681.5712456499998</v>
      </c>
      <c r="AQ151" s="34">
        <f t="shared" si="32"/>
        <v>1770.6312456499998</v>
      </c>
      <c r="AR151" s="34">
        <f t="shared" si="33"/>
        <v>89.059999999999945</v>
      </c>
      <c r="AS151" s="34">
        <f t="shared" si="34"/>
        <v>106.57999999999993</v>
      </c>
      <c r="AT151" t="str">
        <f t="shared" si="35"/>
        <v>OK</v>
      </c>
    </row>
    <row r="152" spans="1:46" x14ac:dyDescent="0.25">
      <c r="A152" t="s">
        <v>118</v>
      </c>
      <c r="B152" t="s">
        <v>178</v>
      </c>
      <c r="C152" s="34">
        <v>91980</v>
      </c>
      <c r="D152" s="34">
        <v>7665</v>
      </c>
      <c r="E152" s="34">
        <v>9174.0687500000004</v>
      </c>
      <c r="F152" s="34">
        <f t="shared" si="24"/>
        <v>16839.068749999999</v>
      </c>
      <c r="G152" s="34">
        <v>0</v>
      </c>
      <c r="H152" s="34">
        <v>5101.2</v>
      </c>
      <c r="I152" s="34">
        <v>5101.2</v>
      </c>
      <c r="J152" s="34">
        <f t="shared" si="25"/>
        <v>0</v>
      </c>
      <c r="K152" s="34">
        <v>5101.2</v>
      </c>
      <c r="L152" s="34">
        <v>5101.2</v>
      </c>
      <c r="M152" s="34">
        <f t="shared" si="26"/>
        <v>0</v>
      </c>
      <c r="N152" s="34">
        <v>510.11999999999989</v>
      </c>
      <c r="O152" s="34">
        <v>510.11999999999989</v>
      </c>
      <c r="P152" s="34">
        <f t="shared" si="27"/>
        <v>0</v>
      </c>
      <c r="Q152" s="34">
        <v>2040.4800000000005</v>
      </c>
      <c r="R152" s="34">
        <v>2040.4800000000005</v>
      </c>
      <c r="S152" s="34">
        <f t="shared" si="28"/>
        <v>0</v>
      </c>
      <c r="T152" s="34">
        <v>1522.2687500000002</v>
      </c>
      <c r="U152" s="34">
        <v>8563.7132500000007</v>
      </c>
      <c r="V152" s="34">
        <f t="shared" si="29"/>
        <v>7041.4445000000005</v>
      </c>
      <c r="W152" s="34">
        <v>0</v>
      </c>
      <c r="X152" s="34">
        <v>0</v>
      </c>
      <c r="Y152" s="34">
        <v>0</v>
      </c>
      <c r="Z152" s="34">
        <v>0</v>
      </c>
      <c r="AA152" s="34">
        <v>0</v>
      </c>
      <c r="AB152" s="34">
        <v>0</v>
      </c>
      <c r="AC152" s="34">
        <v>17.52</v>
      </c>
      <c r="AD152" s="34">
        <v>339.86514779999999</v>
      </c>
      <c r="AE152" s="34">
        <f t="shared" si="30"/>
        <v>357.38514779999997</v>
      </c>
      <c r="AF152" s="34">
        <f t="shared" si="31"/>
        <v>17.519999999999982</v>
      </c>
      <c r="AG152" s="34">
        <v>0</v>
      </c>
      <c r="AH152" s="34">
        <v>0</v>
      </c>
      <c r="AI152" s="34">
        <v>0</v>
      </c>
      <c r="AJ152" s="34">
        <v>0</v>
      </c>
      <c r="AK152" s="34">
        <v>0</v>
      </c>
      <c r="AL152" s="34">
        <v>0</v>
      </c>
      <c r="AM152" s="34">
        <v>0</v>
      </c>
      <c r="AN152" s="34">
        <v>0</v>
      </c>
      <c r="AO152" s="34">
        <v>89.060000000000016</v>
      </c>
      <c r="AP152" s="34">
        <v>1681.5712456499998</v>
      </c>
      <c r="AQ152" s="34">
        <f t="shared" si="32"/>
        <v>1770.6312456499998</v>
      </c>
      <c r="AR152" s="34">
        <f t="shared" si="33"/>
        <v>89.059999999999945</v>
      </c>
      <c r="AS152" s="34">
        <f t="shared" si="34"/>
        <v>106.57999999999993</v>
      </c>
      <c r="AT152" t="str">
        <f t="shared" si="35"/>
        <v>OK</v>
      </c>
    </row>
    <row r="153" spans="1:46" x14ac:dyDescent="0.25">
      <c r="A153" t="s">
        <v>118</v>
      </c>
      <c r="B153" t="s">
        <v>179</v>
      </c>
      <c r="C153" s="34">
        <v>91980</v>
      </c>
      <c r="D153" s="34">
        <v>7665</v>
      </c>
      <c r="E153" s="34">
        <v>9174.0687500000004</v>
      </c>
      <c r="F153" s="34">
        <f t="shared" si="24"/>
        <v>16839.068749999999</v>
      </c>
      <c r="G153" s="34">
        <v>0</v>
      </c>
      <c r="H153" s="34">
        <v>5101.2</v>
      </c>
      <c r="I153" s="34">
        <v>5101.2</v>
      </c>
      <c r="J153" s="34">
        <f t="shared" si="25"/>
        <v>0</v>
      </c>
      <c r="K153" s="34">
        <v>5101.2</v>
      </c>
      <c r="L153" s="34">
        <v>5101.2</v>
      </c>
      <c r="M153" s="34">
        <f t="shared" si="26"/>
        <v>0</v>
      </c>
      <c r="N153" s="34">
        <v>510.11999999999989</v>
      </c>
      <c r="O153" s="34">
        <v>510.11999999999989</v>
      </c>
      <c r="P153" s="34">
        <f t="shared" si="27"/>
        <v>0</v>
      </c>
      <c r="Q153" s="34">
        <v>2040.4800000000005</v>
      </c>
      <c r="R153" s="34">
        <v>2040.4800000000005</v>
      </c>
      <c r="S153" s="34">
        <f t="shared" si="28"/>
        <v>0</v>
      </c>
      <c r="T153" s="34">
        <v>1522.2687500000002</v>
      </c>
      <c r="U153" s="34">
        <v>8563.7132500000007</v>
      </c>
      <c r="V153" s="34">
        <f t="shared" si="29"/>
        <v>7041.4445000000005</v>
      </c>
      <c r="W153" s="34">
        <v>0</v>
      </c>
      <c r="X153" s="34">
        <v>0</v>
      </c>
      <c r="Y153" s="34">
        <v>0</v>
      </c>
      <c r="Z153" s="34">
        <v>0</v>
      </c>
      <c r="AA153" s="34">
        <v>0</v>
      </c>
      <c r="AB153" s="34">
        <v>0</v>
      </c>
      <c r="AC153" s="34">
        <v>17.52</v>
      </c>
      <c r="AD153" s="34">
        <v>339.86514779999999</v>
      </c>
      <c r="AE153" s="34">
        <f t="shared" si="30"/>
        <v>357.38514779999997</v>
      </c>
      <c r="AF153" s="34">
        <f t="shared" si="31"/>
        <v>17.519999999999982</v>
      </c>
      <c r="AG153" s="34">
        <v>0</v>
      </c>
      <c r="AH153" s="34">
        <v>0</v>
      </c>
      <c r="AI153" s="34">
        <v>0</v>
      </c>
      <c r="AJ153" s="34">
        <v>0</v>
      </c>
      <c r="AK153" s="34">
        <v>0</v>
      </c>
      <c r="AL153" s="34">
        <v>0</v>
      </c>
      <c r="AM153" s="34">
        <v>0</v>
      </c>
      <c r="AN153" s="34">
        <v>0</v>
      </c>
      <c r="AO153" s="34">
        <v>89.060000000000016</v>
      </c>
      <c r="AP153" s="34">
        <v>1681.5712456499998</v>
      </c>
      <c r="AQ153" s="34">
        <f t="shared" si="32"/>
        <v>1770.6312456499998</v>
      </c>
      <c r="AR153" s="34">
        <f t="shared" si="33"/>
        <v>89.059999999999945</v>
      </c>
      <c r="AS153" s="34">
        <f t="shared" si="34"/>
        <v>106.57999999999993</v>
      </c>
      <c r="AT153" t="str">
        <f t="shared" si="35"/>
        <v>OK</v>
      </c>
    </row>
    <row r="154" spans="1:46" x14ac:dyDescent="0.25">
      <c r="A154" t="s">
        <v>118</v>
      </c>
      <c r="B154" t="s">
        <v>180</v>
      </c>
      <c r="C154" s="34">
        <v>91980</v>
      </c>
      <c r="D154" s="34">
        <v>7665</v>
      </c>
      <c r="E154" s="34">
        <v>9174.0687500000004</v>
      </c>
      <c r="F154" s="34">
        <f t="shared" si="24"/>
        <v>16839.068749999999</v>
      </c>
      <c r="G154" s="34">
        <v>0</v>
      </c>
      <c r="H154" s="34">
        <v>5101.2</v>
      </c>
      <c r="I154" s="34">
        <v>5101.2</v>
      </c>
      <c r="J154" s="34">
        <f t="shared" si="25"/>
        <v>0</v>
      </c>
      <c r="K154" s="34">
        <v>5101.2</v>
      </c>
      <c r="L154" s="34">
        <v>5101.2</v>
      </c>
      <c r="M154" s="34">
        <f t="shared" si="26"/>
        <v>0</v>
      </c>
      <c r="N154" s="34">
        <v>510.11999999999989</v>
      </c>
      <c r="O154" s="34">
        <v>510.11999999999989</v>
      </c>
      <c r="P154" s="34">
        <f t="shared" si="27"/>
        <v>0</v>
      </c>
      <c r="Q154" s="34">
        <v>2040.4800000000005</v>
      </c>
      <c r="R154" s="34">
        <v>2040.4800000000005</v>
      </c>
      <c r="S154" s="34">
        <f t="shared" si="28"/>
        <v>0</v>
      </c>
      <c r="T154" s="34">
        <v>1522.2687500000002</v>
      </c>
      <c r="U154" s="34">
        <v>8563.7132500000007</v>
      </c>
      <c r="V154" s="34">
        <f t="shared" si="29"/>
        <v>7041.4445000000005</v>
      </c>
      <c r="W154" s="34">
        <v>0</v>
      </c>
      <c r="X154" s="34">
        <v>0</v>
      </c>
      <c r="Y154" s="34">
        <v>0</v>
      </c>
      <c r="Z154" s="34">
        <v>0</v>
      </c>
      <c r="AA154" s="34">
        <v>0</v>
      </c>
      <c r="AB154" s="34">
        <v>0</v>
      </c>
      <c r="AC154" s="34">
        <v>17.52</v>
      </c>
      <c r="AD154" s="34">
        <v>339.86514779999999</v>
      </c>
      <c r="AE154" s="34">
        <f t="shared" si="30"/>
        <v>357.38514779999997</v>
      </c>
      <c r="AF154" s="34">
        <f t="shared" si="31"/>
        <v>17.519999999999982</v>
      </c>
      <c r="AG154" s="34">
        <v>0</v>
      </c>
      <c r="AH154" s="34">
        <v>0</v>
      </c>
      <c r="AI154" s="34">
        <v>0</v>
      </c>
      <c r="AJ154" s="34">
        <v>0</v>
      </c>
      <c r="AK154" s="34">
        <v>0</v>
      </c>
      <c r="AL154" s="34">
        <v>0</v>
      </c>
      <c r="AM154" s="34">
        <v>0</v>
      </c>
      <c r="AN154" s="34">
        <v>0</v>
      </c>
      <c r="AO154" s="34">
        <v>89.060000000000016</v>
      </c>
      <c r="AP154" s="34">
        <v>1681.5712456499998</v>
      </c>
      <c r="AQ154" s="34">
        <f t="shared" si="32"/>
        <v>1770.6312456499998</v>
      </c>
      <c r="AR154" s="34">
        <f t="shared" si="33"/>
        <v>89.059999999999945</v>
      </c>
      <c r="AS154" s="34">
        <f t="shared" si="34"/>
        <v>106.57999999999993</v>
      </c>
      <c r="AT154" t="str">
        <f t="shared" si="35"/>
        <v>OK</v>
      </c>
    </row>
    <row r="155" spans="1:46" x14ac:dyDescent="0.25">
      <c r="A155" t="s">
        <v>118</v>
      </c>
      <c r="B155" t="s">
        <v>183</v>
      </c>
      <c r="C155" s="34">
        <v>91980</v>
      </c>
      <c r="D155" s="34">
        <v>7665</v>
      </c>
      <c r="E155" s="34">
        <v>9174.0687500000004</v>
      </c>
      <c r="F155" s="34">
        <f t="shared" si="24"/>
        <v>16839.068749999999</v>
      </c>
      <c r="G155" s="34">
        <v>0</v>
      </c>
      <c r="H155" s="34">
        <v>5101.2</v>
      </c>
      <c r="I155" s="34">
        <v>5101.2</v>
      </c>
      <c r="J155" s="34">
        <f t="shared" si="25"/>
        <v>0</v>
      </c>
      <c r="K155" s="34">
        <v>5101.2</v>
      </c>
      <c r="L155" s="34">
        <v>5101.2</v>
      </c>
      <c r="M155" s="34">
        <f t="shared" si="26"/>
        <v>0</v>
      </c>
      <c r="N155" s="34">
        <v>510.11999999999989</v>
      </c>
      <c r="O155" s="34">
        <v>510.11999999999989</v>
      </c>
      <c r="P155" s="34">
        <f t="shared" si="27"/>
        <v>0</v>
      </c>
      <c r="Q155" s="34">
        <v>2040.4800000000005</v>
      </c>
      <c r="R155" s="34">
        <v>2040.4800000000005</v>
      </c>
      <c r="S155" s="34">
        <f t="shared" si="28"/>
        <v>0</v>
      </c>
      <c r="T155" s="34">
        <v>1522.2687500000002</v>
      </c>
      <c r="U155" s="34">
        <v>8563.7132500000007</v>
      </c>
      <c r="V155" s="34">
        <f t="shared" si="29"/>
        <v>7041.4445000000005</v>
      </c>
      <c r="W155" s="34">
        <v>0</v>
      </c>
      <c r="X155" s="34">
        <v>0</v>
      </c>
      <c r="Y155" s="34">
        <v>0</v>
      </c>
      <c r="Z155" s="34">
        <v>0</v>
      </c>
      <c r="AA155" s="34">
        <v>0</v>
      </c>
      <c r="AB155" s="34">
        <v>0</v>
      </c>
      <c r="AC155" s="34">
        <v>17.52</v>
      </c>
      <c r="AD155" s="34">
        <v>339.86514779999999</v>
      </c>
      <c r="AE155" s="34">
        <f t="shared" si="30"/>
        <v>357.38514779999997</v>
      </c>
      <c r="AF155" s="34">
        <f t="shared" si="31"/>
        <v>17.519999999999982</v>
      </c>
      <c r="AG155" s="34">
        <v>0</v>
      </c>
      <c r="AH155" s="34">
        <v>0</v>
      </c>
      <c r="AI155" s="34">
        <v>0</v>
      </c>
      <c r="AJ155" s="34">
        <v>0</v>
      </c>
      <c r="AK155" s="34">
        <v>0</v>
      </c>
      <c r="AL155" s="34">
        <v>0</v>
      </c>
      <c r="AM155" s="34">
        <v>0</v>
      </c>
      <c r="AN155" s="34">
        <v>0</v>
      </c>
      <c r="AO155" s="34">
        <v>89.060000000000016</v>
      </c>
      <c r="AP155" s="34">
        <v>1681.5712456499998</v>
      </c>
      <c r="AQ155" s="34">
        <f t="shared" si="32"/>
        <v>1770.6312456499998</v>
      </c>
      <c r="AR155" s="34">
        <f t="shared" si="33"/>
        <v>89.059999999999945</v>
      </c>
      <c r="AS155" s="34">
        <f t="shared" si="34"/>
        <v>106.57999999999993</v>
      </c>
      <c r="AT155" t="str">
        <f t="shared" si="35"/>
        <v>OK</v>
      </c>
    </row>
    <row r="156" spans="1:46" x14ac:dyDescent="0.25">
      <c r="A156" t="s">
        <v>118</v>
      </c>
      <c r="B156" t="s">
        <v>184</v>
      </c>
      <c r="C156" s="34">
        <v>91980</v>
      </c>
      <c r="D156" s="34">
        <v>7665</v>
      </c>
      <c r="E156" s="34">
        <v>9174.0687500000004</v>
      </c>
      <c r="F156" s="34">
        <f t="shared" si="24"/>
        <v>16839.068749999999</v>
      </c>
      <c r="G156" s="34">
        <v>0</v>
      </c>
      <c r="H156" s="34">
        <v>5101.2</v>
      </c>
      <c r="I156" s="34">
        <v>5101.2</v>
      </c>
      <c r="J156" s="34">
        <f t="shared" si="25"/>
        <v>0</v>
      </c>
      <c r="K156" s="34">
        <v>5101.2</v>
      </c>
      <c r="L156" s="34">
        <v>5101.2</v>
      </c>
      <c r="M156" s="34">
        <f t="shared" si="26"/>
        <v>0</v>
      </c>
      <c r="N156" s="34">
        <v>510.11999999999989</v>
      </c>
      <c r="O156" s="34">
        <v>510.11999999999989</v>
      </c>
      <c r="P156" s="34">
        <f t="shared" si="27"/>
        <v>0</v>
      </c>
      <c r="Q156" s="34">
        <v>2040.4800000000005</v>
      </c>
      <c r="R156" s="34">
        <v>2040.4800000000005</v>
      </c>
      <c r="S156" s="34">
        <f t="shared" si="28"/>
        <v>0</v>
      </c>
      <c r="T156" s="34">
        <v>1522.2687500000002</v>
      </c>
      <c r="U156" s="34">
        <v>8563.7132500000007</v>
      </c>
      <c r="V156" s="34">
        <f t="shared" si="29"/>
        <v>7041.4445000000005</v>
      </c>
      <c r="W156" s="34">
        <v>0</v>
      </c>
      <c r="X156" s="34">
        <v>0</v>
      </c>
      <c r="Y156" s="34">
        <v>0</v>
      </c>
      <c r="Z156" s="34">
        <v>0</v>
      </c>
      <c r="AA156" s="34">
        <v>0</v>
      </c>
      <c r="AB156" s="34">
        <v>0</v>
      </c>
      <c r="AC156" s="34">
        <v>17.52</v>
      </c>
      <c r="AD156" s="34">
        <v>339.86514779999999</v>
      </c>
      <c r="AE156" s="34">
        <f t="shared" si="30"/>
        <v>357.38514779999997</v>
      </c>
      <c r="AF156" s="34">
        <f t="shared" si="31"/>
        <v>17.519999999999982</v>
      </c>
      <c r="AG156" s="34">
        <v>0</v>
      </c>
      <c r="AH156" s="34">
        <v>0</v>
      </c>
      <c r="AI156" s="34">
        <v>0</v>
      </c>
      <c r="AJ156" s="34">
        <v>0</v>
      </c>
      <c r="AK156" s="34">
        <v>0</v>
      </c>
      <c r="AL156" s="34">
        <v>0</v>
      </c>
      <c r="AM156" s="34">
        <v>0</v>
      </c>
      <c r="AN156" s="34">
        <v>0</v>
      </c>
      <c r="AO156" s="34">
        <v>89.060000000000016</v>
      </c>
      <c r="AP156" s="34">
        <v>1681.5712456499998</v>
      </c>
      <c r="AQ156" s="34">
        <f t="shared" si="32"/>
        <v>1770.6312456499998</v>
      </c>
      <c r="AR156" s="34">
        <f t="shared" si="33"/>
        <v>89.059999999999945</v>
      </c>
      <c r="AS156" s="34">
        <f t="shared" si="34"/>
        <v>106.57999999999993</v>
      </c>
      <c r="AT156" t="str">
        <f t="shared" si="35"/>
        <v>OK</v>
      </c>
    </row>
    <row r="157" spans="1:46" x14ac:dyDescent="0.25">
      <c r="A157" t="s">
        <v>118</v>
      </c>
      <c r="B157" t="s">
        <v>185</v>
      </c>
      <c r="C157" s="34">
        <v>91980</v>
      </c>
      <c r="D157" s="34">
        <v>7665</v>
      </c>
      <c r="E157" s="34">
        <v>9174.0687500000004</v>
      </c>
      <c r="F157" s="34">
        <f t="shared" si="24"/>
        <v>16839.068749999999</v>
      </c>
      <c r="G157" s="34">
        <v>0</v>
      </c>
      <c r="H157" s="34">
        <v>5101.2</v>
      </c>
      <c r="I157" s="34">
        <v>5101.2</v>
      </c>
      <c r="J157" s="34">
        <f t="shared" si="25"/>
        <v>0</v>
      </c>
      <c r="K157" s="34">
        <v>5101.2</v>
      </c>
      <c r="L157" s="34">
        <v>5101.2</v>
      </c>
      <c r="M157" s="34">
        <f t="shared" si="26"/>
        <v>0</v>
      </c>
      <c r="N157" s="34">
        <v>510.11999999999989</v>
      </c>
      <c r="O157" s="34">
        <v>510.11999999999989</v>
      </c>
      <c r="P157" s="34">
        <f t="shared" si="27"/>
        <v>0</v>
      </c>
      <c r="Q157" s="34">
        <v>2040.4800000000005</v>
      </c>
      <c r="R157" s="34">
        <v>2040.4800000000005</v>
      </c>
      <c r="S157" s="34">
        <f t="shared" si="28"/>
        <v>0</v>
      </c>
      <c r="T157" s="34">
        <v>1522.2687500000002</v>
      </c>
      <c r="U157" s="34">
        <v>8563.7132500000007</v>
      </c>
      <c r="V157" s="34">
        <f t="shared" si="29"/>
        <v>7041.4445000000005</v>
      </c>
      <c r="W157" s="34">
        <v>0</v>
      </c>
      <c r="X157" s="34">
        <v>0</v>
      </c>
      <c r="Y157" s="34">
        <v>0</v>
      </c>
      <c r="Z157" s="34">
        <v>0</v>
      </c>
      <c r="AA157" s="34">
        <v>0</v>
      </c>
      <c r="AB157" s="34">
        <v>0</v>
      </c>
      <c r="AC157" s="34">
        <v>17.52</v>
      </c>
      <c r="AD157" s="34">
        <v>339.86514779999999</v>
      </c>
      <c r="AE157" s="34">
        <f t="shared" si="30"/>
        <v>357.38514779999997</v>
      </c>
      <c r="AF157" s="34">
        <f t="shared" si="31"/>
        <v>17.519999999999982</v>
      </c>
      <c r="AG157" s="34">
        <v>0</v>
      </c>
      <c r="AH157" s="34">
        <v>0</v>
      </c>
      <c r="AI157" s="34">
        <v>0</v>
      </c>
      <c r="AJ157" s="34">
        <v>0</v>
      </c>
      <c r="AK157" s="34">
        <v>0</v>
      </c>
      <c r="AL157" s="34">
        <v>0</v>
      </c>
      <c r="AM157" s="34">
        <v>0</v>
      </c>
      <c r="AN157" s="34">
        <v>0</v>
      </c>
      <c r="AO157" s="34">
        <v>89.060000000000016</v>
      </c>
      <c r="AP157" s="34">
        <v>1681.5712456499998</v>
      </c>
      <c r="AQ157" s="34">
        <f t="shared" si="32"/>
        <v>1770.6312456499998</v>
      </c>
      <c r="AR157" s="34">
        <f t="shared" si="33"/>
        <v>89.059999999999945</v>
      </c>
      <c r="AS157" s="34">
        <f t="shared" si="34"/>
        <v>106.57999999999993</v>
      </c>
      <c r="AT157" t="str">
        <f t="shared" si="35"/>
        <v>OK</v>
      </c>
    </row>
    <row r="158" spans="1:46" x14ac:dyDescent="0.25">
      <c r="A158" t="s">
        <v>118</v>
      </c>
      <c r="B158" t="s">
        <v>186</v>
      </c>
      <c r="C158" s="34">
        <v>91980</v>
      </c>
      <c r="D158" s="34">
        <v>7665</v>
      </c>
      <c r="E158" s="34">
        <v>9174.0687500000004</v>
      </c>
      <c r="F158" s="34">
        <f t="shared" si="24"/>
        <v>16839.068749999999</v>
      </c>
      <c r="G158" s="34">
        <v>0</v>
      </c>
      <c r="H158" s="34">
        <v>5101.2</v>
      </c>
      <c r="I158" s="34">
        <v>5101.2</v>
      </c>
      <c r="J158" s="34">
        <f t="shared" si="25"/>
        <v>0</v>
      </c>
      <c r="K158" s="34">
        <v>5101.2</v>
      </c>
      <c r="L158" s="34">
        <v>5101.2</v>
      </c>
      <c r="M158" s="34">
        <f t="shared" si="26"/>
        <v>0</v>
      </c>
      <c r="N158" s="34">
        <v>510.11999999999989</v>
      </c>
      <c r="O158" s="34">
        <v>510.11999999999989</v>
      </c>
      <c r="P158" s="34">
        <f t="shared" si="27"/>
        <v>0</v>
      </c>
      <c r="Q158" s="34">
        <v>2040.4800000000005</v>
      </c>
      <c r="R158" s="34">
        <v>2040.4800000000005</v>
      </c>
      <c r="S158" s="34">
        <f t="shared" si="28"/>
        <v>0</v>
      </c>
      <c r="T158" s="34">
        <v>1522.2687500000002</v>
      </c>
      <c r="U158" s="34">
        <v>8563.7132500000007</v>
      </c>
      <c r="V158" s="34">
        <f t="shared" si="29"/>
        <v>7041.4445000000005</v>
      </c>
      <c r="W158" s="34">
        <v>0</v>
      </c>
      <c r="X158" s="34">
        <v>0</v>
      </c>
      <c r="Y158" s="34">
        <v>0</v>
      </c>
      <c r="Z158" s="34">
        <v>0</v>
      </c>
      <c r="AA158" s="34">
        <v>0</v>
      </c>
      <c r="AB158" s="34">
        <v>0</v>
      </c>
      <c r="AC158" s="34">
        <v>17.52</v>
      </c>
      <c r="AD158" s="34">
        <v>339.86514779999999</v>
      </c>
      <c r="AE158" s="34">
        <f t="shared" si="30"/>
        <v>357.38514779999997</v>
      </c>
      <c r="AF158" s="34">
        <f t="shared" si="31"/>
        <v>17.519999999999982</v>
      </c>
      <c r="AG158" s="34">
        <v>0</v>
      </c>
      <c r="AH158" s="34">
        <v>0</v>
      </c>
      <c r="AI158" s="34">
        <v>0</v>
      </c>
      <c r="AJ158" s="34">
        <v>0</v>
      </c>
      <c r="AK158" s="34">
        <v>0</v>
      </c>
      <c r="AL158" s="34">
        <v>0</v>
      </c>
      <c r="AM158" s="34">
        <v>0</v>
      </c>
      <c r="AN158" s="34">
        <v>0</v>
      </c>
      <c r="AO158" s="34">
        <v>89.060000000000016</v>
      </c>
      <c r="AP158" s="34">
        <v>1681.5712456499998</v>
      </c>
      <c r="AQ158" s="34">
        <f t="shared" si="32"/>
        <v>1770.6312456499998</v>
      </c>
      <c r="AR158" s="34">
        <f t="shared" si="33"/>
        <v>89.059999999999945</v>
      </c>
      <c r="AS158" s="34">
        <f t="shared" si="34"/>
        <v>106.57999999999993</v>
      </c>
      <c r="AT158" t="str">
        <f t="shared" si="35"/>
        <v>OK</v>
      </c>
    </row>
    <row r="159" spans="1:46" x14ac:dyDescent="0.25">
      <c r="A159" t="s">
        <v>118</v>
      </c>
      <c r="B159" t="s">
        <v>187</v>
      </c>
      <c r="C159" s="34">
        <v>91980</v>
      </c>
      <c r="D159" s="34">
        <v>7665</v>
      </c>
      <c r="E159" s="34">
        <v>9174.0687500000004</v>
      </c>
      <c r="F159" s="34">
        <f t="shared" si="24"/>
        <v>16839.068749999999</v>
      </c>
      <c r="G159" s="34">
        <v>0</v>
      </c>
      <c r="H159" s="34">
        <v>5101.2</v>
      </c>
      <c r="I159" s="34">
        <v>5101.2</v>
      </c>
      <c r="J159" s="34">
        <f t="shared" si="25"/>
        <v>0</v>
      </c>
      <c r="K159" s="34">
        <v>5101.2</v>
      </c>
      <c r="L159" s="34">
        <v>5101.2</v>
      </c>
      <c r="M159" s="34">
        <f t="shared" si="26"/>
        <v>0</v>
      </c>
      <c r="N159" s="34">
        <v>510.11999999999989</v>
      </c>
      <c r="O159" s="34">
        <v>510.11999999999989</v>
      </c>
      <c r="P159" s="34">
        <f t="shared" si="27"/>
        <v>0</v>
      </c>
      <c r="Q159" s="34">
        <v>2040.4800000000005</v>
      </c>
      <c r="R159" s="34">
        <v>2040.4800000000005</v>
      </c>
      <c r="S159" s="34">
        <f t="shared" si="28"/>
        <v>0</v>
      </c>
      <c r="T159" s="34">
        <v>1522.2687500000002</v>
      </c>
      <c r="U159" s="34">
        <v>8563.7132500000007</v>
      </c>
      <c r="V159" s="34">
        <f t="shared" si="29"/>
        <v>7041.4445000000005</v>
      </c>
      <c r="W159" s="34">
        <v>0</v>
      </c>
      <c r="X159" s="34">
        <v>0</v>
      </c>
      <c r="Y159" s="34">
        <v>0</v>
      </c>
      <c r="Z159" s="34">
        <v>0</v>
      </c>
      <c r="AA159" s="34">
        <v>0</v>
      </c>
      <c r="AB159" s="34">
        <v>0</v>
      </c>
      <c r="AC159" s="34">
        <v>17.52</v>
      </c>
      <c r="AD159" s="34">
        <v>339.86514779999999</v>
      </c>
      <c r="AE159" s="34">
        <f t="shared" si="30"/>
        <v>357.38514779999997</v>
      </c>
      <c r="AF159" s="34">
        <f t="shared" si="31"/>
        <v>17.519999999999982</v>
      </c>
      <c r="AG159" s="34">
        <v>0</v>
      </c>
      <c r="AH159" s="34">
        <v>0</v>
      </c>
      <c r="AI159" s="34">
        <v>0</v>
      </c>
      <c r="AJ159" s="34">
        <v>0</v>
      </c>
      <c r="AK159" s="34">
        <v>0</v>
      </c>
      <c r="AL159" s="34">
        <v>0</v>
      </c>
      <c r="AM159" s="34">
        <v>0</v>
      </c>
      <c r="AN159" s="34">
        <v>0</v>
      </c>
      <c r="AO159" s="34">
        <v>89.060000000000016</v>
      </c>
      <c r="AP159" s="34">
        <v>1681.5712456499998</v>
      </c>
      <c r="AQ159" s="34">
        <f t="shared" si="32"/>
        <v>1770.6312456499998</v>
      </c>
      <c r="AR159" s="34">
        <f t="shared" si="33"/>
        <v>89.059999999999945</v>
      </c>
      <c r="AS159" s="34">
        <f t="shared" si="34"/>
        <v>106.57999999999993</v>
      </c>
      <c r="AT159" t="str">
        <f t="shared" si="35"/>
        <v>OK</v>
      </c>
    </row>
    <row r="160" spans="1:46" x14ac:dyDescent="0.25">
      <c r="A160" t="s">
        <v>118</v>
      </c>
      <c r="B160" t="s">
        <v>189</v>
      </c>
      <c r="C160" s="34">
        <v>91980</v>
      </c>
      <c r="D160" s="34">
        <v>7665</v>
      </c>
      <c r="E160" s="34">
        <v>9174.0687500000004</v>
      </c>
      <c r="F160" s="34">
        <f t="shared" si="24"/>
        <v>16839.068749999999</v>
      </c>
      <c r="G160" s="34">
        <v>0</v>
      </c>
      <c r="H160" s="34">
        <v>5101.2</v>
      </c>
      <c r="I160" s="34">
        <v>5101.2</v>
      </c>
      <c r="J160" s="34">
        <f t="shared" si="25"/>
        <v>0</v>
      </c>
      <c r="K160" s="34">
        <v>5101.2</v>
      </c>
      <c r="L160" s="34">
        <v>5101.2</v>
      </c>
      <c r="M160" s="34">
        <f t="shared" si="26"/>
        <v>0</v>
      </c>
      <c r="N160" s="34">
        <v>510.11999999999989</v>
      </c>
      <c r="O160" s="34">
        <v>510.11999999999989</v>
      </c>
      <c r="P160" s="34">
        <f t="shared" si="27"/>
        <v>0</v>
      </c>
      <c r="Q160" s="34">
        <v>2040.4800000000005</v>
      </c>
      <c r="R160" s="34">
        <v>2040.4800000000005</v>
      </c>
      <c r="S160" s="34">
        <f t="shared" si="28"/>
        <v>0</v>
      </c>
      <c r="T160" s="34">
        <v>1522.2687500000002</v>
      </c>
      <c r="U160" s="34">
        <v>8563.7132500000007</v>
      </c>
      <c r="V160" s="34">
        <f t="shared" si="29"/>
        <v>7041.4445000000005</v>
      </c>
      <c r="W160" s="34">
        <v>0</v>
      </c>
      <c r="X160" s="34">
        <v>0</v>
      </c>
      <c r="Y160" s="34">
        <v>0</v>
      </c>
      <c r="Z160" s="34">
        <v>0</v>
      </c>
      <c r="AA160" s="34">
        <v>0</v>
      </c>
      <c r="AB160" s="34">
        <v>0</v>
      </c>
      <c r="AC160" s="34">
        <v>17.52</v>
      </c>
      <c r="AD160" s="34">
        <v>339.86514779999999</v>
      </c>
      <c r="AE160" s="34">
        <f t="shared" si="30"/>
        <v>357.38514779999997</v>
      </c>
      <c r="AF160" s="34">
        <f t="shared" si="31"/>
        <v>17.519999999999982</v>
      </c>
      <c r="AG160" s="34">
        <v>0</v>
      </c>
      <c r="AH160" s="34">
        <v>0</v>
      </c>
      <c r="AI160" s="34">
        <v>0</v>
      </c>
      <c r="AJ160" s="34">
        <v>0</v>
      </c>
      <c r="AK160" s="34">
        <v>0</v>
      </c>
      <c r="AL160" s="34">
        <v>0</v>
      </c>
      <c r="AM160" s="34">
        <v>0</v>
      </c>
      <c r="AN160" s="34">
        <v>0</v>
      </c>
      <c r="AO160" s="34">
        <v>89.060000000000016</v>
      </c>
      <c r="AP160" s="34">
        <v>1681.5712456499998</v>
      </c>
      <c r="AQ160" s="34">
        <f t="shared" si="32"/>
        <v>1770.6312456499998</v>
      </c>
      <c r="AR160" s="34">
        <f t="shared" si="33"/>
        <v>89.059999999999945</v>
      </c>
      <c r="AS160" s="34">
        <f t="shared" si="34"/>
        <v>106.57999999999993</v>
      </c>
      <c r="AT160" t="str">
        <f t="shared" si="35"/>
        <v>OK</v>
      </c>
    </row>
    <row r="161" spans="1:46" x14ac:dyDescent="0.25">
      <c r="A161" t="s">
        <v>120</v>
      </c>
      <c r="B161" t="s">
        <v>173</v>
      </c>
      <c r="C161" s="34">
        <v>16740</v>
      </c>
      <c r="D161" s="34">
        <v>1395</v>
      </c>
      <c r="E161" s="34">
        <v>7009.4453333333331</v>
      </c>
      <c r="F161" s="34">
        <f t="shared" si="24"/>
        <v>8404.4453333333331</v>
      </c>
      <c r="G161" s="34">
        <v>0</v>
      </c>
      <c r="H161" s="34">
        <v>5101.2</v>
      </c>
      <c r="I161" s="34">
        <v>5101.2</v>
      </c>
      <c r="J161" s="34">
        <f t="shared" si="25"/>
        <v>0</v>
      </c>
      <c r="K161" s="34">
        <v>5101.2</v>
      </c>
      <c r="L161" s="34">
        <v>5101.2</v>
      </c>
      <c r="M161" s="34">
        <f t="shared" si="26"/>
        <v>0</v>
      </c>
      <c r="N161" s="34">
        <v>510.11999999999989</v>
      </c>
      <c r="O161" s="34">
        <v>510.11999999999989</v>
      </c>
      <c r="P161" s="34">
        <f t="shared" si="27"/>
        <v>0</v>
      </c>
      <c r="Q161" s="34">
        <v>1398.1253333333334</v>
      </c>
      <c r="R161" s="34">
        <v>2040.4800000000005</v>
      </c>
      <c r="S161" s="34">
        <f t="shared" si="28"/>
        <v>642.35466666666707</v>
      </c>
      <c r="T161" s="34">
        <v>0</v>
      </c>
      <c r="U161" s="34">
        <v>1037.3702400000011</v>
      </c>
      <c r="V161" s="34">
        <f t="shared" si="29"/>
        <v>1037.3702400000011</v>
      </c>
      <c r="W161" s="34">
        <v>0</v>
      </c>
      <c r="X161" s="34">
        <v>0</v>
      </c>
      <c r="Y161" s="34">
        <v>0</v>
      </c>
      <c r="Z161" s="34">
        <v>0</v>
      </c>
      <c r="AA161" s="34">
        <v>0</v>
      </c>
      <c r="AB161" s="34">
        <v>0.97152249599999763</v>
      </c>
      <c r="AC161" s="34">
        <v>2.4896885760000025</v>
      </c>
      <c r="AD161" s="34">
        <v>335.86071350399999</v>
      </c>
      <c r="AE161" s="34">
        <f t="shared" si="30"/>
        <v>339.32192457600001</v>
      </c>
      <c r="AF161" s="34">
        <f t="shared" si="31"/>
        <v>3.461211072000026</v>
      </c>
      <c r="AG161" s="34">
        <v>0</v>
      </c>
      <c r="AH161" s="34">
        <v>0</v>
      </c>
      <c r="AI161" s="34">
        <v>0</v>
      </c>
      <c r="AJ161" s="34">
        <v>0</v>
      </c>
      <c r="AK161" s="34">
        <v>0</v>
      </c>
      <c r="AL161" s="34">
        <v>0</v>
      </c>
      <c r="AM161" s="34">
        <v>0</v>
      </c>
      <c r="AN161" s="34">
        <v>4.8113495039999883</v>
      </c>
      <c r="AO161" s="34">
        <v>12.655916928000014</v>
      </c>
      <c r="AP161" s="34">
        <v>1661.3425944959999</v>
      </c>
      <c r="AQ161" s="34">
        <f t="shared" si="32"/>
        <v>1678.809860928</v>
      </c>
      <c r="AR161" s="34">
        <f t="shared" si="33"/>
        <v>17.467266432000088</v>
      </c>
      <c r="AS161" s="34">
        <f t="shared" si="34"/>
        <v>20.928477504000114</v>
      </c>
      <c r="AT161" t="str">
        <f t="shared" si="35"/>
        <v>OK</v>
      </c>
    </row>
    <row r="162" spans="1:46" x14ac:dyDescent="0.25">
      <c r="A162" t="s">
        <v>120</v>
      </c>
      <c r="B162" t="s">
        <v>176</v>
      </c>
      <c r="C162" s="34">
        <v>16740</v>
      </c>
      <c r="D162" s="34">
        <v>1395</v>
      </c>
      <c r="E162" s="34">
        <v>7009.4453333333331</v>
      </c>
      <c r="F162" s="34">
        <f t="shared" si="24"/>
        <v>8404.4453333333331</v>
      </c>
      <c r="G162" s="34">
        <v>0</v>
      </c>
      <c r="H162" s="34">
        <v>5101.2</v>
      </c>
      <c r="I162" s="34">
        <v>5101.2</v>
      </c>
      <c r="J162" s="34">
        <f t="shared" si="25"/>
        <v>0</v>
      </c>
      <c r="K162" s="34">
        <v>5101.2</v>
      </c>
      <c r="L162" s="34">
        <v>5101.2</v>
      </c>
      <c r="M162" s="34">
        <f t="shared" si="26"/>
        <v>0</v>
      </c>
      <c r="N162" s="34">
        <v>510.11999999999989</v>
      </c>
      <c r="O162" s="34">
        <v>510.11999999999989</v>
      </c>
      <c r="P162" s="34">
        <f t="shared" si="27"/>
        <v>0</v>
      </c>
      <c r="Q162" s="34">
        <v>1398.1253333333334</v>
      </c>
      <c r="R162" s="34">
        <v>2040.4800000000005</v>
      </c>
      <c r="S162" s="34">
        <f t="shared" si="28"/>
        <v>642.35466666666707</v>
      </c>
      <c r="T162" s="34">
        <v>0</v>
      </c>
      <c r="U162" s="34">
        <v>1037.3702400000011</v>
      </c>
      <c r="V162" s="34">
        <f t="shared" si="29"/>
        <v>1037.3702400000011</v>
      </c>
      <c r="W162" s="34">
        <v>0</v>
      </c>
      <c r="X162" s="34">
        <v>0</v>
      </c>
      <c r="Y162" s="34">
        <v>0</v>
      </c>
      <c r="Z162" s="34">
        <v>0</v>
      </c>
      <c r="AA162" s="34">
        <v>0</v>
      </c>
      <c r="AB162" s="34">
        <v>0.97152249599999763</v>
      </c>
      <c r="AC162" s="34">
        <v>2.4896885760000025</v>
      </c>
      <c r="AD162" s="34">
        <v>335.86071350399999</v>
      </c>
      <c r="AE162" s="34">
        <f t="shared" si="30"/>
        <v>339.32192457600001</v>
      </c>
      <c r="AF162" s="34">
        <f t="shared" si="31"/>
        <v>3.461211072000026</v>
      </c>
      <c r="AG162" s="34">
        <v>0</v>
      </c>
      <c r="AH162" s="34">
        <v>0</v>
      </c>
      <c r="AI162" s="34">
        <v>0</v>
      </c>
      <c r="AJ162" s="34">
        <v>0</v>
      </c>
      <c r="AK162" s="34">
        <v>0</v>
      </c>
      <c r="AL162" s="34">
        <v>0</v>
      </c>
      <c r="AM162" s="34">
        <v>0</v>
      </c>
      <c r="AN162" s="34">
        <v>4.8113495039999883</v>
      </c>
      <c r="AO162" s="34">
        <v>12.655916928000014</v>
      </c>
      <c r="AP162" s="34">
        <v>1661.3425944959999</v>
      </c>
      <c r="AQ162" s="34">
        <f t="shared" si="32"/>
        <v>1678.809860928</v>
      </c>
      <c r="AR162" s="34">
        <f t="shared" si="33"/>
        <v>17.467266432000088</v>
      </c>
      <c r="AS162" s="34">
        <f t="shared" si="34"/>
        <v>20.928477504000114</v>
      </c>
      <c r="AT162" t="str">
        <f t="shared" si="35"/>
        <v>OK</v>
      </c>
    </row>
    <row r="163" spans="1:46" x14ac:dyDescent="0.25">
      <c r="A163" t="s">
        <v>120</v>
      </c>
      <c r="B163" t="s">
        <v>177</v>
      </c>
      <c r="C163" s="34">
        <v>16740</v>
      </c>
      <c r="D163" s="34">
        <v>1395</v>
      </c>
      <c r="E163" s="34">
        <v>7009.4453333333331</v>
      </c>
      <c r="F163" s="34">
        <f t="shared" si="24"/>
        <v>8404.4453333333331</v>
      </c>
      <c r="G163" s="34">
        <v>0</v>
      </c>
      <c r="H163" s="34">
        <v>5101.2</v>
      </c>
      <c r="I163" s="34">
        <v>5101.2</v>
      </c>
      <c r="J163" s="34">
        <f t="shared" si="25"/>
        <v>0</v>
      </c>
      <c r="K163" s="34">
        <v>5101.2</v>
      </c>
      <c r="L163" s="34">
        <v>5101.2</v>
      </c>
      <c r="M163" s="34">
        <f t="shared" si="26"/>
        <v>0</v>
      </c>
      <c r="N163" s="34">
        <v>510.11999999999989</v>
      </c>
      <c r="O163" s="34">
        <v>510.11999999999989</v>
      </c>
      <c r="P163" s="34">
        <f t="shared" si="27"/>
        <v>0</v>
      </c>
      <c r="Q163" s="34">
        <v>1398.1253333333334</v>
      </c>
      <c r="R163" s="34">
        <v>2040.4800000000005</v>
      </c>
      <c r="S163" s="34">
        <f t="shared" si="28"/>
        <v>642.35466666666707</v>
      </c>
      <c r="T163" s="34">
        <v>0</v>
      </c>
      <c r="U163" s="34">
        <v>1037.3702400000011</v>
      </c>
      <c r="V163" s="34">
        <f t="shared" si="29"/>
        <v>1037.3702400000011</v>
      </c>
      <c r="W163" s="34">
        <v>0</v>
      </c>
      <c r="X163" s="34">
        <v>0</v>
      </c>
      <c r="Y163" s="34">
        <v>0</v>
      </c>
      <c r="Z163" s="34">
        <v>0</v>
      </c>
      <c r="AA163" s="34">
        <v>0</v>
      </c>
      <c r="AB163" s="34">
        <v>0.97152249599999763</v>
      </c>
      <c r="AC163" s="34">
        <v>2.4896885760000025</v>
      </c>
      <c r="AD163" s="34">
        <v>335.86071350399999</v>
      </c>
      <c r="AE163" s="34">
        <f t="shared" si="30"/>
        <v>339.32192457600001</v>
      </c>
      <c r="AF163" s="34">
        <f t="shared" si="31"/>
        <v>3.461211072000026</v>
      </c>
      <c r="AG163" s="34">
        <v>0</v>
      </c>
      <c r="AH163" s="34">
        <v>0</v>
      </c>
      <c r="AI163" s="34">
        <v>0</v>
      </c>
      <c r="AJ163" s="34">
        <v>0</v>
      </c>
      <c r="AK163" s="34">
        <v>0</v>
      </c>
      <c r="AL163" s="34">
        <v>0</v>
      </c>
      <c r="AM163" s="34">
        <v>0</v>
      </c>
      <c r="AN163" s="34">
        <v>4.8113495039999883</v>
      </c>
      <c r="AO163" s="34">
        <v>12.655916928000014</v>
      </c>
      <c r="AP163" s="34">
        <v>1661.3425944959999</v>
      </c>
      <c r="AQ163" s="34">
        <f t="shared" si="32"/>
        <v>1678.809860928</v>
      </c>
      <c r="AR163" s="34">
        <f t="shared" si="33"/>
        <v>17.467266432000088</v>
      </c>
      <c r="AS163" s="34">
        <f t="shared" si="34"/>
        <v>20.928477504000114</v>
      </c>
      <c r="AT163" t="str">
        <f t="shared" si="35"/>
        <v>OK</v>
      </c>
    </row>
    <row r="164" spans="1:46" x14ac:dyDescent="0.25">
      <c r="A164" t="s">
        <v>120</v>
      </c>
      <c r="B164" t="s">
        <v>178</v>
      </c>
      <c r="C164" s="34">
        <v>16740</v>
      </c>
      <c r="D164" s="34">
        <v>1395</v>
      </c>
      <c r="E164" s="34">
        <v>7009.4453333333331</v>
      </c>
      <c r="F164" s="34">
        <f t="shared" si="24"/>
        <v>8404.4453333333331</v>
      </c>
      <c r="G164" s="34">
        <v>0</v>
      </c>
      <c r="H164" s="34">
        <v>5101.2</v>
      </c>
      <c r="I164" s="34">
        <v>5101.2</v>
      </c>
      <c r="J164" s="34">
        <f t="shared" si="25"/>
        <v>0</v>
      </c>
      <c r="K164" s="34">
        <v>5101.2</v>
      </c>
      <c r="L164" s="34">
        <v>5101.2</v>
      </c>
      <c r="M164" s="34">
        <f t="shared" si="26"/>
        <v>0</v>
      </c>
      <c r="N164" s="34">
        <v>510.11999999999989</v>
      </c>
      <c r="O164" s="34">
        <v>510.11999999999989</v>
      </c>
      <c r="P164" s="34">
        <f t="shared" si="27"/>
        <v>0</v>
      </c>
      <c r="Q164" s="34">
        <v>1398.1253333333334</v>
      </c>
      <c r="R164" s="34">
        <v>2040.4800000000005</v>
      </c>
      <c r="S164" s="34">
        <f t="shared" si="28"/>
        <v>642.35466666666707</v>
      </c>
      <c r="T164" s="34">
        <v>0</v>
      </c>
      <c r="U164" s="34">
        <v>1037.3702400000011</v>
      </c>
      <c r="V164" s="34">
        <f t="shared" si="29"/>
        <v>1037.3702400000011</v>
      </c>
      <c r="W164" s="34">
        <v>0</v>
      </c>
      <c r="X164" s="34">
        <v>0</v>
      </c>
      <c r="Y164" s="34">
        <v>0</v>
      </c>
      <c r="Z164" s="34">
        <v>0</v>
      </c>
      <c r="AA164" s="34">
        <v>0</v>
      </c>
      <c r="AB164" s="34">
        <v>0.97152249599999763</v>
      </c>
      <c r="AC164" s="34">
        <v>2.4896885760000025</v>
      </c>
      <c r="AD164" s="34">
        <v>335.86071350399999</v>
      </c>
      <c r="AE164" s="34">
        <f t="shared" si="30"/>
        <v>339.32192457600001</v>
      </c>
      <c r="AF164" s="34">
        <f t="shared" si="31"/>
        <v>3.461211072000026</v>
      </c>
      <c r="AG164" s="34">
        <v>0</v>
      </c>
      <c r="AH164" s="34">
        <v>0</v>
      </c>
      <c r="AI164" s="34">
        <v>0</v>
      </c>
      <c r="AJ164" s="34">
        <v>0</v>
      </c>
      <c r="AK164" s="34">
        <v>0</v>
      </c>
      <c r="AL164" s="34">
        <v>0</v>
      </c>
      <c r="AM164" s="34">
        <v>0</v>
      </c>
      <c r="AN164" s="34">
        <v>4.8113495039999883</v>
      </c>
      <c r="AO164" s="34">
        <v>12.655916928000014</v>
      </c>
      <c r="AP164" s="34">
        <v>1661.3425944959999</v>
      </c>
      <c r="AQ164" s="34">
        <f t="shared" si="32"/>
        <v>1678.809860928</v>
      </c>
      <c r="AR164" s="34">
        <f t="shared" si="33"/>
        <v>17.467266432000088</v>
      </c>
      <c r="AS164" s="34">
        <f t="shared" si="34"/>
        <v>20.928477504000114</v>
      </c>
      <c r="AT164" t="str">
        <f t="shared" si="35"/>
        <v>OK</v>
      </c>
    </row>
    <row r="165" spans="1:46" x14ac:dyDescent="0.25">
      <c r="A165" t="s">
        <v>120</v>
      </c>
      <c r="B165" t="s">
        <v>179</v>
      </c>
      <c r="C165" s="34">
        <v>16740</v>
      </c>
      <c r="D165" s="34">
        <v>1395</v>
      </c>
      <c r="E165" s="34">
        <v>7009.4453333333331</v>
      </c>
      <c r="F165" s="34">
        <f t="shared" si="24"/>
        <v>8404.4453333333331</v>
      </c>
      <c r="G165" s="34">
        <v>0</v>
      </c>
      <c r="H165" s="34">
        <v>5101.2</v>
      </c>
      <c r="I165" s="34">
        <v>5101.2</v>
      </c>
      <c r="J165" s="34">
        <f t="shared" si="25"/>
        <v>0</v>
      </c>
      <c r="K165" s="34">
        <v>5101.2</v>
      </c>
      <c r="L165" s="34">
        <v>5101.2</v>
      </c>
      <c r="M165" s="34">
        <f t="shared" si="26"/>
        <v>0</v>
      </c>
      <c r="N165" s="34">
        <v>510.11999999999989</v>
      </c>
      <c r="O165" s="34">
        <v>510.11999999999989</v>
      </c>
      <c r="P165" s="34">
        <f t="shared" si="27"/>
        <v>0</v>
      </c>
      <c r="Q165" s="34">
        <v>1398.1253333333334</v>
      </c>
      <c r="R165" s="34">
        <v>2040.4800000000005</v>
      </c>
      <c r="S165" s="34">
        <f t="shared" si="28"/>
        <v>642.35466666666707</v>
      </c>
      <c r="T165" s="34">
        <v>0</v>
      </c>
      <c r="U165" s="34">
        <v>1037.3702400000011</v>
      </c>
      <c r="V165" s="34">
        <f t="shared" si="29"/>
        <v>1037.3702400000011</v>
      </c>
      <c r="W165" s="34">
        <v>0</v>
      </c>
      <c r="X165" s="34">
        <v>0</v>
      </c>
      <c r="Y165" s="34">
        <v>0</v>
      </c>
      <c r="Z165" s="34">
        <v>0</v>
      </c>
      <c r="AA165" s="34">
        <v>0</v>
      </c>
      <c r="AB165" s="34">
        <v>0.97152249599999763</v>
      </c>
      <c r="AC165" s="34">
        <v>2.4896885760000025</v>
      </c>
      <c r="AD165" s="34">
        <v>335.86071350399999</v>
      </c>
      <c r="AE165" s="34">
        <f t="shared" si="30"/>
        <v>339.32192457600001</v>
      </c>
      <c r="AF165" s="34">
        <f t="shared" si="31"/>
        <v>3.461211072000026</v>
      </c>
      <c r="AG165" s="34">
        <v>0</v>
      </c>
      <c r="AH165" s="34">
        <v>0</v>
      </c>
      <c r="AI165" s="34">
        <v>0</v>
      </c>
      <c r="AJ165" s="34">
        <v>0</v>
      </c>
      <c r="AK165" s="34">
        <v>0</v>
      </c>
      <c r="AL165" s="34">
        <v>0</v>
      </c>
      <c r="AM165" s="34">
        <v>0</v>
      </c>
      <c r="AN165" s="34">
        <v>4.8113495039999883</v>
      </c>
      <c r="AO165" s="34">
        <v>12.655916928000014</v>
      </c>
      <c r="AP165" s="34">
        <v>1661.3425944959999</v>
      </c>
      <c r="AQ165" s="34">
        <f t="shared" si="32"/>
        <v>1678.809860928</v>
      </c>
      <c r="AR165" s="34">
        <f t="shared" si="33"/>
        <v>17.467266432000088</v>
      </c>
      <c r="AS165" s="34">
        <f t="shared" si="34"/>
        <v>20.928477504000114</v>
      </c>
      <c r="AT165" t="str">
        <f t="shared" si="35"/>
        <v>OK</v>
      </c>
    </row>
    <row r="166" spans="1:46" x14ac:dyDescent="0.25">
      <c r="A166" t="s">
        <v>120</v>
      </c>
      <c r="B166" t="s">
        <v>180</v>
      </c>
      <c r="C166" s="34">
        <v>16740</v>
      </c>
      <c r="D166" s="34">
        <v>1395</v>
      </c>
      <c r="E166" s="34">
        <v>7009.4453333333331</v>
      </c>
      <c r="F166" s="34">
        <f t="shared" si="24"/>
        <v>8404.4453333333331</v>
      </c>
      <c r="G166" s="34">
        <v>0</v>
      </c>
      <c r="H166" s="34">
        <v>5101.2</v>
      </c>
      <c r="I166" s="34">
        <v>5101.2</v>
      </c>
      <c r="J166" s="34">
        <f t="shared" si="25"/>
        <v>0</v>
      </c>
      <c r="K166" s="34">
        <v>5101.2</v>
      </c>
      <c r="L166" s="34">
        <v>5101.2</v>
      </c>
      <c r="M166" s="34">
        <f t="shared" si="26"/>
        <v>0</v>
      </c>
      <c r="N166" s="34">
        <v>510.11999999999989</v>
      </c>
      <c r="O166" s="34">
        <v>510.11999999999989</v>
      </c>
      <c r="P166" s="34">
        <f t="shared" si="27"/>
        <v>0</v>
      </c>
      <c r="Q166" s="34">
        <v>1398.1253333333334</v>
      </c>
      <c r="R166" s="34">
        <v>2040.4800000000005</v>
      </c>
      <c r="S166" s="34">
        <f t="shared" si="28"/>
        <v>642.35466666666707</v>
      </c>
      <c r="T166" s="34">
        <v>0</v>
      </c>
      <c r="U166" s="34">
        <v>1037.3702400000011</v>
      </c>
      <c r="V166" s="34">
        <f t="shared" si="29"/>
        <v>1037.3702400000011</v>
      </c>
      <c r="W166" s="34">
        <v>0</v>
      </c>
      <c r="X166" s="34">
        <v>0</v>
      </c>
      <c r="Y166" s="34">
        <v>0</v>
      </c>
      <c r="Z166" s="34">
        <v>0</v>
      </c>
      <c r="AA166" s="34">
        <v>0</v>
      </c>
      <c r="AB166" s="34">
        <v>0.97152249599999763</v>
      </c>
      <c r="AC166" s="34">
        <v>2.4896885760000025</v>
      </c>
      <c r="AD166" s="34">
        <v>335.86071350399999</v>
      </c>
      <c r="AE166" s="34">
        <f t="shared" si="30"/>
        <v>339.32192457600001</v>
      </c>
      <c r="AF166" s="34">
        <f t="shared" si="31"/>
        <v>3.461211072000026</v>
      </c>
      <c r="AG166" s="34">
        <v>0</v>
      </c>
      <c r="AH166" s="34">
        <v>0</v>
      </c>
      <c r="AI166" s="34">
        <v>0</v>
      </c>
      <c r="AJ166" s="34">
        <v>0</v>
      </c>
      <c r="AK166" s="34">
        <v>0</v>
      </c>
      <c r="AL166" s="34">
        <v>0</v>
      </c>
      <c r="AM166" s="34">
        <v>0</v>
      </c>
      <c r="AN166" s="34">
        <v>4.8113495039999883</v>
      </c>
      <c r="AO166" s="34">
        <v>12.655916928000014</v>
      </c>
      <c r="AP166" s="34">
        <v>1661.3425944959999</v>
      </c>
      <c r="AQ166" s="34">
        <f t="shared" si="32"/>
        <v>1678.809860928</v>
      </c>
      <c r="AR166" s="34">
        <f t="shared" si="33"/>
        <v>17.467266432000088</v>
      </c>
      <c r="AS166" s="34">
        <f t="shared" si="34"/>
        <v>20.928477504000114</v>
      </c>
      <c r="AT166" t="str">
        <f t="shared" si="35"/>
        <v>OK</v>
      </c>
    </row>
    <row r="167" spans="1:46" x14ac:dyDescent="0.25">
      <c r="A167" t="s">
        <v>120</v>
      </c>
      <c r="B167" t="s">
        <v>183</v>
      </c>
      <c r="C167" s="34">
        <v>16740</v>
      </c>
      <c r="D167" s="34">
        <v>1395</v>
      </c>
      <c r="E167" s="34">
        <v>7009.4453333333331</v>
      </c>
      <c r="F167" s="34">
        <f t="shared" si="24"/>
        <v>8404.4453333333331</v>
      </c>
      <c r="G167" s="34">
        <v>0</v>
      </c>
      <c r="H167" s="34">
        <v>5101.2</v>
      </c>
      <c r="I167" s="34">
        <v>5101.2</v>
      </c>
      <c r="J167" s="34">
        <f t="shared" si="25"/>
        <v>0</v>
      </c>
      <c r="K167" s="34">
        <v>5101.2</v>
      </c>
      <c r="L167" s="34">
        <v>5101.2</v>
      </c>
      <c r="M167" s="34">
        <f t="shared" si="26"/>
        <v>0</v>
      </c>
      <c r="N167" s="34">
        <v>510.11999999999989</v>
      </c>
      <c r="O167" s="34">
        <v>510.11999999999989</v>
      </c>
      <c r="P167" s="34">
        <f t="shared" si="27"/>
        <v>0</v>
      </c>
      <c r="Q167" s="34">
        <v>1398.1253333333334</v>
      </c>
      <c r="R167" s="34">
        <v>2040.4800000000005</v>
      </c>
      <c r="S167" s="34">
        <f t="shared" si="28"/>
        <v>642.35466666666707</v>
      </c>
      <c r="T167" s="34">
        <v>0</v>
      </c>
      <c r="U167" s="34">
        <v>1037.3702400000011</v>
      </c>
      <c r="V167" s="34">
        <f t="shared" si="29"/>
        <v>1037.3702400000011</v>
      </c>
      <c r="W167" s="34">
        <v>0</v>
      </c>
      <c r="X167" s="34">
        <v>0</v>
      </c>
      <c r="Y167" s="34">
        <v>0</v>
      </c>
      <c r="Z167" s="34">
        <v>0</v>
      </c>
      <c r="AA167" s="34">
        <v>0</v>
      </c>
      <c r="AB167" s="34">
        <v>0.97152249599999763</v>
      </c>
      <c r="AC167" s="34">
        <v>2.4896885760000025</v>
      </c>
      <c r="AD167" s="34">
        <v>335.86071350399999</v>
      </c>
      <c r="AE167" s="34">
        <f t="shared" si="30"/>
        <v>339.32192457600001</v>
      </c>
      <c r="AF167" s="34">
        <f t="shared" si="31"/>
        <v>3.461211072000026</v>
      </c>
      <c r="AG167" s="34">
        <v>0</v>
      </c>
      <c r="AH167" s="34">
        <v>0</v>
      </c>
      <c r="AI167" s="34">
        <v>0</v>
      </c>
      <c r="AJ167" s="34">
        <v>0</v>
      </c>
      <c r="AK167" s="34">
        <v>0</v>
      </c>
      <c r="AL167" s="34">
        <v>0</v>
      </c>
      <c r="AM167" s="34">
        <v>0</v>
      </c>
      <c r="AN167" s="34">
        <v>4.8113495039999883</v>
      </c>
      <c r="AO167" s="34">
        <v>12.655916928000014</v>
      </c>
      <c r="AP167" s="34">
        <v>1661.3425944959999</v>
      </c>
      <c r="AQ167" s="34">
        <f t="shared" si="32"/>
        <v>1678.809860928</v>
      </c>
      <c r="AR167" s="34">
        <f t="shared" si="33"/>
        <v>17.467266432000088</v>
      </c>
      <c r="AS167" s="34">
        <f t="shared" si="34"/>
        <v>20.928477504000114</v>
      </c>
      <c r="AT167" t="str">
        <f t="shared" si="35"/>
        <v>OK</v>
      </c>
    </row>
    <row r="168" spans="1:46" x14ac:dyDescent="0.25">
      <c r="A168" t="s">
        <v>120</v>
      </c>
      <c r="B168" t="s">
        <v>184</v>
      </c>
      <c r="C168" s="34">
        <v>16740</v>
      </c>
      <c r="D168" s="34">
        <v>1395</v>
      </c>
      <c r="E168" s="34">
        <v>7009.4453333333331</v>
      </c>
      <c r="F168" s="34">
        <f t="shared" si="24"/>
        <v>8404.4453333333331</v>
      </c>
      <c r="G168" s="34">
        <v>0</v>
      </c>
      <c r="H168" s="34">
        <v>5101.2</v>
      </c>
      <c r="I168" s="34">
        <v>5101.2</v>
      </c>
      <c r="J168" s="34">
        <f t="shared" si="25"/>
        <v>0</v>
      </c>
      <c r="K168" s="34">
        <v>5101.2</v>
      </c>
      <c r="L168" s="34">
        <v>5101.2</v>
      </c>
      <c r="M168" s="34">
        <f t="shared" si="26"/>
        <v>0</v>
      </c>
      <c r="N168" s="34">
        <v>510.11999999999989</v>
      </c>
      <c r="O168" s="34">
        <v>510.11999999999989</v>
      </c>
      <c r="P168" s="34">
        <f t="shared" si="27"/>
        <v>0</v>
      </c>
      <c r="Q168" s="34">
        <v>1398.1253333333334</v>
      </c>
      <c r="R168" s="34">
        <v>2040.4800000000005</v>
      </c>
      <c r="S168" s="34">
        <f t="shared" si="28"/>
        <v>642.35466666666707</v>
      </c>
      <c r="T168" s="34">
        <v>0</v>
      </c>
      <c r="U168" s="34">
        <v>1037.3702400000011</v>
      </c>
      <c r="V168" s="34">
        <f t="shared" si="29"/>
        <v>1037.3702400000011</v>
      </c>
      <c r="W168" s="34">
        <v>0</v>
      </c>
      <c r="X168" s="34">
        <v>0</v>
      </c>
      <c r="Y168" s="34">
        <v>0</v>
      </c>
      <c r="Z168" s="34">
        <v>0</v>
      </c>
      <c r="AA168" s="34">
        <v>0</v>
      </c>
      <c r="AB168" s="34">
        <v>0.97152249599999763</v>
      </c>
      <c r="AC168" s="34">
        <v>2.4896885760000025</v>
      </c>
      <c r="AD168" s="34">
        <v>335.86071350399999</v>
      </c>
      <c r="AE168" s="34">
        <f t="shared" si="30"/>
        <v>339.32192457600001</v>
      </c>
      <c r="AF168" s="34">
        <f t="shared" si="31"/>
        <v>3.461211072000026</v>
      </c>
      <c r="AG168" s="34">
        <v>0</v>
      </c>
      <c r="AH168" s="34">
        <v>0</v>
      </c>
      <c r="AI168" s="34">
        <v>0</v>
      </c>
      <c r="AJ168" s="34">
        <v>0</v>
      </c>
      <c r="AK168" s="34">
        <v>0</v>
      </c>
      <c r="AL168" s="34">
        <v>0</v>
      </c>
      <c r="AM168" s="34">
        <v>0</v>
      </c>
      <c r="AN168" s="34">
        <v>4.8113495039999883</v>
      </c>
      <c r="AO168" s="34">
        <v>12.655916928000014</v>
      </c>
      <c r="AP168" s="34">
        <v>1661.3425944959999</v>
      </c>
      <c r="AQ168" s="34">
        <f t="shared" si="32"/>
        <v>1678.809860928</v>
      </c>
      <c r="AR168" s="34">
        <f t="shared" si="33"/>
        <v>17.467266432000088</v>
      </c>
      <c r="AS168" s="34">
        <f t="shared" si="34"/>
        <v>20.928477504000114</v>
      </c>
      <c r="AT168" t="str">
        <f t="shared" si="35"/>
        <v>OK</v>
      </c>
    </row>
    <row r="169" spans="1:46" x14ac:dyDescent="0.25">
      <c r="A169" t="s">
        <v>120</v>
      </c>
      <c r="B169" t="s">
        <v>185</v>
      </c>
      <c r="C169" s="34">
        <v>16740</v>
      </c>
      <c r="D169" s="34">
        <v>1395</v>
      </c>
      <c r="E169" s="34">
        <v>7009.4453333333331</v>
      </c>
      <c r="F169" s="34">
        <f t="shared" si="24"/>
        <v>8404.4453333333331</v>
      </c>
      <c r="G169" s="34">
        <v>0</v>
      </c>
      <c r="H169" s="34">
        <v>5101.2</v>
      </c>
      <c r="I169" s="34">
        <v>5101.2</v>
      </c>
      <c r="J169" s="34">
        <f t="shared" si="25"/>
        <v>0</v>
      </c>
      <c r="K169" s="34">
        <v>5101.2</v>
      </c>
      <c r="L169" s="34">
        <v>5101.2</v>
      </c>
      <c r="M169" s="34">
        <f t="shared" si="26"/>
        <v>0</v>
      </c>
      <c r="N169" s="34">
        <v>510.11999999999989</v>
      </c>
      <c r="O169" s="34">
        <v>510.11999999999989</v>
      </c>
      <c r="P169" s="34">
        <f t="shared" si="27"/>
        <v>0</v>
      </c>
      <c r="Q169" s="34">
        <v>1398.1253333333334</v>
      </c>
      <c r="R169" s="34">
        <v>2040.4800000000005</v>
      </c>
      <c r="S169" s="34">
        <f t="shared" si="28"/>
        <v>642.35466666666707</v>
      </c>
      <c r="T169" s="34">
        <v>0</v>
      </c>
      <c r="U169" s="34">
        <v>1037.3702400000011</v>
      </c>
      <c r="V169" s="34">
        <f t="shared" si="29"/>
        <v>1037.3702400000011</v>
      </c>
      <c r="W169" s="34">
        <v>0</v>
      </c>
      <c r="X169" s="34">
        <v>0</v>
      </c>
      <c r="Y169" s="34">
        <v>0</v>
      </c>
      <c r="Z169" s="34">
        <v>0</v>
      </c>
      <c r="AA169" s="34">
        <v>0</v>
      </c>
      <c r="AB169" s="34">
        <v>0.97152249599999763</v>
      </c>
      <c r="AC169" s="34">
        <v>2.4896885760000025</v>
      </c>
      <c r="AD169" s="34">
        <v>335.86071350399999</v>
      </c>
      <c r="AE169" s="34">
        <f t="shared" si="30"/>
        <v>339.32192457600001</v>
      </c>
      <c r="AF169" s="34">
        <f t="shared" si="31"/>
        <v>3.461211072000026</v>
      </c>
      <c r="AG169" s="34">
        <v>0</v>
      </c>
      <c r="AH169" s="34">
        <v>0</v>
      </c>
      <c r="AI169" s="34">
        <v>0</v>
      </c>
      <c r="AJ169" s="34">
        <v>0</v>
      </c>
      <c r="AK169" s="34">
        <v>0</v>
      </c>
      <c r="AL169" s="34">
        <v>0</v>
      </c>
      <c r="AM169" s="34">
        <v>0</v>
      </c>
      <c r="AN169" s="34">
        <v>4.8113495039999883</v>
      </c>
      <c r="AO169" s="34">
        <v>12.655916928000014</v>
      </c>
      <c r="AP169" s="34">
        <v>1661.3425944959999</v>
      </c>
      <c r="AQ169" s="34">
        <f t="shared" si="32"/>
        <v>1678.809860928</v>
      </c>
      <c r="AR169" s="34">
        <f t="shared" si="33"/>
        <v>17.467266432000088</v>
      </c>
      <c r="AS169" s="34">
        <f t="shared" si="34"/>
        <v>20.928477504000114</v>
      </c>
      <c r="AT169" t="str">
        <f t="shared" si="35"/>
        <v>OK</v>
      </c>
    </row>
    <row r="170" spans="1:46" x14ac:dyDescent="0.25">
      <c r="A170" t="s">
        <v>120</v>
      </c>
      <c r="B170" t="s">
        <v>186</v>
      </c>
      <c r="C170" s="34">
        <v>16740</v>
      </c>
      <c r="D170" s="34">
        <v>1395</v>
      </c>
      <c r="E170" s="34">
        <v>7009.4453333333331</v>
      </c>
      <c r="F170" s="34">
        <f t="shared" si="24"/>
        <v>8404.4453333333331</v>
      </c>
      <c r="G170" s="34">
        <v>0</v>
      </c>
      <c r="H170" s="34">
        <v>5101.2</v>
      </c>
      <c r="I170" s="34">
        <v>5101.2</v>
      </c>
      <c r="J170" s="34">
        <f t="shared" si="25"/>
        <v>0</v>
      </c>
      <c r="K170" s="34">
        <v>5101.2</v>
      </c>
      <c r="L170" s="34">
        <v>5101.2</v>
      </c>
      <c r="M170" s="34">
        <f t="shared" si="26"/>
        <v>0</v>
      </c>
      <c r="N170" s="34">
        <v>510.11999999999989</v>
      </c>
      <c r="O170" s="34">
        <v>510.11999999999989</v>
      </c>
      <c r="P170" s="34">
        <f t="shared" si="27"/>
        <v>0</v>
      </c>
      <c r="Q170" s="34">
        <v>1398.1253333333334</v>
      </c>
      <c r="R170" s="34">
        <v>2040.4800000000005</v>
      </c>
      <c r="S170" s="34">
        <f t="shared" si="28"/>
        <v>642.35466666666707</v>
      </c>
      <c r="T170" s="34">
        <v>0</v>
      </c>
      <c r="U170" s="34">
        <v>1037.3702400000011</v>
      </c>
      <c r="V170" s="34">
        <f t="shared" si="29"/>
        <v>1037.3702400000011</v>
      </c>
      <c r="W170" s="34">
        <v>0</v>
      </c>
      <c r="X170" s="34">
        <v>0</v>
      </c>
      <c r="Y170" s="34">
        <v>0</v>
      </c>
      <c r="Z170" s="34">
        <v>0</v>
      </c>
      <c r="AA170" s="34">
        <v>0</v>
      </c>
      <c r="AB170" s="34">
        <v>0.97152249599999763</v>
      </c>
      <c r="AC170" s="34">
        <v>2.4896885760000025</v>
      </c>
      <c r="AD170" s="34">
        <v>335.4832912</v>
      </c>
      <c r="AE170" s="34">
        <f t="shared" si="30"/>
        <v>338.94450227200002</v>
      </c>
      <c r="AF170" s="34">
        <f t="shared" si="31"/>
        <v>3.461211072000026</v>
      </c>
      <c r="AG170" s="34">
        <v>0</v>
      </c>
      <c r="AH170" s="34">
        <v>0</v>
      </c>
      <c r="AI170" s="34">
        <v>0</v>
      </c>
      <c r="AJ170" s="34">
        <v>0</v>
      </c>
      <c r="AK170" s="34">
        <v>0</v>
      </c>
      <c r="AL170" s="34">
        <v>0</v>
      </c>
      <c r="AM170" s="34">
        <v>0</v>
      </c>
      <c r="AN170" s="34">
        <v>4.8113495039999883</v>
      </c>
      <c r="AO170" s="34">
        <v>12.655916928000014</v>
      </c>
      <c r="AP170" s="34">
        <v>1659.4734554666666</v>
      </c>
      <c r="AQ170" s="34">
        <f t="shared" si="32"/>
        <v>1676.9407218986667</v>
      </c>
      <c r="AR170" s="34">
        <f t="shared" si="33"/>
        <v>17.467266432000088</v>
      </c>
      <c r="AS170" s="34">
        <f t="shared" si="34"/>
        <v>20.928477504000114</v>
      </c>
      <c r="AT170" t="str">
        <f t="shared" si="35"/>
        <v>OK</v>
      </c>
    </row>
    <row r="171" spans="1:46" x14ac:dyDescent="0.25">
      <c r="A171" t="s">
        <v>120</v>
      </c>
      <c r="B171" t="s">
        <v>187</v>
      </c>
      <c r="C171" s="34">
        <v>16740</v>
      </c>
      <c r="D171" s="34">
        <v>1395</v>
      </c>
      <c r="E171" s="34">
        <v>7009.4453333333331</v>
      </c>
      <c r="F171" s="34">
        <f t="shared" si="24"/>
        <v>8404.4453333333331</v>
      </c>
      <c r="G171" s="34">
        <v>0</v>
      </c>
      <c r="H171" s="34">
        <v>5101.2</v>
      </c>
      <c r="I171" s="34">
        <v>5101.2</v>
      </c>
      <c r="J171" s="34">
        <f t="shared" si="25"/>
        <v>0</v>
      </c>
      <c r="K171" s="34">
        <v>5101.2</v>
      </c>
      <c r="L171" s="34">
        <v>5101.2</v>
      </c>
      <c r="M171" s="34">
        <f t="shared" si="26"/>
        <v>0</v>
      </c>
      <c r="N171" s="34">
        <v>510.11999999999989</v>
      </c>
      <c r="O171" s="34">
        <v>510.11999999999989</v>
      </c>
      <c r="P171" s="34">
        <f t="shared" si="27"/>
        <v>0</v>
      </c>
      <c r="Q171" s="34">
        <v>1398.1253333333334</v>
      </c>
      <c r="R171" s="34">
        <v>2040.4800000000005</v>
      </c>
      <c r="S171" s="34">
        <f t="shared" si="28"/>
        <v>642.35466666666707</v>
      </c>
      <c r="T171" s="34">
        <v>0</v>
      </c>
      <c r="U171" s="34">
        <v>1037.3702400000011</v>
      </c>
      <c r="V171" s="34">
        <f t="shared" si="29"/>
        <v>1037.3702400000011</v>
      </c>
      <c r="W171" s="34">
        <v>0</v>
      </c>
      <c r="X171" s="34">
        <v>0</v>
      </c>
      <c r="Y171" s="34">
        <v>0</v>
      </c>
      <c r="Z171" s="34">
        <v>0</v>
      </c>
      <c r="AA171" s="34">
        <v>0</v>
      </c>
      <c r="AB171" s="34">
        <v>0.97152249599999763</v>
      </c>
      <c r="AC171" s="34">
        <v>2.4896885760000025</v>
      </c>
      <c r="AD171" s="34">
        <v>335.86071350399999</v>
      </c>
      <c r="AE171" s="34">
        <f t="shared" si="30"/>
        <v>339.32192457600001</v>
      </c>
      <c r="AF171" s="34">
        <f t="shared" si="31"/>
        <v>3.461211072000026</v>
      </c>
      <c r="AG171" s="34">
        <v>0</v>
      </c>
      <c r="AH171" s="34">
        <v>0</v>
      </c>
      <c r="AI171" s="34">
        <v>0</v>
      </c>
      <c r="AJ171" s="34">
        <v>0</v>
      </c>
      <c r="AK171" s="34">
        <v>0</v>
      </c>
      <c r="AL171" s="34">
        <v>0</v>
      </c>
      <c r="AM171" s="34">
        <v>0</v>
      </c>
      <c r="AN171" s="34">
        <v>4.8113495039999883</v>
      </c>
      <c r="AO171" s="34">
        <v>12.655916928000014</v>
      </c>
      <c r="AP171" s="34">
        <v>1661.3425944959999</v>
      </c>
      <c r="AQ171" s="34">
        <f t="shared" si="32"/>
        <v>1678.809860928</v>
      </c>
      <c r="AR171" s="34">
        <f t="shared" si="33"/>
        <v>17.467266432000088</v>
      </c>
      <c r="AS171" s="34">
        <f t="shared" si="34"/>
        <v>20.928477504000114</v>
      </c>
      <c r="AT171" t="str">
        <f t="shared" si="35"/>
        <v>OK</v>
      </c>
    </row>
    <row r="172" spans="1:46" x14ac:dyDescent="0.25">
      <c r="A172" t="s">
        <v>120</v>
      </c>
      <c r="B172" t="s">
        <v>189</v>
      </c>
      <c r="C172" s="34">
        <v>16740</v>
      </c>
      <c r="D172" s="34">
        <v>1395</v>
      </c>
      <c r="E172" s="34">
        <v>7009.4453333333331</v>
      </c>
      <c r="F172" s="34">
        <f t="shared" si="24"/>
        <v>8404.4453333333331</v>
      </c>
      <c r="G172" s="34">
        <v>0</v>
      </c>
      <c r="H172" s="34">
        <v>5101.2</v>
      </c>
      <c r="I172" s="34">
        <v>5101.2</v>
      </c>
      <c r="J172" s="34">
        <f t="shared" si="25"/>
        <v>0</v>
      </c>
      <c r="K172" s="34">
        <v>5101.2</v>
      </c>
      <c r="L172" s="34">
        <v>5101.2</v>
      </c>
      <c r="M172" s="34">
        <f t="shared" si="26"/>
        <v>0</v>
      </c>
      <c r="N172" s="34">
        <v>510.11999999999989</v>
      </c>
      <c r="O172" s="34">
        <v>510.11999999999989</v>
      </c>
      <c r="P172" s="34">
        <f t="shared" si="27"/>
        <v>0</v>
      </c>
      <c r="Q172" s="34">
        <v>1398.1253333333334</v>
      </c>
      <c r="R172" s="34">
        <v>2040.4800000000005</v>
      </c>
      <c r="S172" s="34">
        <f t="shared" si="28"/>
        <v>642.35466666666707</v>
      </c>
      <c r="T172" s="34">
        <v>0</v>
      </c>
      <c r="U172" s="34">
        <v>1037.3702400000011</v>
      </c>
      <c r="V172" s="34">
        <f t="shared" si="29"/>
        <v>1037.3702400000011</v>
      </c>
      <c r="W172" s="34">
        <v>0</v>
      </c>
      <c r="X172" s="34">
        <v>0</v>
      </c>
      <c r="Y172" s="34">
        <v>0</v>
      </c>
      <c r="Z172" s="34">
        <v>0</v>
      </c>
      <c r="AA172" s="34">
        <v>0</v>
      </c>
      <c r="AB172" s="34">
        <v>0.97152249599999763</v>
      </c>
      <c r="AC172" s="34">
        <v>2.4896885760000025</v>
      </c>
      <c r="AD172" s="34">
        <v>335.86071350399999</v>
      </c>
      <c r="AE172" s="34">
        <f t="shared" si="30"/>
        <v>339.32192457600001</v>
      </c>
      <c r="AF172" s="34">
        <f t="shared" si="31"/>
        <v>3.461211072000026</v>
      </c>
      <c r="AG172" s="34">
        <v>0</v>
      </c>
      <c r="AH172" s="34">
        <v>0</v>
      </c>
      <c r="AI172" s="34">
        <v>0</v>
      </c>
      <c r="AJ172" s="34">
        <v>0</v>
      </c>
      <c r="AK172" s="34">
        <v>0</v>
      </c>
      <c r="AL172" s="34">
        <v>0</v>
      </c>
      <c r="AM172" s="34">
        <v>0</v>
      </c>
      <c r="AN172" s="34">
        <v>4.8113495039999883</v>
      </c>
      <c r="AO172" s="34">
        <v>12.655916928000014</v>
      </c>
      <c r="AP172" s="34">
        <v>1661.3425944959999</v>
      </c>
      <c r="AQ172" s="34">
        <f t="shared" si="32"/>
        <v>1678.809860928</v>
      </c>
      <c r="AR172" s="34">
        <f t="shared" si="33"/>
        <v>17.467266432000088</v>
      </c>
      <c r="AS172" s="34">
        <f t="shared" si="34"/>
        <v>20.928477504000114</v>
      </c>
      <c r="AT172" t="str">
        <f t="shared" si="35"/>
        <v>OK</v>
      </c>
    </row>
    <row r="173" spans="1:46" x14ac:dyDescent="0.25">
      <c r="A173" t="s">
        <v>122</v>
      </c>
      <c r="B173" t="s">
        <v>173</v>
      </c>
      <c r="C173" s="34">
        <v>21629</v>
      </c>
      <c r="D173" s="34">
        <v>1802.4166666666667</v>
      </c>
      <c r="E173" s="34">
        <v>6961.29</v>
      </c>
      <c r="F173" s="34">
        <f t="shared" si="24"/>
        <v>8763.7066666666669</v>
      </c>
      <c r="G173" s="34">
        <v>0</v>
      </c>
      <c r="H173" s="34">
        <v>5101.2</v>
      </c>
      <c r="I173" s="34">
        <v>5101.2</v>
      </c>
      <c r="J173" s="34">
        <f t="shared" si="25"/>
        <v>0</v>
      </c>
      <c r="K173" s="34">
        <v>5101.2</v>
      </c>
      <c r="L173" s="34">
        <v>5101.2</v>
      </c>
      <c r="M173" s="34">
        <f t="shared" si="26"/>
        <v>0</v>
      </c>
      <c r="N173" s="34">
        <v>510.11999999999989</v>
      </c>
      <c r="O173" s="34">
        <v>510.11999999999989</v>
      </c>
      <c r="P173" s="34">
        <f t="shared" si="27"/>
        <v>0</v>
      </c>
      <c r="Q173" s="34">
        <v>1349.9700000000003</v>
      </c>
      <c r="R173" s="34">
        <v>2040.4800000000005</v>
      </c>
      <c r="S173" s="34">
        <f t="shared" si="28"/>
        <v>690.51000000000022</v>
      </c>
      <c r="T173" s="34">
        <v>0</v>
      </c>
      <c r="U173" s="34">
        <v>946.46263333333354</v>
      </c>
      <c r="V173" s="34">
        <f t="shared" si="29"/>
        <v>946.46263333333354</v>
      </c>
      <c r="W173" s="34">
        <v>0</v>
      </c>
      <c r="X173" s="34">
        <v>0</v>
      </c>
      <c r="Y173" s="34">
        <v>0</v>
      </c>
      <c r="Z173" s="34">
        <v>0</v>
      </c>
      <c r="AA173" s="34">
        <v>0</v>
      </c>
      <c r="AB173" s="34">
        <v>1.6519034700000008</v>
      </c>
      <c r="AC173" s="34">
        <v>2.2715103200000004</v>
      </c>
      <c r="AD173" s="34">
        <v>335.18033252999999</v>
      </c>
      <c r="AE173" s="34">
        <f t="shared" si="30"/>
        <v>339.10374631999997</v>
      </c>
      <c r="AF173" s="34">
        <f t="shared" si="31"/>
        <v>3.9234137899999837</v>
      </c>
      <c r="AG173" s="34">
        <v>0</v>
      </c>
      <c r="AH173" s="34">
        <v>0</v>
      </c>
      <c r="AI173" s="34">
        <v>0</v>
      </c>
      <c r="AJ173" s="34">
        <v>0</v>
      </c>
      <c r="AK173" s="34">
        <v>0</v>
      </c>
      <c r="AL173" s="34">
        <v>0</v>
      </c>
      <c r="AM173" s="34">
        <v>0</v>
      </c>
      <c r="AN173" s="34">
        <v>8.1808552800000029</v>
      </c>
      <c r="AO173" s="34">
        <v>11.54684412666667</v>
      </c>
      <c r="AP173" s="34">
        <v>1657.9730887199999</v>
      </c>
      <c r="AQ173" s="34">
        <f t="shared" si="32"/>
        <v>1677.7007881266666</v>
      </c>
      <c r="AR173" s="34">
        <f t="shared" si="33"/>
        <v>19.727699406666716</v>
      </c>
      <c r="AS173" s="34">
        <f t="shared" si="34"/>
        <v>23.651113196666699</v>
      </c>
      <c r="AT173" t="str">
        <f t="shared" si="35"/>
        <v>OK</v>
      </c>
    </row>
    <row r="174" spans="1:46" x14ac:dyDescent="0.25">
      <c r="A174" t="s">
        <v>122</v>
      </c>
      <c r="B174" t="s">
        <v>176</v>
      </c>
      <c r="C174" s="34">
        <v>21629</v>
      </c>
      <c r="D174" s="34">
        <v>1802.4166666666667</v>
      </c>
      <c r="E174" s="34">
        <v>6961.29</v>
      </c>
      <c r="F174" s="34">
        <f t="shared" si="24"/>
        <v>8763.7066666666669</v>
      </c>
      <c r="G174" s="34">
        <v>0</v>
      </c>
      <c r="H174" s="34">
        <v>5101.2</v>
      </c>
      <c r="I174" s="34">
        <v>5101.2</v>
      </c>
      <c r="J174" s="34">
        <f t="shared" si="25"/>
        <v>0</v>
      </c>
      <c r="K174" s="34">
        <v>5101.2</v>
      </c>
      <c r="L174" s="34">
        <v>5101.2</v>
      </c>
      <c r="M174" s="34">
        <f t="shared" si="26"/>
        <v>0</v>
      </c>
      <c r="N174" s="34">
        <v>510.11999999999989</v>
      </c>
      <c r="O174" s="34">
        <v>510.11999999999989</v>
      </c>
      <c r="P174" s="34">
        <f t="shared" si="27"/>
        <v>0</v>
      </c>
      <c r="Q174" s="34">
        <v>1349.9700000000003</v>
      </c>
      <c r="R174" s="34">
        <v>2040.4800000000005</v>
      </c>
      <c r="S174" s="34">
        <f t="shared" si="28"/>
        <v>690.51000000000022</v>
      </c>
      <c r="T174" s="34">
        <v>0</v>
      </c>
      <c r="U174" s="34">
        <v>946.46263333333354</v>
      </c>
      <c r="V174" s="34">
        <f t="shared" si="29"/>
        <v>946.46263333333354</v>
      </c>
      <c r="W174" s="34">
        <v>0</v>
      </c>
      <c r="X174" s="34">
        <v>0</v>
      </c>
      <c r="Y174" s="34">
        <v>0</v>
      </c>
      <c r="Z174" s="34">
        <v>0</v>
      </c>
      <c r="AA174" s="34">
        <v>0</v>
      </c>
      <c r="AB174" s="34">
        <v>1.6519034700000008</v>
      </c>
      <c r="AC174" s="34">
        <v>2.2715103200000004</v>
      </c>
      <c r="AD174" s="34">
        <v>335.18033252999999</v>
      </c>
      <c r="AE174" s="34">
        <f t="shared" si="30"/>
        <v>339.10374631999997</v>
      </c>
      <c r="AF174" s="34">
        <f t="shared" si="31"/>
        <v>3.9234137899999837</v>
      </c>
      <c r="AG174" s="34">
        <v>0</v>
      </c>
      <c r="AH174" s="34">
        <v>0</v>
      </c>
      <c r="AI174" s="34">
        <v>0</v>
      </c>
      <c r="AJ174" s="34">
        <v>0</v>
      </c>
      <c r="AK174" s="34">
        <v>0</v>
      </c>
      <c r="AL174" s="34">
        <v>0</v>
      </c>
      <c r="AM174" s="34">
        <v>0</v>
      </c>
      <c r="AN174" s="34">
        <v>8.1808552800000029</v>
      </c>
      <c r="AO174" s="34">
        <v>11.54684412666667</v>
      </c>
      <c r="AP174" s="34">
        <v>1657.9730887199999</v>
      </c>
      <c r="AQ174" s="34">
        <f t="shared" si="32"/>
        <v>1677.7007881266666</v>
      </c>
      <c r="AR174" s="34">
        <f t="shared" si="33"/>
        <v>19.727699406666716</v>
      </c>
      <c r="AS174" s="34">
        <f t="shared" si="34"/>
        <v>23.651113196666699</v>
      </c>
      <c r="AT174" t="str">
        <f t="shared" si="35"/>
        <v>OK</v>
      </c>
    </row>
    <row r="175" spans="1:46" x14ac:dyDescent="0.25">
      <c r="A175" t="s">
        <v>122</v>
      </c>
      <c r="B175" t="s">
        <v>177</v>
      </c>
      <c r="C175" s="34">
        <v>21629</v>
      </c>
      <c r="D175" s="34">
        <v>1802.4166666666667</v>
      </c>
      <c r="E175" s="34">
        <v>6961.29</v>
      </c>
      <c r="F175" s="34">
        <f t="shared" si="24"/>
        <v>8763.7066666666669</v>
      </c>
      <c r="G175" s="34">
        <v>0</v>
      </c>
      <c r="H175" s="34">
        <v>5101.2</v>
      </c>
      <c r="I175" s="34">
        <v>5101.2</v>
      </c>
      <c r="J175" s="34">
        <f t="shared" si="25"/>
        <v>0</v>
      </c>
      <c r="K175" s="34">
        <v>5101.2</v>
      </c>
      <c r="L175" s="34">
        <v>5101.2</v>
      </c>
      <c r="M175" s="34">
        <f t="shared" si="26"/>
        <v>0</v>
      </c>
      <c r="N175" s="34">
        <v>510.11999999999989</v>
      </c>
      <c r="O175" s="34">
        <v>510.11999999999989</v>
      </c>
      <c r="P175" s="34">
        <f t="shared" si="27"/>
        <v>0</v>
      </c>
      <c r="Q175" s="34">
        <v>1349.9700000000003</v>
      </c>
      <c r="R175" s="34">
        <v>2040.4800000000005</v>
      </c>
      <c r="S175" s="34">
        <f t="shared" si="28"/>
        <v>690.51000000000022</v>
      </c>
      <c r="T175" s="34">
        <v>0</v>
      </c>
      <c r="U175" s="34">
        <v>946.46263333333354</v>
      </c>
      <c r="V175" s="34">
        <f t="shared" si="29"/>
        <v>946.46263333333354</v>
      </c>
      <c r="W175" s="34">
        <v>0</v>
      </c>
      <c r="X175" s="34">
        <v>0</v>
      </c>
      <c r="Y175" s="34">
        <v>0</v>
      </c>
      <c r="Z175" s="34">
        <v>0</v>
      </c>
      <c r="AA175" s="34">
        <v>0</v>
      </c>
      <c r="AB175" s="34">
        <v>1.6519034700000008</v>
      </c>
      <c r="AC175" s="34">
        <v>2.2715103200000004</v>
      </c>
      <c r="AD175" s="34">
        <v>335.18033252999999</v>
      </c>
      <c r="AE175" s="34">
        <f t="shared" si="30"/>
        <v>339.10374631999997</v>
      </c>
      <c r="AF175" s="34">
        <f t="shared" si="31"/>
        <v>3.9234137899999837</v>
      </c>
      <c r="AG175" s="34">
        <v>0</v>
      </c>
      <c r="AH175" s="34">
        <v>0</v>
      </c>
      <c r="AI175" s="34">
        <v>0</v>
      </c>
      <c r="AJ175" s="34">
        <v>0</v>
      </c>
      <c r="AK175" s="34">
        <v>0</v>
      </c>
      <c r="AL175" s="34">
        <v>0</v>
      </c>
      <c r="AM175" s="34">
        <v>0</v>
      </c>
      <c r="AN175" s="34">
        <v>8.1808552800000029</v>
      </c>
      <c r="AO175" s="34">
        <v>11.54684412666667</v>
      </c>
      <c r="AP175" s="34">
        <v>1657.9730887199999</v>
      </c>
      <c r="AQ175" s="34">
        <f t="shared" si="32"/>
        <v>1677.7007881266666</v>
      </c>
      <c r="AR175" s="34">
        <f t="shared" si="33"/>
        <v>19.727699406666716</v>
      </c>
      <c r="AS175" s="34">
        <f t="shared" si="34"/>
        <v>23.651113196666699</v>
      </c>
      <c r="AT175" t="str">
        <f t="shared" si="35"/>
        <v>OK</v>
      </c>
    </row>
    <row r="176" spans="1:46" x14ac:dyDescent="0.25">
      <c r="A176" t="s">
        <v>122</v>
      </c>
      <c r="B176" t="s">
        <v>178</v>
      </c>
      <c r="C176" s="34">
        <v>21629</v>
      </c>
      <c r="D176" s="34">
        <v>1802.4166666666667</v>
      </c>
      <c r="E176" s="34">
        <v>6961.29</v>
      </c>
      <c r="F176" s="34">
        <f t="shared" si="24"/>
        <v>8763.7066666666669</v>
      </c>
      <c r="G176" s="34">
        <v>0</v>
      </c>
      <c r="H176" s="34">
        <v>5101.2</v>
      </c>
      <c r="I176" s="34">
        <v>5101.2</v>
      </c>
      <c r="J176" s="34">
        <f t="shared" si="25"/>
        <v>0</v>
      </c>
      <c r="K176" s="34">
        <v>5101.2</v>
      </c>
      <c r="L176" s="34">
        <v>5101.2</v>
      </c>
      <c r="M176" s="34">
        <f t="shared" si="26"/>
        <v>0</v>
      </c>
      <c r="N176" s="34">
        <v>510.11999999999989</v>
      </c>
      <c r="O176" s="34">
        <v>510.11999999999989</v>
      </c>
      <c r="P176" s="34">
        <f t="shared" si="27"/>
        <v>0</v>
      </c>
      <c r="Q176" s="34">
        <v>1349.9700000000003</v>
      </c>
      <c r="R176" s="34">
        <v>2040.4800000000005</v>
      </c>
      <c r="S176" s="34">
        <f t="shared" si="28"/>
        <v>690.51000000000022</v>
      </c>
      <c r="T176" s="34">
        <v>0</v>
      </c>
      <c r="U176" s="34">
        <v>946.46263333333354</v>
      </c>
      <c r="V176" s="34">
        <f t="shared" si="29"/>
        <v>946.46263333333354</v>
      </c>
      <c r="W176" s="34">
        <v>0</v>
      </c>
      <c r="X176" s="34">
        <v>0</v>
      </c>
      <c r="Y176" s="34">
        <v>0</v>
      </c>
      <c r="Z176" s="34">
        <v>0</v>
      </c>
      <c r="AA176" s="34">
        <v>0</v>
      </c>
      <c r="AB176" s="34">
        <v>1.6519034700000008</v>
      </c>
      <c r="AC176" s="34">
        <v>2.2715103200000004</v>
      </c>
      <c r="AD176" s="34">
        <v>335.18033252999999</v>
      </c>
      <c r="AE176" s="34">
        <f t="shared" si="30"/>
        <v>339.10374631999997</v>
      </c>
      <c r="AF176" s="34">
        <f t="shared" si="31"/>
        <v>3.9234137899999837</v>
      </c>
      <c r="AG176" s="34">
        <v>0</v>
      </c>
      <c r="AH176" s="34">
        <v>0</v>
      </c>
      <c r="AI176" s="34">
        <v>0</v>
      </c>
      <c r="AJ176" s="34">
        <v>0</v>
      </c>
      <c r="AK176" s="34">
        <v>0</v>
      </c>
      <c r="AL176" s="34">
        <v>0</v>
      </c>
      <c r="AM176" s="34">
        <v>0</v>
      </c>
      <c r="AN176" s="34">
        <v>8.1808552800000029</v>
      </c>
      <c r="AO176" s="34">
        <v>11.54684412666667</v>
      </c>
      <c r="AP176" s="34">
        <v>1657.9730887199999</v>
      </c>
      <c r="AQ176" s="34">
        <f t="shared" si="32"/>
        <v>1677.7007881266666</v>
      </c>
      <c r="AR176" s="34">
        <f t="shared" si="33"/>
        <v>19.727699406666716</v>
      </c>
      <c r="AS176" s="34">
        <f t="shared" si="34"/>
        <v>23.651113196666699</v>
      </c>
      <c r="AT176" t="str">
        <f t="shared" si="35"/>
        <v>OK</v>
      </c>
    </row>
    <row r="177" spans="1:46" x14ac:dyDescent="0.25">
      <c r="A177" t="s">
        <v>122</v>
      </c>
      <c r="B177" t="s">
        <v>179</v>
      </c>
      <c r="C177" s="34">
        <v>21629</v>
      </c>
      <c r="D177" s="34">
        <v>1802.4166666666667</v>
      </c>
      <c r="E177" s="34">
        <v>6961.29</v>
      </c>
      <c r="F177" s="34">
        <f t="shared" si="24"/>
        <v>8763.7066666666669</v>
      </c>
      <c r="G177" s="34">
        <v>0</v>
      </c>
      <c r="H177" s="34">
        <v>5101.2</v>
      </c>
      <c r="I177" s="34">
        <v>5101.2</v>
      </c>
      <c r="J177" s="34">
        <f t="shared" si="25"/>
        <v>0</v>
      </c>
      <c r="K177" s="34">
        <v>5101.2</v>
      </c>
      <c r="L177" s="34">
        <v>5101.2</v>
      </c>
      <c r="M177" s="34">
        <f t="shared" si="26"/>
        <v>0</v>
      </c>
      <c r="N177" s="34">
        <v>510.11999999999989</v>
      </c>
      <c r="O177" s="34">
        <v>510.11999999999989</v>
      </c>
      <c r="P177" s="34">
        <f t="shared" si="27"/>
        <v>0</v>
      </c>
      <c r="Q177" s="34">
        <v>1349.9700000000003</v>
      </c>
      <c r="R177" s="34">
        <v>2040.4800000000005</v>
      </c>
      <c r="S177" s="34">
        <f t="shared" si="28"/>
        <v>690.51000000000022</v>
      </c>
      <c r="T177" s="34">
        <v>0</v>
      </c>
      <c r="U177" s="34">
        <v>946.46263333333354</v>
      </c>
      <c r="V177" s="34">
        <f t="shared" si="29"/>
        <v>946.46263333333354</v>
      </c>
      <c r="W177" s="34">
        <v>0</v>
      </c>
      <c r="X177" s="34">
        <v>0</v>
      </c>
      <c r="Y177" s="34">
        <v>0</v>
      </c>
      <c r="Z177" s="34">
        <v>0</v>
      </c>
      <c r="AA177" s="34">
        <v>0</v>
      </c>
      <c r="AB177" s="34">
        <v>1.6519034700000008</v>
      </c>
      <c r="AC177" s="34">
        <v>2.2715103200000004</v>
      </c>
      <c r="AD177" s="34">
        <v>335.18033252999999</v>
      </c>
      <c r="AE177" s="34">
        <f t="shared" si="30"/>
        <v>339.10374631999997</v>
      </c>
      <c r="AF177" s="34">
        <f t="shared" si="31"/>
        <v>3.9234137899999837</v>
      </c>
      <c r="AG177" s="34">
        <v>0</v>
      </c>
      <c r="AH177" s="34">
        <v>0</v>
      </c>
      <c r="AI177" s="34">
        <v>0</v>
      </c>
      <c r="AJ177" s="34">
        <v>0</v>
      </c>
      <c r="AK177" s="34">
        <v>0</v>
      </c>
      <c r="AL177" s="34">
        <v>0</v>
      </c>
      <c r="AM177" s="34">
        <v>0</v>
      </c>
      <c r="AN177" s="34">
        <v>8.1808552800000029</v>
      </c>
      <c r="AO177" s="34">
        <v>11.54684412666667</v>
      </c>
      <c r="AP177" s="34">
        <v>1657.9730887199999</v>
      </c>
      <c r="AQ177" s="34">
        <f t="shared" si="32"/>
        <v>1677.7007881266666</v>
      </c>
      <c r="AR177" s="34">
        <f t="shared" si="33"/>
        <v>19.727699406666716</v>
      </c>
      <c r="AS177" s="34">
        <f t="shared" si="34"/>
        <v>23.651113196666699</v>
      </c>
      <c r="AT177" t="str">
        <f t="shared" si="35"/>
        <v>OK</v>
      </c>
    </row>
    <row r="178" spans="1:46" x14ac:dyDescent="0.25">
      <c r="A178" t="s">
        <v>122</v>
      </c>
      <c r="B178" t="s">
        <v>180</v>
      </c>
      <c r="C178" s="34">
        <v>21629</v>
      </c>
      <c r="D178" s="34">
        <v>1802.4166666666667</v>
      </c>
      <c r="E178" s="34">
        <v>6961.29</v>
      </c>
      <c r="F178" s="34">
        <f t="shared" si="24"/>
        <v>8763.7066666666669</v>
      </c>
      <c r="G178" s="34">
        <v>0</v>
      </c>
      <c r="H178" s="34">
        <v>5101.2</v>
      </c>
      <c r="I178" s="34">
        <v>5101.2</v>
      </c>
      <c r="J178" s="34">
        <f t="shared" si="25"/>
        <v>0</v>
      </c>
      <c r="K178" s="34">
        <v>5101.2</v>
      </c>
      <c r="L178" s="34">
        <v>5101.2</v>
      </c>
      <c r="M178" s="34">
        <f t="shared" si="26"/>
        <v>0</v>
      </c>
      <c r="N178" s="34">
        <v>510.11999999999989</v>
      </c>
      <c r="O178" s="34">
        <v>510.11999999999989</v>
      </c>
      <c r="P178" s="34">
        <f t="shared" si="27"/>
        <v>0</v>
      </c>
      <c r="Q178" s="34">
        <v>1349.9700000000003</v>
      </c>
      <c r="R178" s="34">
        <v>2040.4800000000005</v>
      </c>
      <c r="S178" s="34">
        <f t="shared" si="28"/>
        <v>690.51000000000022</v>
      </c>
      <c r="T178" s="34">
        <v>0</v>
      </c>
      <c r="U178" s="34">
        <v>946.46263333333354</v>
      </c>
      <c r="V178" s="34">
        <f t="shared" si="29"/>
        <v>946.46263333333354</v>
      </c>
      <c r="W178" s="34">
        <v>0</v>
      </c>
      <c r="X178" s="34">
        <v>0</v>
      </c>
      <c r="Y178" s="34">
        <v>0</v>
      </c>
      <c r="Z178" s="34">
        <v>0</v>
      </c>
      <c r="AA178" s="34">
        <v>0</v>
      </c>
      <c r="AB178" s="34">
        <v>1.6519034700000008</v>
      </c>
      <c r="AC178" s="34">
        <v>2.2715103200000004</v>
      </c>
      <c r="AD178" s="34">
        <v>335.18033252999999</v>
      </c>
      <c r="AE178" s="34">
        <f t="shared" si="30"/>
        <v>339.10374631999997</v>
      </c>
      <c r="AF178" s="34">
        <f t="shared" si="31"/>
        <v>3.9234137899999837</v>
      </c>
      <c r="AG178" s="34">
        <v>0</v>
      </c>
      <c r="AH178" s="34">
        <v>0</v>
      </c>
      <c r="AI178" s="34">
        <v>0</v>
      </c>
      <c r="AJ178" s="34">
        <v>0</v>
      </c>
      <c r="AK178" s="34">
        <v>0</v>
      </c>
      <c r="AL178" s="34">
        <v>0</v>
      </c>
      <c r="AM178" s="34">
        <v>0</v>
      </c>
      <c r="AN178" s="34">
        <v>8.1808552800000029</v>
      </c>
      <c r="AO178" s="34">
        <v>11.54684412666667</v>
      </c>
      <c r="AP178" s="34">
        <v>1657.9730887199999</v>
      </c>
      <c r="AQ178" s="34">
        <f t="shared" si="32"/>
        <v>1677.7007881266666</v>
      </c>
      <c r="AR178" s="34">
        <f t="shared" si="33"/>
        <v>19.727699406666716</v>
      </c>
      <c r="AS178" s="34">
        <f t="shared" si="34"/>
        <v>23.651113196666699</v>
      </c>
      <c r="AT178" t="str">
        <f t="shared" si="35"/>
        <v>OK</v>
      </c>
    </row>
    <row r="179" spans="1:46" x14ac:dyDescent="0.25">
      <c r="A179" t="s">
        <v>122</v>
      </c>
      <c r="B179" t="s">
        <v>183</v>
      </c>
      <c r="C179" s="34">
        <v>21629</v>
      </c>
      <c r="D179" s="34">
        <v>1802.4166666666667</v>
      </c>
      <c r="E179" s="34">
        <v>6961.29</v>
      </c>
      <c r="F179" s="34">
        <f t="shared" si="24"/>
        <v>8763.7066666666669</v>
      </c>
      <c r="G179" s="34">
        <v>0</v>
      </c>
      <c r="H179" s="34">
        <v>5101.2</v>
      </c>
      <c r="I179" s="34">
        <v>5101.2</v>
      </c>
      <c r="J179" s="34">
        <f t="shared" si="25"/>
        <v>0</v>
      </c>
      <c r="K179" s="34">
        <v>5101.2</v>
      </c>
      <c r="L179" s="34">
        <v>5101.2</v>
      </c>
      <c r="M179" s="34">
        <f t="shared" si="26"/>
        <v>0</v>
      </c>
      <c r="N179" s="34">
        <v>510.11999999999989</v>
      </c>
      <c r="O179" s="34">
        <v>510.11999999999989</v>
      </c>
      <c r="P179" s="34">
        <f t="shared" si="27"/>
        <v>0</v>
      </c>
      <c r="Q179" s="34">
        <v>1349.9700000000003</v>
      </c>
      <c r="R179" s="34">
        <v>2040.4800000000005</v>
      </c>
      <c r="S179" s="34">
        <f t="shared" si="28"/>
        <v>690.51000000000022</v>
      </c>
      <c r="T179" s="34">
        <v>0</v>
      </c>
      <c r="U179" s="34">
        <v>946.46263333333354</v>
      </c>
      <c r="V179" s="34">
        <f t="shared" si="29"/>
        <v>946.46263333333354</v>
      </c>
      <c r="W179" s="34">
        <v>0</v>
      </c>
      <c r="X179" s="34">
        <v>0</v>
      </c>
      <c r="Y179" s="34">
        <v>0</v>
      </c>
      <c r="Z179" s="34">
        <v>0</v>
      </c>
      <c r="AA179" s="34">
        <v>0</v>
      </c>
      <c r="AB179" s="34">
        <v>1.6519034700000008</v>
      </c>
      <c r="AC179" s="34">
        <v>2.2715103200000004</v>
      </c>
      <c r="AD179" s="34">
        <v>335.18033252999999</v>
      </c>
      <c r="AE179" s="34">
        <f t="shared" si="30"/>
        <v>339.10374631999997</v>
      </c>
      <c r="AF179" s="34">
        <f t="shared" si="31"/>
        <v>3.9234137899999837</v>
      </c>
      <c r="AG179" s="34">
        <v>0</v>
      </c>
      <c r="AH179" s="34">
        <v>0</v>
      </c>
      <c r="AI179" s="34">
        <v>0</v>
      </c>
      <c r="AJ179" s="34">
        <v>0</v>
      </c>
      <c r="AK179" s="34">
        <v>0</v>
      </c>
      <c r="AL179" s="34">
        <v>0</v>
      </c>
      <c r="AM179" s="34">
        <v>0</v>
      </c>
      <c r="AN179" s="34">
        <v>8.1808552800000029</v>
      </c>
      <c r="AO179" s="34">
        <v>11.54684412666667</v>
      </c>
      <c r="AP179" s="34">
        <v>1657.9730887199999</v>
      </c>
      <c r="AQ179" s="34">
        <f t="shared" si="32"/>
        <v>1677.7007881266666</v>
      </c>
      <c r="AR179" s="34">
        <f t="shared" si="33"/>
        <v>19.727699406666716</v>
      </c>
      <c r="AS179" s="34">
        <f t="shared" si="34"/>
        <v>23.651113196666699</v>
      </c>
      <c r="AT179" t="str">
        <f t="shared" si="35"/>
        <v>OK</v>
      </c>
    </row>
    <row r="180" spans="1:46" x14ac:dyDescent="0.25">
      <c r="A180" t="s">
        <v>122</v>
      </c>
      <c r="B180" t="s">
        <v>184</v>
      </c>
      <c r="C180" s="34">
        <v>21629</v>
      </c>
      <c r="D180" s="34">
        <v>1802.4166666666667</v>
      </c>
      <c r="E180" s="34">
        <v>6961.29</v>
      </c>
      <c r="F180" s="34">
        <f t="shared" si="24"/>
        <v>8763.7066666666669</v>
      </c>
      <c r="G180" s="34">
        <v>0</v>
      </c>
      <c r="H180" s="34">
        <v>5101.2</v>
      </c>
      <c r="I180" s="34">
        <v>5101.2</v>
      </c>
      <c r="J180" s="34">
        <f t="shared" si="25"/>
        <v>0</v>
      </c>
      <c r="K180" s="34">
        <v>5101.2</v>
      </c>
      <c r="L180" s="34">
        <v>5101.2</v>
      </c>
      <c r="M180" s="34">
        <f t="shared" si="26"/>
        <v>0</v>
      </c>
      <c r="N180" s="34">
        <v>510.11999999999989</v>
      </c>
      <c r="O180" s="34">
        <v>510.11999999999989</v>
      </c>
      <c r="P180" s="34">
        <f t="shared" si="27"/>
        <v>0</v>
      </c>
      <c r="Q180" s="34">
        <v>1349.9700000000003</v>
      </c>
      <c r="R180" s="34">
        <v>2040.4800000000005</v>
      </c>
      <c r="S180" s="34">
        <f t="shared" si="28"/>
        <v>690.51000000000022</v>
      </c>
      <c r="T180" s="34">
        <v>0</v>
      </c>
      <c r="U180" s="34">
        <v>946.46263333333354</v>
      </c>
      <c r="V180" s="34">
        <f t="shared" si="29"/>
        <v>946.46263333333354</v>
      </c>
      <c r="W180" s="34">
        <v>0</v>
      </c>
      <c r="X180" s="34">
        <v>0</v>
      </c>
      <c r="Y180" s="34">
        <v>0</v>
      </c>
      <c r="Z180" s="34">
        <v>0</v>
      </c>
      <c r="AA180" s="34">
        <v>0</v>
      </c>
      <c r="AB180" s="34">
        <v>1.6519034700000008</v>
      </c>
      <c r="AC180" s="34">
        <v>2.2715103200000004</v>
      </c>
      <c r="AD180" s="34">
        <v>335.18033252999999</v>
      </c>
      <c r="AE180" s="34">
        <f t="shared" si="30"/>
        <v>339.10374631999997</v>
      </c>
      <c r="AF180" s="34">
        <f t="shared" si="31"/>
        <v>3.9234137899999837</v>
      </c>
      <c r="AG180" s="34">
        <v>0</v>
      </c>
      <c r="AH180" s="34">
        <v>0</v>
      </c>
      <c r="AI180" s="34">
        <v>0</v>
      </c>
      <c r="AJ180" s="34">
        <v>0</v>
      </c>
      <c r="AK180" s="34">
        <v>0</v>
      </c>
      <c r="AL180" s="34">
        <v>0</v>
      </c>
      <c r="AM180" s="34">
        <v>0</v>
      </c>
      <c r="AN180" s="34">
        <v>8.1808552800000029</v>
      </c>
      <c r="AO180" s="34">
        <v>11.54684412666667</v>
      </c>
      <c r="AP180" s="34">
        <v>1657.9730887199999</v>
      </c>
      <c r="AQ180" s="34">
        <f t="shared" si="32"/>
        <v>1677.7007881266666</v>
      </c>
      <c r="AR180" s="34">
        <f t="shared" si="33"/>
        <v>19.727699406666716</v>
      </c>
      <c r="AS180" s="34">
        <f t="shared" si="34"/>
        <v>23.651113196666699</v>
      </c>
      <c r="AT180" t="str">
        <f t="shared" si="35"/>
        <v>OK</v>
      </c>
    </row>
    <row r="181" spans="1:46" x14ac:dyDescent="0.25">
      <c r="A181" t="s">
        <v>122</v>
      </c>
      <c r="B181" t="s">
        <v>185</v>
      </c>
      <c r="C181" s="34">
        <v>21629</v>
      </c>
      <c r="D181" s="34">
        <v>1802.4166666666667</v>
      </c>
      <c r="E181" s="34">
        <v>6961.29</v>
      </c>
      <c r="F181" s="34">
        <f t="shared" si="24"/>
        <v>8763.7066666666669</v>
      </c>
      <c r="G181" s="34">
        <v>0</v>
      </c>
      <c r="H181" s="34">
        <v>5101.2</v>
      </c>
      <c r="I181" s="34">
        <v>5101.2</v>
      </c>
      <c r="J181" s="34">
        <f t="shared" si="25"/>
        <v>0</v>
      </c>
      <c r="K181" s="34">
        <v>5101.2</v>
      </c>
      <c r="L181" s="34">
        <v>5101.2</v>
      </c>
      <c r="M181" s="34">
        <f t="shared" si="26"/>
        <v>0</v>
      </c>
      <c r="N181" s="34">
        <v>510.11999999999989</v>
      </c>
      <c r="O181" s="34">
        <v>510.11999999999989</v>
      </c>
      <c r="P181" s="34">
        <f t="shared" si="27"/>
        <v>0</v>
      </c>
      <c r="Q181" s="34">
        <v>1349.9700000000003</v>
      </c>
      <c r="R181" s="34">
        <v>2040.4800000000005</v>
      </c>
      <c r="S181" s="34">
        <f t="shared" si="28"/>
        <v>690.51000000000022</v>
      </c>
      <c r="T181" s="34">
        <v>0</v>
      </c>
      <c r="U181" s="34">
        <v>946.46263333333354</v>
      </c>
      <c r="V181" s="34">
        <f t="shared" si="29"/>
        <v>946.46263333333354</v>
      </c>
      <c r="W181" s="34">
        <v>0</v>
      </c>
      <c r="X181" s="34">
        <v>0</v>
      </c>
      <c r="Y181" s="34">
        <v>0</v>
      </c>
      <c r="Z181" s="34">
        <v>0</v>
      </c>
      <c r="AA181" s="34">
        <v>0</v>
      </c>
      <c r="AB181" s="34">
        <v>1.6519034700000008</v>
      </c>
      <c r="AC181" s="34">
        <v>2.2715103200000004</v>
      </c>
      <c r="AD181" s="34">
        <v>335.18033252999999</v>
      </c>
      <c r="AE181" s="34">
        <f t="shared" si="30"/>
        <v>339.10374631999997</v>
      </c>
      <c r="AF181" s="34">
        <f t="shared" si="31"/>
        <v>3.9234137899999837</v>
      </c>
      <c r="AG181" s="34">
        <v>0</v>
      </c>
      <c r="AH181" s="34">
        <v>0</v>
      </c>
      <c r="AI181" s="34">
        <v>0</v>
      </c>
      <c r="AJ181" s="34">
        <v>0</v>
      </c>
      <c r="AK181" s="34">
        <v>0</v>
      </c>
      <c r="AL181" s="34">
        <v>0</v>
      </c>
      <c r="AM181" s="34">
        <v>0</v>
      </c>
      <c r="AN181" s="34">
        <v>8.1808552800000029</v>
      </c>
      <c r="AO181" s="34">
        <v>11.54684412666667</v>
      </c>
      <c r="AP181" s="34">
        <v>1657.9730887199999</v>
      </c>
      <c r="AQ181" s="34">
        <f t="shared" si="32"/>
        <v>1677.7007881266666</v>
      </c>
      <c r="AR181" s="34">
        <f t="shared" si="33"/>
        <v>19.727699406666716</v>
      </c>
      <c r="AS181" s="34">
        <f t="shared" si="34"/>
        <v>23.651113196666699</v>
      </c>
      <c r="AT181" t="str">
        <f t="shared" si="35"/>
        <v>OK</v>
      </c>
    </row>
    <row r="182" spans="1:46" x14ac:dyDescent="0.25">
      <c r="A182" t="s">
        <v>122</v>
      </c>
      <c r="B182" t="s">
        <v>186</v>
      </c>
      <c r="C182" s="34">
        <v>21629</v>
      </c>
      <c r="D182" s="34">
        <v>1802.4166666666667</v>
      </c>
      <c r="E182" s="34">
        <v>6961.29</v>
      </c>
      <c r="F182" s="34">
        <f t="shared" si="24"/>
        <v>8763.7066666666669</v>
      </c>
      <c r="G182" s="34">
        <v>0</v>
      </c>
      <c r="H182" s="34">
        <v>5101.2</v>
      </c>
      <c r="I182" s="34">
        <v>5101.2</v>
      </c>
      <c r="J182" s="34">
        <f t="shared" si="25"/>
        <v>0</v>
      </c>
      <c r="K182" s="34">
        <v>5101.2</v>
      </c>
      <c r="L182" s="34">
        <v>5101.2</v>
      </c>
      <c r="M182" s="34">
        <f t="shared" si="26"/>
        <v>0</v>
      </c>
      <c r="N182" s="34">
        <v>510.11999999999989</v>
      </c>
      <c r="O182" s="34">
        <v>510.11999999999989</v>
      </c>
      <c r="P182" s="34">
        <f t="shared" si="27"/>
        <v>0</v>
      </c>
      <c r="Q182" s="34">
        <v>1349.9700000000003</v>
      </c>
      <c r="R182" s="34">
        <v>2040.4800000000005</v>
      </c>
      <c r="S182" s="34">
        <f t="shared" si="28"/>
        <v>690.51000000000022</v>
      </c>
      <c r="T182" s="34">
        <v>0</v>
      </c>
      <c r="U182" s="34">
        <v>946.46263333333354</v>
      </c>
      <c r="V182" s="34">
        <f t="shared" si="29"/>
        <v>946.46263333333354</v>
      </c>
      <c r="W182" s="34">
        <v>0</v>
      </c>
      <c r="X182" s="34">
        <v>0</v>
      </c>
      <c r="Y182" s="34">
        <v>0</v>
      </c>
      <c r="Z182" s="34">
        <v>0</v>
      </c>
      <c r="AA182" s="34">
        <v>0</v>
      </c>
      <c r="AB182" s="34">
        <v>1.6519034700000008</v>
      </c>
      <c r="AC182" s="34">
        <v>2.2715103200000004</v>
      </c>
      <c r="AD182" s="34">
        <v>335.18033252999999</v>
      </c>
      <c r="AE182" s="34">
        <f t="shared" si="30"/>
        <v>339.10374631999997</v>
      </c>
      <c r="AF182" s="34">
        <f t="shared" si="31"/>
        <v>3.9234137899999837</v>
      </c>
      <c r="AG182" s="34">
        <v>0</v>
      </c>
      <c r="AH182" s="34">
        <v>0</v>
      </c>
      <c r="AI182" s="34">
        <v>0</v>
      </c>
      <c r="AJ182" s="34">
        <v>0</v>
      </c>
      <c r="AK182" s="34">
        <v>0</v>
      </c>
      <c r="AL182" s="34">
        <v>0</v>
      </c>
      <c r="AM182" s="34">
        <v>0</v>
      </c>
      <c r="AN182" s="34">
        <v>8.1808552800000029</v>
      </c>
      <c r="AO182" s="34">
        <v>11.54684412666667</v>
      </c>
      <c r="AP182" s="34">
        <v>1657.9730887199999</v>
      </c>
      <c r="AQ182" s="34">
        <f t="shared" si="32"/>
        <v>1677.7007881266666</v>
      </c>
      <c r="AR182" s="34">
        <f t="shared" si="33"/>
        <v>19.727699406666716</v>
      </c>
      <c r="AS182" s="34">
        <f t="shared" si="34"/>
        <v>23.651113196666699</v>
      </c>
      <c r="AT182" t="str">
        <f t="shared" si="35"/>
        <v>OK</v>
      </c>
    </row>
    <row r="183" spans="1:46" x14ac:dyDescent="0.25">
      <c r="A183" t="s">
        <v>122</v>
      </c>
      <c r="B183" t="s">
        <v>187</v>
      </c>
      <c r="C183" s="34">
        <v>21629</v>
      </c>
      <c r="D183" s="34">
        <v>1802.4166666666667</v>
      </c>
      <c r="E183" s="34">
        <v>6961.29</v>
      </c>
      <c r="F183" s="34">
        <f t="shared" si="24"/>
        <v>8763.7066666666669</v>
      </c>
      <c r="G183" s="34">
        <v>0</v>
      </c>
      <c r="H183" s="34">
        <v>5101.2</v>
      </c>
      <c r="I183" s="34">
        <v>5101.2</v>
      </c>
      <c r="J183" s="34">
        <f t="shared" si="25"/>
        <v>0</v>
      </c>
      <c r="K183" s="34">
        <v>5101.2</v>
      </c>
      <c r="L183" s="34">
        <v>5101.2</v>
      </c>
      <c r="M183" s="34">
        <f t="shared" si="26"/>
        <v>0</v>
      </c>
      <c r="N183" s="34">
        <v>510.11999999999989</v>
      </c>
      <c r="O183" s="34">
        <v>510.11999999999989</v>
      </c>
      <c r="P183" s="34">
        <f t="shared" si="27"/>
        <v>0</v>
      </c>
      <c r="Q183" s="34">
        <v>1349.9700000000003</v>
      </c>
      <c r="R183" s="34">
        <v>2040.4800000000005</v>
      </c>
      <c r="S183" s="34">
        <f t="shared" si="28"/>
        <v>690.51000000000022</v>
      </c>
      <c r="T183" s="34">
        <v>0</v>
      </c>
      <c r="U183" s="34">
        <v>946.46263333333354</v>
      </c>
      <c r="V183" s="34">
        <f t="shared" si="29"/>
        <v>946.46263333333354</v>
      </c>
      <c r="W183" s="34">
        <v>0</v>
      </c>
      <c r="X183" s="34">
        <v>0</v>
      </c>
      <c r="Y183" s="34">
        <v>0</v>
      </c>
      <c r="Z183" s="34">
        <v>0</v>
      </c>
      <c r="AA183" s="34">
        <v>0</v>
      </c>
      <c r="AB183" s="34">
        <v>1.6519034700000008</v>
      </c>
      <c r="AC183" s="34">
        <v>2.2715103200000004</v>
      </c>
      <c r="AD183" s="34">
        <v>335.18033252999999</v>
      </c>
      <c r="AE183" s="34">
        <f t="shared" si="30"/>
        <v>339.10374631999997</v>
      </c>
      <c r="AF183" s="34">
        <f t="shared" si="31"/>
        <v>3.9234137899999837</v>
      </c>
      <c r="AG183" s="34">
        <v>0</v>
      </c>
      <c r="AH183" s="34">
        <v>0</v>
      </c>
      <c r="AI183" s="34">
        <v>0</v>
      </c>
      <c r="AJ183" s="34">
        <v>0</v>
      </c>
      <c r="AK183" s="34">
        <v>0</v>
      </c>
      <c r="AL183" s="34">
        <v>0</v>
      </c>
      <c r="AM183" s="34">
        <v>0</v>
      </c>
      <c r="AN183" s="34">
        <v>8.1808552800000029</v>
      </c>
      <c r="AO183" s="34">
        <v>11.54684412666667</v>
      </c>
      <c r="AP183" s="34">
        <v>1657.9730887199999</v>
      </c>
      <c r="AQ183" s="34">
        <f t="shared" si="32"/>
        <v>1677.7007881266666</v>
      </c>
      <c r="AR183" s="34">
        <f t="shared" si="33"/>
        <v>19.727699406666716</v>
      </c>
      <c r="AS183" s="34">
        <f t="shared" si="34"/>
        <v>23.651113196666699</v>
      </c>
      <c r="AT183" t="str">
        <f t="shared" si="35"/>
        <v>OK</v>
      </c>
    </row>
    <row r="184" spans="1:46" x14ac:dyDescent="0.25">
      <c r="A184" t="s">
        <v>122</v>
      </c>
      <c r="B184" t="s">
        <v>189</v>
      </c>
      <c r="C184" s="34">
        <v>21629</v>
      </c>
      <c r="D184" s="34">
        <v>1802.4166666666667</v>
      </c>
      <c r="E184" s="34">
        <v>6961.29</v>
      </c>
      <c r="F184" s="34">
        <f t="shared" si="24"/>
        <v>8763.7066666666669</v>
      </c>
      <c r="G184" s="34">
        <v>0</v>
      </c>
      <c r="H184" s="34">
        <v>5101.2</v>
      </c>
      <c r="I184" s="34">
        <v>5101.2</v>
      </c>
      <c r="J184" s="34">
        <f t="shared" si="25"/>
        <v>0</v>
      </c>
      <c r="K184" s="34">
        <v>5101.2</v>
      </c>
      <c r="L184" s="34">
        <v>5101.2</v>
      </c>
      <c r="M184" s="34">
        <f t="shared" si="26"/>
        <v>0</v>
      </c>
      <c r="N184" s="34">
        <v>510.11999999999989</v>
      </c>
      <c r="O184" s="34">
        <v>510.11999999999989</v>
      </c>
      <c r="P184" s="34">
        <f t="shared" si="27"/>
        <v>0</v>
      </c>
      <c r="Q184" s="34">
        <v>1349.9700000000003</v>
      </c>
      <c r="R184" s="34">
        <v>2040.4800000000005</v>
      </c>
      <c r="S184" s="34">
        <f t="shared" si="28"/>
        <v>690.51000000000022</v>
      </c>
      <c r="T184" s="34">
        <v>0</v>
      </c>
      <c r="U184" s="34">
        <v>946.46263333333354</v>
      </c>
      <c r="V184" s="34">
        <f t="shared" si="29"/>
        <v>946.46263333333354</v>
      </c>
      <c r="W184" s="34">
        <v>0</v>
      </c>
      <c r="X184" s="34">
        <v>0</v>
      </c>
      <c r="Y184" s="34">
        <v>0</v>
      </c>
      <c r="Z184" s="34">
        <v>0</v>
      </c>
      <c r="AA184" s="34">
        <v>0</v>
      </c>
      <c r="AB184" s="34">
        <v>1.6519034700000008</v>
      </c>
      <c r="AC184" s="34">
        <v>2.2715103200000004</v>
      </c>
      <c r="AD184" s="34">
        <v>335.18033252999999</v>
      </c>
      <c r="AE184" s="34">
        <f t="shared" si="30"/>
        <v>339.10374631999997</v>
      </c>
      <c r="AF184" s="34">
        <f t="shared" si="31"/>
        <v>3.9234137899999837</v>
      </c>
      <c r="AG184" s="34">
        <v>0</v>
      </c>
      <c r="AH184" s="34">
        <v>0</v>
      </c>
      <c r="AI184" s="34">
        <v>0</v>
      </c>
      <c r="AJ184" s="34">
        <v>0</v>
      </c>
      <c r="AK184" s="34">
        <v>0</v>
      </c>
      <c r="AL184" s="34">
        <v>0</v>
      </c>
      <c r="AM184" s="34">
        <v>0</v>
      </c>
      <c r="AN184" s="34">
        <v>8.1808552800000029</v>
      </c>
      <c r="AO184" s="34">
        <v>11.54684412666667</v>
      </c>
      <c r="AP184" s="34">
        <v>1657.9730887199999</v>
      </c>
      <c r="AQ184" s="34">
        <f t="shared" si="32"/>
        <v>1677.7007881266666</v>
      </c>
      <c r="AR184" s="34">
        <f t="shared" si="33"/>
        <v>19.727699406666716</v>
      </c>
      <c r="AS184" s="34">
        <f t="shared" si="34"/>
        <v>23.651113196666699</v>
      </c>
      <c r="AT184" t="str">
        <f t="shared" si="35"/>
        <v>OK</v>
      </c>
    </row>
    <row r="185" spans="1:46" x14ac:dyDescent="0.25">
      <c r="A185" t="s">
        <v>124</v>
      </c>
      <c r="B185" t="s">
        <v>173</v>
      </c>
      <c r="C185" s="34">
        <v>8094</v>
      </c>
      <c r="D185" s="34">
        <v>674.5</v>
      </c>
      <c r="E185" s="34">
        <v>2571.0790000000002</v>
      </c>
      <c r="F185" s="34">
        <f t="shared" si="24"/>
        <v>3245.5790000000002</v>
      </c>
      <c r="G185" s="34">
        <v>0</v>
      </c>
      <c r="H185" s="34">
        <v>2571.0790000000002</v>
      </c>
      <c r="I185" s="34">
        <v>3237.2805950000002</v>
      </c>
      <c r="J185" s="34">
        <f t="shared" si="25"/>
        <v>666.201595</v>
      </c>
      <c r="K185" s="34">
        <v>2527.2805950000002</v>
      </c>
      <c r="L185" s="34">
        <v>3201.7805950000002</v>
      </c>
      <c r="M185" s="34">
        <f t="shared" si="26"/>
        <v>674.5</v>
      </c>
      <c r="N185" s="34">
        <v>0</v>
      </c>
      <c r="O185" s="34">
        <v>0</v>
      </c>
      <c r="P185" s="34">
        <f t="shared" si="27"/>
        <v>0</v>
      </c>
      <c r="Q185" s="34">
        <v>0</v>
      </c>
      <c r="R185" s="34">
        <v>0</v>
      </c>
      <c r="S185" s="34">
        <f t="shared" si="28"/>
        <v>0</v>
      </c>
      <c r="T185" s="34">
        <v>0</v>
      </c>
      <c r="U185" s="34">
        <v>0</v>
      </c>
      <c r="V185" s="34">
        <f t="shared" si="29"/>
        <v>0</v>
      </c>
      <c r="W185" s="34">
        <v>33.369999999999997</v>
      </c>
      <c r="X185" s="34">
        <v>11.005000000000001</v>
      </c>
      <c r="Y185" s="34">
        <v>0.71</v>
      </c>
      <c r="Z185" s="34">
        <v>1.0649999999999999</v>
      </c>
      <c r="AA185" s="34">
        <v>0</v>
      </c>
      <c r="AB185" s="34">
        <v>0</v>
      </c>
      <c r="AC185" s="34">
        <v>0</v>
      </c>
      <c r="AD185" s="34">
        <v>164.27323867500002</v>
      </c>
      <c r="AE185" s="34">
        <f t="shared" si="30"/>
        <v>210.42323867500002</v>
      </c>
      <c r="AF185" s="34">
        <f t="shared" si="31"/>
        <v>46.150000000000006</v>
      </c>
      <c r="AG185" s="34">
        <v>167.56</v>
      </c>
      <c r="AH185" s="34">
        <v>39.049999999999997</v>
      </c>
      <c r="AI185" s="34">
        <v>1.42</v>
      </c>
      <c r="AJ185" s="34">
        <v>4.26</v>
      </c>
      <c r="AK185" s="34">
        <v>5.3250000000000002</v>
      </c>
      <c r="AL185" s="34">
        <v>10.65</v>
      </c>
      <c r="AM185" s="34">
        <v>0</v>
      </c>
      <c r="AN185" s="34">
        <v>0</v>
      </c>
      <c r="AO185" s="34">
        <v>0</v>
      </c>
      <c r="AP185" s="34">
        <v>812.52071129249998</v>
      </c>
      <c r="AQ185" s="34">
        <f t="shared" si="32"/>
        <v>1040.7857112924999</v>
      </c>
      <c r="AR185" s="34">
        <f t="shared" si="33"/>
        <v>228.26499999999987</v>
      </c>
      <c r="AS185" s="34">
        <f t="shared" si="34"/>
        <v>274.41499999999985</v>
      </c>
      <c r="AT185" t="str">
        <f t="shared" si="35"/>
        <v>OK</v>
      </c>
    </row>
    <row r="186" spans="1:46" x14ac:dyDescent="0.25">
      <c r="A186" t="s">
        <v>124</v>
      </c>
      <c r="B186" t="s">
        <v>176</v>
      </c>
      <c r="C186" s="34">
        <v>8094</v>
      </c>
      <c r="D186" s="34">
        <v>674.5</v>
      </c>
      <c r="E186" s="34">
        <v>2571.0790000000002</v>
      </c>
      <c r="F186" s="34">
        <f t="shared" si="24"/>
        <v>3245.5790000000002</v>
      </c>
      <c r="G186" s="34">
        <v>0</v>
      </c>
      <c r="H186" s="34">
        <v>2571.0790000000002</v>
      </c>
      <c r="I186" s="34">
        <v>3330.8835800000002</v>
      </c>
      <c r="J186" s="34">
        <f t="shared" si="25"/>
        <v>759.80457999999999</v>
      </c>
      <c r="K186" s="34">
        <v>2620.8835800000002</v>
      </c>
      <c r="L186" s="34">
        <v>3295.3835800000002</v>
      </c>
      <c r="M186" s="34">
        <f t="shared" si="26"/>
        <v>674.5</v>
      </c>
      <c r="N186" s="34">
        <v>0</v>
      </c>
      <c r="O186" s="34">
        <v>0</v>
      </c>
      <c r="P186" s="34">
        <f t="shared" si="27"/>
        <v>0</v>
      </c>
      <c r="Q186" s="34">
        <v>0</v>
      </c>
      <c r="R186" s="34">
        <v>0</v>
      </c>
      <c r="S186" s="34">
        <f t="shared" si="28"/>
        <v>0</v>
      </c>
      <c r="T186" s="34">
        <v>0</v>
      </c>
      <c r="U186" s="34">
        <v>0</v>
      </c>
      <c r="V186" s="34">
        <f t="shared" si="29"/>
        <v>0</v>
      </c>
      <c r="W186" s="34">
        <v>33.369999999999997</v>
      </c>
      <c r="X186" s="34">
        <v>11.005000000000001</v>
      </c>
      <c r="Y186" s="34">
        <v>0.71</v>
      </c>
      <c r="Z186" s="34">
        <v>1.0649999999999999</v>
      </c>
      <c r="AA186" s="34">
        <v>0</v>
      </c>
      <c r="AB186" s="34">
        <v>0</v>
      </c>
      <c r="AC186" s="34">
        <v>0</v>
      </c>
      <c r="AD186" s="34">
        <v>170.3574327</v>
      </c>
      <c r="AE186" s="34">
        <f t="shared" si="30"/>
        <v>216.50743270000001</v>
      </c>
      <c r="AF186" s="34">
        <f t="shared" si="31"/>
        <v>46.150000000000006</v>
      </c>
      <c r="AG186" s="34">
        <v>167.56</v>
      </c>
      <c r="AH186" s="34">
        <v>39.049999999999997</v>
      </c>
      <c r="AI186" s="34">
        <v>1.42</v>
      </c>
      <c r="AJ186" s="34">
        <v>4.26</v>
      </c>
      <c r="AK186" s="34">
        <v>5.3250000000000002</v>
      </c>
      <c r="AL186" s="34">
        <v>10.65</v>
      </c>
      <c r="AM186" s="34">
        <v>0</v>
      </c>
      <c r="AN186" s="34">
        <v>0</v>
      </c>
      <c r="AO186" s="34">
        <v>0</v>
      </c>
      <c r="AP186" s="34">
        <v>842.61407096999994</v>
      </c>
      <c r="AQ186" s="34">
        <f t="shared" si="32"/>
        <v>1070.8790709699999</v>
      </c>
      <c r="AR186" s="34">
        <f t="shared" si="33"/>
        <v>228.26499999999999</v>
      </c>
      <c r="AS186" s="34">
        <f t="shared" si="34"/>
        <v>274.41499999999996</v>
      </c>
      <c r="AT186" t="str">
        <f t="shared" si="35"/>
        <v>OK</v>
      </c>
    </row>
    <row r="187" spans="1:46" x14ac:dyDescent="0.25">
      <c r="A187" t="s">
        <v>124</v>
      </c>
      <c r="B187" t="s">
        <v>177</v>
      </c>
      <c r="C187" s="34">
        <v>8094</v>
      </c>
      <c r="D187" s="34">
        <v>674.5</v>
      </c>
      <c r="E187" s="34">
        <v>2571.0790000000002</v>
      </c>
      <c r="F187" s="34">
        <f t="shared" si="24"/>
        <v>3245.5790000000002</v>
      </c>
      <c r="G187" s="34">
        <v>0</v>
      </c>
      <c r="H187" s="34">
        <v>2571.0790000000002</v>
      </c>
      <c r="I187" s="34">
        <v>3330.8835800000002</v>
      </c>
      <c r="J187" s="34">
        <f t="shared" si="25"/>
        <v>759.80457999999999</v>
      </c>
      <c r="K187" s="34">
        <v>2620.8835800000002</v>
      </c>
      <c r="L187" s="34">
        <v>3295.3835800000002</v>
      </c>
      <c r="M187" s="34">
        <f t="shared" si="26"/>
        <v>674.5</v>
      </c>
      <c r="N187" s="34">
        <v>0</v>
      </c>
      <c r="O187" s="34">
        <v>0</v>
      </c>
      <c r="P187" s="34">
        <f t="shared" si="27"/>
        <v>0</v>
      </c>
      <c r="Q187" s="34">
        <v>0</v>
      </c>
      <c r="R187" s="34">
        <v>0</v>
      </c>
      <c r="S187" s="34">
        <f t="shared" si="28"/>
        <v>0</v>
      </c>
      <c r="T187" s="34">
        <v>0</v>
      </c>
      <c r="U187" s="34">
        <v>0</v>
      </c>
      <c r="V187" s="34">
        <f t="shared" si="29"/>
        <v>0</v>
      </c>
      <c r="W187" s="34">
        <v>33.369999999999997</v>
      </c>
      <c r="X187" s="34">
        <v>11.005000000000001</v>
      </c>
      <c r="Y187" s="34">
        <v>0.71</v>
      </c>
      <c r="Z187" s="34">
        <v>1.0649999999999999</v>
      </c>
      <c r="AA187" s="34">
        <v>0</v>
      </c>
      <c r="AB187" s="34">
        <v>0</v>
      </c>
      <c r="AC187" s="34">
        <v>0</v>
      </c>
      <c r="AD187" s="34">
        <v>170.3574327</v>
      </c>
      <c r="AE187" s="34">
        <f t="shared" si="30"/>
        <v>216.50743270000001</v>
      </c>
      <c r="AF187" s="34">
        <f t="shared" si="31"/>
        <v>46.150000000000006</v>
      </c>
      <c r="AG187" s="34">
        <v>167.56</v>
      </c>
      <c r="AH187" s="34">
        <v>39.049999999999997</v>
      </c>
      <c r="AI187" s="34">
        <v>1.42</v>
      </c>
      <c r="AJ187" s="34">
        <v>4.26</v>
      </c>
      <c r="AK187" s="34">
        <v>5.3250000000000002</v>
      </c>
      <c r="AL187" s="34">
        <v>10.65</v>
      </c>
      <c r="AM187" s="34">
        <v>0</v>
      </c>
      <c r="AN187" s="34">
        <v>0</v>
      </c>
      <c r="AO187" s="34">
        <v>0</v>
      </c>
      <c r="AP187" s="34">
        <v>842.61407096999994</v>
      </c>
      <c r="AQ187" s="34">
        <f t="shared" si="32"/>
        <v>1070.8790709699999</v>
      </c>
      <c r="AR187" s="34">
        <f t="shared" si="33"/>
        <v>228.26499999999999</v>
      </c>
      <c r="AS187" s="34">
        <f t="shared" si="34"/>
        <v>274.41499999999996</v>
      </c>
      <c r="AT187" t="str">
        <f t="shared" si="35"/>
        <v>OK</v>
      </c>
    </row>
    <row r="188" spans="1:46" x14ac:dyDescent="0.25">
      <c r="A188" t="s">
        <v>124</v>
      </c>
      <c r="B188" t="s">
        <v>178</v>
      </c>
      <c r="C188" s="34">
        <v>8094</v>
      </c>
      <c r="D188" s="34">
        <v>674.5</v>
      </c>
      <c r="E188" s="34">
        <v>2571.0790000000002</v>
      </c>
      <c r="F188" s="34">
        <f t="shared" si="24"/>
        <v>3245.5790000000002</v>
      </c>
      <c r="G188" s="34">
        <v>0</v>
      </c>
      <c r="H188" s="34">
        <v>2571.0790000000002</v>
      </c>
      <c r="I188" s="34">
        <v>3330.8835800000002</v>
      </c>
      <c r="J188" s="34">
        <f t="shared" si="25"/>
        <v>759.80457999999999</v>
      </c>
      <c r="K188" s="34">
        <v>2620.8835800000002</v>
      </c>
      <c r="L188" s="34">
        <v>3295.3835800000002</v>
      </c>
      <c r="M188" s="34">
        <f t="shared" si="26"/>
        <v>674.5</v>
      </c>
      <c r="N188" s="34">
        <v>0</v>
      </c>
      <c r="O188" s="34">
        <v>0</v>
      </c>
      <c r="P188" s="34">
        <f t="shared" si="27"/>
        <v>0</v>
      </c>
      <c r="Q188" s="34">
        <v>0</v>
      </c>
      <c r="R188" s="34">
        <v>0</v>
      </c>
      <c r="S188" s="34">
        <f t="shared" si="28"/>
        <v>0</v>
      </c>
      <c r="T188" s="34">
        <v>0</v>
      </c>
      <c r="U188" s="34">
        <v>0</v>
      </c>
      <c r="V188" s="34">
        <f t="shared" si="29"/>
        <v>0</v>
      </c>
      <c r="W188" s="34">
        <v>33.369999999999997</v>
      </c>
      <c r="X188" s="34">
        <v>11.005000000000001</v>
      </c>
      <c r="Y188" s="34">
        <v>0.71</v>
      </c>
      <c r="Z188" s="34">
        <v>1.0649999999999999</v>
      </c>
      <c r="AA188" s="34">
        <v>0</v>
      </c>
      <c r="AB188" s="34">
        <v>0</v>
      </c>
      <c r="AC188" s="34">
        <v>0</v>
      </c>
      <c r="AD188" s="34">
        <v>170.3574327</v>
      </c>
      <c r="AE188" s="34">
        <f t="shared" si="30"/>
        <v>216.50743270000001</v>
      </c>
      <c r="AF188" s="34">
        <f t="shared" si="31"/>
        <v>46.150000000000006</v>
      </c>
      <c r="AG188" s="34">
        <v>167.56</v>
      </c>
      <c r="AH188" s="34">
        <v>39.049999999999997</v>
      </c>
      <c r="AI188" s="34">
        <v>1.42</v>
      </c>
      <c r="AJ188" s="34">
        <v>4.26</v>
      </c>
      <c r="AK188" s="34">
        <v>5.3250000000000002</v>
      </c>
      <c r="AL188" s="34">
        <v>10.65</v>
      </c>
      <c r="AM188" s="34">
        <v>0</v>
      </c>
      <c r="AN188" s="34">
        <v>0</v>
      </c>
      <c r="AO188" s="34">
        <v>0</v>
      </c>
      <c r="AP188" s="34">
        <v>842.61407096999994</v>
      </c>
      <c r="AQ188" s="34">
        <f t="shared" si="32"/>
        <v>1070.8790709699999</v>
      </c>
      <c r="AR188" s="34">
        <f t="shared" si="33"/>
        <v>228.26499999999999</v>
      </c>
      <c r="AS188" s="34">
        <f t="shared" si="34"/>
        <v>274.41499999999996</v>
      </c>
      <c r="AT188" t="str">
        <f t="shared" si="35"/>
        <v>OK</v>
      </c>
    </row>
    <row r="189" spans="1:46" x14ac:dyDescent="0.25">
      <c r="A189" t="s">
        <v>124</v>
      </c>
      <c r="B189" t="s">
        <v>179</v>
      </c>
      <c r="C189" s="34">
        <v>8094</v>
      </c>
      <c r="D189" s="34">
        <v>674.5</v>
      </c>
      <c r="E189" s="34">
        <v>2571.0790000000002</v>
      </c>
      <c r="F189" s="34">
        <f t="shared" si="24"/>
        <v>3245.5790000000002</v>
      </c>
      <c r="G189" s="34">
        <v>0</v>
      </c>
      <c r="H189" s="34">
        <v>2571.0790000000002</v>
      </c>
      <c r="I189" s="34">
        <v>3330.8835800000002</v>
      </c>
      <c r="J189" s="34">
        <f t="shared" si="25"/>
        <v>759.80457999999999</v>
      </c>
      <c r="K189" s="34">
        <v>2620.8835800000002</v>
      </c>
      <c r="L189" s="34">
        <v>3295.3835800000002</v>
      </c>
      <c r="M189" s="34">
        <f t="shared" si="26"/>
        <v>674.5</v>
      </c>
      <c r="N189" s="34">
        <v>0</v>
      </c>
      <c r="O189" s="34">
        <v>0</v>
      </c>
      <c r="P189" s="34">
        <f t="shared" si="27"/>
        <v>0</v>
      </c>
      <c r="Q189" s="34">
        <v>0</v>
      </c>
      <c r="R189" s="34">
        <v>0</v>
      </c>
      <c r="S189" s="34">
        <f t="shared" si="28"/>
        <v>0</v>
      </c>
      <c r="T189" s="34">
        <v>0</v>
      </c>
      <c r="U189" s="34">
        <v>0</v>
      </c>
      <c r="V189" s="34">
        <f t="shared" si="29"/>
        <v>0</v>
      </c>
      <c r="W189" s="34">
        <v>33.369999999999997</v>
      </c>
      <c r="X189" s="34">
        <v>11.005000000000001</v>
      </c>
      <c r="Y189" s="34">
        <v>0.71</v>
      </c>
      <c r="Z189" s="34">
        <v>1.0649999999999999</v>
      </c>
      <c r="AA189" s="34">
        <v>0</v>
      </c>
      <c r="AB189" s="34">
        <v>0</v>
      </c>
      <c r="AC189" s="34">
        <v>0</v>
      </c>
      <c r="AD189" s="34">
        <v>170.3574327</v>
      </c>
      <c r="AE189" s="34">
        <f t="shared" si="30"/>
        <v>216.50743270000001</v>
      </c>
      <c r="AF189" s="34">
        <f t="shared" si="31"/>
        <v>46.150000000000006</v>
      </c>
      <c r="AG189" s="34">
        <v>167.56</v>
      </c>
      <c r="AH189" s="34">
        <v>39.049999999999997</v>
      </c>
      <c r="AI189" s="34">
        <v>1.42</v>
      </c>
      <c r="AJ189" s="34">
        <v>4.26</v>
      </c>
      <c r="AK189" s="34">
        <v>5.3250000000000002</v>
      </c>
      <c r="AL189" s="34">
        <v>10.65</v>
      </c>
      <c r="AM189" s="34">
        <v>0</v>
      </c>
      <c r="AN189" s="34">
        <v>0</v>
      </c>
      <c r="AO189" s="34">
        <v>0</v>
      </c>
      <c r="AP189" s="34">
        <v>842.61407096999994</v>
      </c>
      <c r="AQ189" s="34">
        <f t="shared" si="32"/>
        <v>1070.8790709699999</v>
      </c>
      <c r="AR189" s="34">
        <f t="shared" si="33"/>
        <v>228.26499999999999</v>
      </c>
      <c r="AS189" s="34">
        <f t="shared" si="34"/>
        <v>274.41499999999996</v>
      </c>
      <c r="AT189" t="str">
        <f t="shared" si="35"/>
        <v>OK</v>
      </c>
    </row>
    <row r="190" spans="1:46" x14ac:dyDescent="0.25">
      <c r="A190" t="s">
        <v>124</v>
      </c>
      <c r="B190" t="s">
        <v>180</v>
      </c>
      <c r="C190" s="34">
        <v>8094</v>
      </c>
      <c r="D190" s="34">
        <v>674.5</v>
      </c>
      <c r="E190" s="34">
        <v>2571.0790000000002</v>
      </c>
      <c r="F190" s="34">
        <f t="shared" si="24"/>
        <v>3245.5790000000002</v>
      </c>
      <c r="G190" s="34">
        <v>0</v>
      </c>
      <c r="H190" s="34">
        <v>2571.0790000000002</v>
      </c>
      <c r="I190" s="34">
        <v>3330.8835800000002</v>
      </c>
      <c r="J190" s="34">
        <f t="shared" si="25"/>
        <v>759.80457999999999</v>
      </c>
      <c r="K190" s="34">
        <v>2620.8835800000002</v>
      </c>
      <c r="L190" s="34">
        <v>3295.3835800000002</v>
      </c>
      <c r="M190" s="34">
        <f t="shared" si="26"/>
        <v>674.5</v>
      </c>
      <c r="N190" s="34">
        <v>0</v>
      </c>
      <c r="O190" s="34">
        <v>0</v>
      </c>
      <c r="P190" s="34">
        <f t="shared" si="27"/>
        <v>0</v>
      </c>
      <c r="Q190" s="34">
        <v>0</v>
      </c>
      <c r="R190" s="34">
        <v>0</v>
      </c>
      <c r="S190" s="34">
        <f t="shared" si="28"/>
        <v>0</v>
      </c>
      <c r="T190" s="34">
        <v>0</v>
      </c>
      <c r="U190" s="34">
        <v>0</v>
      </c>
      <c r="V190" s="34">
        <f t="shared" si="29"/>
        <v>0</v>
      </c>
      <c r="W190" s="34">
        <v>33.369999999999997</v>
      </c>
      <c r="X190" s="34">
        <v>11.005000000000001</v>
      </c>
      <c r="Y190" s="34">
        <v>0.71</v>
      </c>
      <c r="Z190" s="34">
        <v>1.0649999999999999</v>
      </c>
      <c r="AA190" s="34">
        <v>0</v>
      </c>
      <c r="AB190" s="34">
        <v>0</v>
      </c>
      <c r="AC190" s="34">
        <v>0</v>
      </c>
      <c r="AD190" s="34">
        <v>170.3574327</v>
      </c>
      <c r="AE190" s="34">
        <f t="shared" si="30"/>
        <v>216.50743270000001</v>
      </c>
      <c r="AF190" s="34">
        <f t="shared" si="31"/>
        <v>46.150000000000006</v>
      </c>
      <c r="AG190" s="34">
        <v>167.56</v>
      </c>
      <c r="AH190" s="34">
        <v>39.049999999999997</v>
      </c>
      <c r="AI190" s="34">
        <v>1.42</v>
      </c>
      <c r="AJ190" s="34">
        <v>4.26</v>
      </c>
      <c r="AK190" s="34">
        <v>5.3250000000000002</v>
      </c>
      <c r="AL190" s="34">
        <v>10.65</v>
      </c>
      <c r="AM190" s="34">
        <v>0</v>
      </c>
      <c r="AN190" s="34">
        <v>0</v>
      </c>
      <c r="AO190" s="34">
        <v>0</v>
      </c>
      <c r="AP190" s="34">
        <v>842.61407096999994</v>
      </c>
      <c r="AQ190" s="34">
        <f t="shared" si="32"/>
        <v>1070.8790709699999</v>
      </c>
      <c r="AR190" s="34">
        <f t="shared" si="33"/>
        <v>228.26499999999999</v>
      </c>
      <c r="AS190" s="34">
        <f t="shared" si="34"/>
        <v>274.41499999999996</v>
      </c>
      <c r="AT190" t="str">
        <f t="shared" si="35"/>
        <v>OK</v>
      </c>
    </row>
    <row r="191" spans="1:46" x14ac:dyDescent="0.25">
      <c r="A191" t="s">
        <v>124</v>
      </c>
      <c r="B191" t="s">
        <v>183</v>
      </c>
      <c r="C191" s="34">
        <v>8094</v>
      </c>
      <c r="D191" s="34">
        <v>674.5</v>
      </c>
      <c r="E191" s="34">
        <v>2571.0790000000002</v>
      </c>
      <c r="F191" s="34">
        <f t="shared" si="24"/>
        <v>3245.5790000000002</v>
      </c>
      <c r="G191" s="34">
        <v>0</v>
      </c>
      <c r="H191" s="34">
        <v>2571.0790000000002</v>
      </c>
      <c r="I191" s="34">
        <v>3330.8835800000002</v>
      </c>
      <c r="J191" s="34">
        <f t="shared" si="25"/>
        <v>759.80457999999999</v>
      </c>
      <c r="K191" s="34">
        <v>2620.8835800000002</v>
      </c>
      <c r="L191" s="34">
        <v>3295.3835800000002</v>
      </c>
      <c r="M191" s="34">
        <f t="shared" si="26"/>
        <v>674.5</v>
      </c>
      <c r="N191" s="34">
        <v>0</v>
      </c>
      <c r="O191" s="34">
        <v>0</v>
      </c>
      <c r="P191" s="34">
        <f t="shared" si="27"/>
        <v>0</v>
      </c>
      <c r="Q191" s="34">
        <v>0</v>
      </c>
      <c r="R191" s="34">
        <v>0</v>
      </c>
      <c r="S191" s="34">
        <f t="shared" si="28"/>
        <v>0</v>
      </c>
      <c r="T191" s="34">
        <v>0</v>
      </c>
      <c r="U191" s="34">
        <v>0</v>
      </c>
      <c r="V191" s="34">
        <f t="shared" si="29"/>
        <v>0</v>
      </c>
      <c r="W191" s="34">
        <v>33.369999999999997</v>
      </c>
      <c r="X191" s="34">
        <v>11.005000000000001</v>
      </c>
      <c r="Y191" s="34">
        <v>0.71</v>
      </c>
      <c r="Z191" s="34">
        <v>1.0649999999999999</v>
      </c>
      <c r="AA191" s="34">
        <v>0</v>
      </c>
      <c r="AB191" s="34">
        <v>0</v>
      </c>
      <c r="AC191" s="34">
        <v>0</v>
      </c>
      <c r="AD191" s="34">
        <v>170.3574327</v>
      </c>
      <c r="AE191" s="34">
        <f t="shared" si="30"/>
        <v>216.50743270000001</v>
      </c>
      <c r="AF191" s="34">
        <f t="shared" si="31"/>
        <v>46.150000000000006</v>
      </c>
      <c r="AG191" s="34">
        <v>167.56</v>
      </c>
      <c r="AH191" s="34">
        <v>39.049999999999997</v>
      </c>
      <c r="AI191" s="34">
        <v>1.42</v>
      </c>
      <c r="AJ191" s="34">
        <v>4.26</v>
      </c>
      <c r="AK191" s="34">
        <v>5.3250000000000002</v>
      </c>
      <c r="AL191" s="34">
        <v>10.65</v>
      </c>
      <c r="AM191" s="34">
        <v>0</v>
      </c>
      <c r="AN191" s="34">
        <v>0</v>
      </c>
      <c r="AO191" s="34">
        <v>0</v>
      </c>
      <c r="AP191" s="34">
        <v>842.61407096999994</v>
      </c>
      <c r="AQ191" s="34">
        <f t="shared" si="32"/>
        <v>1070.8790709699999</v>
      </c>
      <c r="AR191" s="34">
        <f t="shared" si="33"/>
        <v>228.26499999999999</v>
      </c>
      <c r="AS191" s="34">
        <f t="shared" si="34"/>
        <v>274.41499999999996</v>
      </c>
      <c r="AT191" t="str">
        <f t="shared" si="35"/>
        <v>OK</v>
      </c>
    </row>
    <row r="192" spans="1:46" x14ac:dyDescent="0.25">
      <c r="A192" t="s">
        <v>124</v>
      </c>
      <c r="B192" t="s">
        <v>184</v>
      </c>
      <c r="C192" s="34">
        <v>8094</v>
      </c>
      <c r="D192" s="34">
        <v>674.5</v>
      </c>
      <c r="E192" s="34">
        <v>2571.0790000000002</v>
      </c>
      <c r="F192" s="34">
        <f t="shared" si="24"/>
        <v>3245.5790000000002</v>
      </c>
      <c r="G192" s="34">
        <v>0</v>
      </c>
      <c r="H192" s="34">
        <v>2571.0790000000002</v>
      </c>
      <c r="I192" s="34">
        <v>3330.8835800000002</v>
      </c>
      <c r="J192" s="34">
        <f t="shared" si="25"/>
        <v>759.80457999999999</v>
      </c>
      <c r="K192" s="34">
        <v>2620.8835800000002</v>
      </c>
      <c r="L192" s="34">
        <v>3295.3835800000002</v>
      </c>
      <c r="M192" s="34">
        <f t="shared" si="26"/>
        <v>674.5</v>
      </c>
      <c r="N192" s="34">
        <v>0</v>
      </c>
      <c r="O192" s="34">
        <v>0</v>
      </c>
      <c r="P192" s="34">
        <f t="shared" si="27"/>
        <v>0</v>
      </c>
      <c r="Q192" s="34">
        <v>0</v>
      </c>
      <c r="R192" s="34">
        <v>0</v>
      </c>
      <c r="S192" s="34">
        <f t="shared" si="28"/>
        <v>0</v>
      </c>
      <c r="T192" s="34">
        <v>0</v>
      </c>
      <c r="U192" s="34">
        <v>0</v>
      </c>
      <c r="V192" s="34">
        <f t="shared" si="29"/>
        <v>0</v>
      </c>
      <c r="W192" s="34">
        <v>33.369999999999997</v>
      </c>
      <c r="X192" s="34">
        <v>11.005000000000001</v>
      </c>
      <c r="Y192" s="34">
        <v>0.71</v>
      </c>
      <c r="Z192" s="34">
        <v>1.0649999999999999</v>
      </c>
      <c r="AA192" s="34">
        <v>0</v>
      </c>
      <c r="AB192" s="34">
        <v>0</v>
      </c>
      <c r="AC192" s="34">
        <v>0</v>
      </c>
      <c r="AD192" s="34">
        <v>170.3574327</v>
      </c>
      <c r="AE192" s="34">
        <f t="shared" si="30"/>
        <v>216.50743270000001</v>
      </c>
      <c r="AF192" s="34">
        <f t="shared" si="31"/>
        <v>46.150000000000006</v>
      </c>
      <c r="AG192" s="34">
        <v>167.56</v>
      </c>
      <c r="AH192" s="34">
        <v>39.049999999999997</v>
      </c>
      <c r="AI192" s="34">
        <v>1.42</v>
      </c>
      <c r="AJ192" s="34">
        <v>4.26</v>
      </c>
      <c r="AK192" s="34">
        <v>5.3250000000000002</v>
      </c>
      <c r="AL192" s="34">
        <v>10.65</v>
      </c>
      <c r="AM192" s="34">
        <v>0</v>
      </c>
      <c r="AN192" s="34">
        <v>0</v>
      </c>
      <c r="AO192" s="34">
        <v>0</v>
      </c>
      <c r="AP192" s="34">
        <v>842.61407096999994</v>
      </c>
      <c r="AQ192" s="34">
        <f t="shared" si="32"/>
        <v>1070.8790709699999</v>
      </c>
      <c r="AR192" s="34">
        <f t="shared" si="33"/>
        <v>228.26499999999999</v>
      </c>
      <c r="AS192" s="34">
        <f t="shared" si="34"/>
        <v>274.41499999999996</v>
      </c>
      <c r="AT192" t="str">
        <f t="shared" si="35"/>
        <v>OK</v>
      </c>
    </row>
    <row r="193" spans="1:46" x14ac:dyDescent="0.25">
      <c r="A193" t="s">
        <v>124</v>
      </c>
      <c r="B193" t="s">
        <v>185</v>
      </c>
      <c r="C193" s="34">
        <v>8094</v>
      </c>
      <c r="D193" s="34">
        <v>674.5</v>
      </c>
      <c r="E193" s="34">
        <v>2571.0790000000002</v>
      </c>
      <c r="F193" s="34">
        <f t="shared" si="24"/>
        <v>3245.5790000000002</v>
      </c>
      <c r="G193" s="34">
        <v>0</v>
      </c>
      <c r="H193" s="34">
        <v>2571.0790000000002</v>
      </c>
      <c r="I193" s="34">
        <v>3330.8835800000002</v>
      </c>
      <c r="J193" s="34">
        <f t="shared" si="25"/>
        <v>759.80457999999999</v>
      </c>
      <c r="K193" s="34">
        <v>2620.8835800000002</v>
      </c>
      <c r="L193" s="34">
        <v>3295.3835800000002</v>
      </c>
      <c r="M193" s="34">
        <f t="shared" si="26"/>
        <v>674.5</v>
      </c>
      <c r="N193" s="34">
        <v>0</v>
      </c>
      <c r="O193" s="34">
        <v>0</v>
      </c>
      <c r="P193" s="34">
        <f t="shared" si="27"/>
        <v>0</v>
      </c>
      <c r="Q193" s="34">
        <v>0</v>
      </c>
      <c r="R193" s="34">
        <v>0</v>
      </c>
      <c r="S193" s="34">
        <f t="shared" si="28"/>
        <v>0</v>
      </c>
      <c r="T193" s="34">
        <v>0</v>
      </c>
      <c r="U193" s="34">
        <v>0</v>
      </c>
      <c r="V193" s="34">
        <f t="shared" si="29"/>
        <v>0</v>
      </c>
      <c r="W193" s="34">
        <v>33.369999999999997</v>
      </c>
      <c r="X193" s="34">
        <v>11.005000000000001</v>
      </c>
      <c r="Y193" s="34">
        <v>0.71</v>
      </c>
      <c r="Z193" s="34">
        <v>1.0649999999999999</v>
      </c>
      <c r="AA193" s="34">
        <v>0</v>
      </c>
      <c r="AB193" s="34">
        <v>0</v>
      </c>
      <c r="AC193" s="34">
        <v>0</v>
      </c>
      <c r="AD193" s="34">
        <v>170.3574327</v>
      </c>
      <c r="AE193" s="34">
        <f t="shared" si="30"/>
        <v>216.50743270000001</v>
      </c>
      <c r="AF193" s="34">
        <f t="shared" si="31"/>
        <v>46.150000000000006</v>
      </c>
      <c r="AG193" s="34">
        <v>167.56</v>
      </c>
      <c r="AH193" s="34">
        <v>39.049999999999997</v>
      </c>
      <c r="AI193" s="34">
        <v>1.42</v>
      </c>
      <c r="AJ193" s="34">
        <v>4.26</v>
      </c>
      <c r="AK193" s="34">
        <v>5.3250000000000002</v>
      </c>
      <c r="AL193" s="34">
        <v>10.65</v>
      </c>
      <c r="AM193" s="34">
        <v>0</v>
      </c>
      <c r="AN193" s="34">
        <v>0</v>
      </c>
      <c r="AO193" s="34">
        <v>0</v>
      </c>
      <c r="AP193" s="34">
        <v>842.61407096999994</v>
      </c>
      <c r="AQ193" s="34">
        <f t="shared" si="32"/>
        <v>1070.8790709699999</v>
      </c>
      <c r="AR193" s="34">
        <f t="shared" si="33"/>
        <v>228.26499999999999</v>
      </c>
      <c r="AS193" s="34">
        <f t="shared" si="34"/>
        <v>274.41499999999996</v>
      </c>
      <c r="AT193" t="str">
        <f t="shared" si="35"/>
        <v>OK</v>
      </c>
    </row>
    <row r="194" spans="1:46" x14ac:dyDescent="0.25">
      <c r="A194" t="s">
        <v>124</v>
      </c>
      <c r="B194" t="s">
        <v>186</v>
      </c>
      <c r="C194" s="34">
        <v>8094</v>
      </c>
      <c r="D194" s="34">
        <v>674.5</v>
      </c>
      <c r="E194" s="34">
        <v>2571.0790000000002</v>
      </c>
      <c r="F194" s="34">
        <f t="shared" si="24"/>
        <v>3245.5790000000002</v>
      </c>
      <c r="G194" s="34">
        <v>0</v>
      </c>
      <c r="H194" s="34">
        <v>2571.0790000000002</v>
      </c>
      <c r="I194" s="34">
        <v>3330.8835800000002</v>
      </c>
      <c r="J194" s="34">
        <f t="shared" si="25"/>
        <v>759.80457999999999</v>
      </c>
      <c r="K194" s="34">
        <v>2620.8835800000002</v>
      </c>
      <c r="L194" s="34">
        <v>3295.3835800000002</v>
      </c>
      <c r="M194" s="34">
        <f t="shared" si="26"/>
        <v>674.5</v>
      </c>
      <c r="N194" s="34">
        <v>0</v>
      </c>
      <c r="O194" s="34">
        <v>0</v>
      </c>
      <c r="P194" s="34">
        <f t="shared" si="27"/>
        <v>0</v>
      </c>
      <c r="Q194" s="34">
        <v>0</v>
      </c>
      <c r="R194" s="34">
        <v>0</v>
      </c>
      <c r="S194" s="34">
        <f t="shared" si="28"/>
        <v>0</v>
      </c>
      <c r="T194" s="34">
        <v>0</v>
      </c>
      <c r="U194" s="34">
        <v>0</v>
      </c>
      <c r="V194" s="34">
        <f t="shared" si="29"/>
        <v>0</v>
      </c>
      <c r="W194" s="34">
        <v>33.369999999999997</v>
      </c>
      <c r="X194" s="34">
        <v>11.005000000000001</v>
      </c>
      <c r="Y194" s="34">
        <v>0.71</v>
      </c>
      <c r="Z194" s="34">
        <v>1.0649999999999999</v>
      </c>
      <c r="AA194" s="34">
        <v>0</v>
      </c>
      <c r="AB194" s="34">
        <v>0</v>
      </c>
      <c r="AC194" s="34">
        <v>0</v>
      </c>
      <c r="AD194" s="34">
        <v>170.3574327</v>
      </c>
      <c r="AE194" s="34">
        <f t="shared" si="30"/>
        <v>216.50743270000001</v>
      </c>
      <c r="AF194" s="34">
        <f t="shared" si="31"/>
        <v>46.150000000000006</v>
      </c>
      <c r="AG194" s="34">
        <v>167.56</v>
      </c>
      <c r="AH194" s="34">
        <v>39.049999999999997</v>
      </c>
      <c r="AI194" s="34">
        <v>1.42</v>
      </c>
      <c r="AJ194" s="34">
        <v>4.26</v>
      </c>
      <c r="AK194" s="34">
        <v>5.3250000000000002</v>
      </c>
      <c r="AL194" s="34">
        <v>10.65</v>
      </c>
      <c r="AM194" s="34">
        <v>0</v>
      </c>
      <c r="AN194" s="34">
        <v>0</v>
      </c>
      <c r="AO194" s="34">
        <v>0</v>
      </c>
      <c r="AP194" s="34">
        <v>842.61407096999994</v>
      </c>
      <c r="AQ194" s="34">
        <f t="shared" si="32"/>
        <v>1070.8790709699999</v>
      </c>
      <c r="AR194" s="34">
        <f t="shared" si="33"/>
        <v>228.26499999999999</v>
      </c>
      <c r="AS194" s="34">
        <f t="shared" si="34"/>
        <v>274.41499999999996</v>
      </c>
      <c r="AT194" t="str">
        <f t="shared" si="35"/>
        <v>OK</v>
      </c>
    </row>
    <row r="195" spans="1:46" x14ac:dyDescent="0.25">
      <c r="A195" t="s">
        <v>124</v>
      </c>
      <c r="B195" t="s">
        <v>187</v>
      </c>
      <c r="C195" s="34">
        <v>8094</v>
      </c>
      <c r="D195" s="34">
        <v>674.5</v>
      </c>
      <c r="E195" s="34">
        <v>2571.0790000000002</v>
      </c>
      <c r="F195" s="34">
        <f t="shared" si="24"/>
        <v>3245.5790000000002</v>
      </c>
      <c r="G195" s="34">
        <v>0</v>
      </c>
      <c r="H195" s="34">
        <v>2571.0790000000002</v>
      </c>
      <c r="I195" s="34">
        <v>3330.8835800000002</v>
      </c>
      <c r="J195" s="34">
        <f t="shared" si="25"/>
        <v>759.80457999999999</v>
      </c>
      <c r="K195" s="34">
        <v>2620.8835800000002</v>
      </c>
      <c r="L195" s="34">
        <v>3295.3835800000002</v>
      </c>
      <c r="M195" s="34">
        <f t="shared" si="26"/>
        <v>674.5</v>
      </c>
      <c r="N195" s="34">
        <v>0</v>
      </c>
      <c r="O195" s="34">
        <v>0</v>
      </c>
      <c r="P195" s="34">
        <f t="shared" si="27"/>
        <v>0</v>
      </c>
      <c r="Q195" s="34">
        <v>0</v>
      </c>
      <c r="R195" s="34">
        <v>0</v>
      </c>
      <c r="S195" s="34">
        <f t="shared" si="28"/>
        <v>0</v>
      </c>
      <c r="T195" s="34">
        <v>0</v>
      </c>
      <c r="U195" s="34">
        <v>0</v>
      </c>
      <c r="V195" s="34">
        <f t="shared" si="29"/>
        <v>0</v>
      </c>
      <c r="W195" s="34">
        <v>33.369999999999997</v>
      </c>
      <c r="X195" s="34">
        <v>11.005000000000001</v>
      </c>
      <c r="Y195" s="34">
        <v>0.71</v>
      </c>
      <c r="Z195" s="34">
        <v>1.0649999999999999</v>
      </c>
      <c r="AA195" s="34">
        <v>0</v>
      </c>
      <c r="AB195" s="34">
        <v>0</v>
      </c>
      <c r="AC195" s="34">
        <v>0</v>
      </c>
      <c r="AD195" s="34">
        <v>170.3574327</v>
      </c>
      <c r="AE195" s="34">
        <f t="shared" si="30"/>
        <v>216.50743270000001</v>
      </c>
      <c r="AF195" s="34">
        <f t="shared" si="31"/>
        <v>46.150000000000006</v>
      </c>
      <c r="AG195" s="34">
        <v>167.56</v>
      </c>
      <c r="AH195" s="34">
        <v>39.049999999999997</v>
      </c>
      <c r="AI195" s="34">
        <v>1.42</v>
      </c>
      <c r="AJ195" s="34">
        <v>4.26</v>
      </c>
      <c r="AK195" s="34">
        <v>5.3250000000000002</v>
      </c>
      <c r="AL195" s="34">
        <v>10.65</v>
      </c>
      <c r="AM195" s="34">
        <v>0</v>
      </c>
      <c r="AN195" s="34">
        <v>0</v>
      </c>
      <c r="AO195" s="34">
        <v>0</v>
      </c>
      <c r="AP195" s="34">
        <v>842.61407096999994</v>
      </c>
      <c r="AQ195" s="34">
        <f t="shared" si="32"/>
        <v>1070.8790709699999</v>
      </c>
      <c r="AR195" s="34">
        <f t="shared" si="33"/>
        <v>228.26499999999999</v>
      </c>
      <c r="AS195" s="34">
        <f t="shared" si="34"/>
        <v>274.41499999999996</v>
      </c>
      <c r="AT195" t="str">
        <f t="shared" si="35"/>
        <v>OK</v>
      </c>
    </row>
    <row r="196" spans="1:46" x14ac:dyDescent="0.25">
      <c r="A196" t="s">
        <v>124</v>
      </c>
      <c r="B196" t="s">
        <v>189</v>
      </c>
      <c r="C196" s="34">
        <v>8094</v>
      </c>
      <c r="D196" s="34">
        <v>674.5</v>
      </c>
      <c r="E196" s="34">
        <v>2571.0790000000002</v>
      </c>
      <c r="F196" s="34">
        <f t="shared" si="24"/>
        <v>3245.5790000000002</v>
      </c>
      <c r="G196" s="34">
        <v>0</v>
      </c>
      <c r="H196" s="34">
        <v>2571.0790000000002</v>
      </c>
      <c r="I196" s="34">
        <v>3330.8835800000002</v>
      </c>
      <c r="J196" s="34">
        <f t="shared" si="25"/>
        <v>759.80457999999999</v>
      </c>
      <c r="K196" s="34">
        <v>2620.8835800000002</v>
      </c>
      <c r="L196" s="34">
        <v>3295.3835800000002</v>
      </c>
      <c r="M196" s="34">
        <f t="shared" si="26"/>
        <v>674.5</v>
      </c>
      <c r="N196" s="34">
        <v>0</v>
      </c>
      <c r="O196" s="34">
        <v>0</v>
      </c>
      <c r="P196" s="34">
        <f t="shared" si="27"/>
        <v>0</v>
      </c>
      <c r="Q196" s="34">
        <v>0</v>
      </c>
      <c r="R196" s="34">
        <v>0</v>
      </c>
      <c r="S196" s="34">
        <f t="shared" si="28"/>
        <v>0</v>
      </c>
      <c r="T196" s="34">
        <v>0</v>
      </c>
      <c r="U196" s="34">
        <v>0</v>
      </c>
      <c r="V196" s="34">
        <f t="shared" si="29"/>
        <v>0</v>
      </c>
      <c r="W196" s="34">
        <v>33.369999999999997</v>
      </c>
      <c r="X196" s="34">
        <v>11.005000000000001</v>
      </c>
      <c r="Y196" s="34">
        <v>0.71</v>
      </c>
      <c r="Z196" s="34">
        <v>1.0649999999999999</v>
      </c>
      <c r="AA196" s="34">
        <v>0</v>
      </c>
      <c r="AB196" s="34">
        <v>0</v>
      </c>
      <c r="AC196" s="34">
        <v>0</v>
      </c>
      <c r="AD196" s="34">
        <v>170.3574327</v>
      </c>
      <c r="AE196" s="34">
        <f t="shared" si="30"/>
        <v>216.50743270000001</v>
      </c>
      <c r="AF196" s="34">
        <f t="shared" si="31"/>
        <v>46.150000000000006</v>
      </c>
      <c r="AG196" s="34">
        <v>167.56</v>
      </c>
      <c r="AH196" s="34">
        <v>39.049999999999997</v>
      </c>
      <c r="AI196" s="34">
        <v>1.42</v>
      </c>
      <c r="AJ196" s="34">
        <v>4.26</v>
      </c>
      <c r="AK196" s="34">
        <v>5.3250000000000002</v>
      </c>
      <c r="AL196" s="34">
        <v>10.65</v>
      </c>
      <c r="AM196" s="34">
        <v>0</v>
      </c>
      <c r="AN196" s="34">
        <v>0</v>
      </c>
      <c r="AO196" s="34">
        <v>0</v>
      </c>
      <c r="AP196" s="34">
        <v>842.61407096999994</v>
      </c>
      <c r="AQ196" s="34">
        <f t="shared" si="32"/>
        <v>1070.8790709699999</v>
      </c>
      <c r="AR196" s="34">
        <f t="shared" si="33"/>
        <v>228.26499999999999</v>
      </c>
      <c r="AS196" s="34">
        <f t="shared" si="34"/>
        <v>274.41499999999996</v>
      </c>
      <c r="AT196" t="str">
        <f t="shared" si="35"/>
        <v>OK</v>
      </c>
    </row>
    <row r="197" spans="1:46" x14ac:dyDescent="0.25">
      <c r="A197" t="s">
        <v>126</v>
      </c>
      <c r="B197" t="s">
        <v>173</v>
      </c>
      <c r="C197" s="34">
        <v>0</v>
      </c>
      <c r="D197" s="34">
        <v>0</v>
      </c>
      <c r="E197" s="34">
        <v>4548.5720000000001</v>
      </c>
      <c r="F197" s="34">
        <f t="shared" ref="F197:F260" si="36">$E197+$D197</f>
        <v>4548.5720000000001</v>
      </c>
      <c r="G197" s="34">
        <v>0</v>
      </c>
      <c r="H197" s="34">
        <v>4548.5720000000001</v>
      </c>
      <c r="I197" s="34">
        <v>4548.5720000000001</v>
      </c>
      <c r="J197" s="34">
        <f t="shared" ref="J197:J260" si="37">MAX(0,$I197-$H197)</f>
        <v>0</v>
      </c>
      <c r="K197" s="34">
        <v>4626.0547200000001</v>
      </c>
      <c r="L197" s="34">
        <v>4626.0547200000001</v>
      </c>
      <c r="M197" s="34">
        <f t="shared" ref="M197:M260" si="38">MAX(0,$L197-$K197)</f>
        <v>0</v>
      </c>
      <c r="N197" s="34">
        <v>0</v>
      </c>
      <c r="O197" s="34">
        <v>0</v>
      </c>
      <c r="P197" s="34">
        <f t="shared" ref="P197:P260" si="39">MAX(0,$O197-$N197)</f>
        <v>0</v>
      </c>
      <c r="Q197" s="34">
        <v>0</v>
      </c>
      <c r="R197" s="34">
        <v>0</v>
      </c>
      <c r="S197" s="34">
        <f t="shared" ref="S197:S260" si="40">MAX(0,$R197-$Q197)</f>
        <v>0</v>
      </c>
      <c r="T197" s="34">
        <v>0</v>
      </c>
      <c r="U197" s="34">
        <v>0</v>
      </c>
      <c r="V197" s="34">
        <f t="shared" ref="V197:V260" si="41">MAX(0,$U197-$T197)</f>
        <v>0</v>
      </c>
      <c r="W197" s="34">
        <v>0</v>
      </c>
      <c r="X197" s="34">
        <v>0</v>
      </c>
      <c r="Y197" s="34">
        <v>0</v>
      </c>
      <c r="Z197" s="34">
        <v>0</v>
      </c>
      <c r="AA197" s="34">
        <v>0</v>
      </c>
      <c r="AB197" s="34">
        <v>0</v>
      </c>
      <c r="AC197" s="34">
        <v>0</v>
      </c>
      <c r="AD197" s="34">
        <v>300.69355680000001</v>
      </c>
      <c r="AE197" s="34">
        <f t="shared" ref="AE197:AE260" si="42">$AD197+SUM($W197:$AC197)</f>
        <v>300.69355680000001</v>
      </c>
      <c r="AF197" s="34">
        <f t="shared" ref="AF197:AF260" si="43">$AE197-$AD197</f>
        <v>0</v>
      </c>
      <c r="AG197" s="34">
        <v>0</v>
      </c>
      <c r="AH197" s="34">
        <v>0</v>
      </c>
      <c r="AI197" s="34">
        <v>0</v>
      </c>
      <c r="AJ197" s="34">
        <v>0</v>
      </c>
      <c r="AK197" s="34">
        <v>0</v>
      </c>
      <c r="AL197" s="34">
        <v>0</v>
      </c>
      <c r="AM197" s="34">
        <v>0</v>
      </c>
      <c r="AN197" s="34">
        <v>0</v>
      </c>
      <c r="AO197" s="34">
        <v>0</v>
      </c>
      <c r="AP197" s="34">
        <v>1487.2765924799999</v>
      </c>
      <c r="AQ197" s="34">
        <f t="shared" ref="AQ197:AQ260" si="44">$AP197+SUM($AG197:$AO197)</f>
        <v>1487.2765924799999</v>
      </c>
      <c r="AR197" s="34">
        <f t="shared" ref="AR197:AR260" si="45">$AQ197-$AP197</f>
        <v>0</v>
      </c>
      <c r="AS197" s="34">
        <f t="shared" ref="AS197:AS260" si="46">$AF197+$AR197</f>
        <v>0</v>
      </c>
      <c r="AT197" t="str">
        <f t="shared" ref="AT197:AT260" si="47">IF($C197=0,"SIN BONUS",IF(AND($J197&gt;=0,$M197&gt;=0,$P197&gt;=0,$S197&gt;=0,$V197&gt;=0),"OK","REVISAR"))</f>
        <v>SIN BONUS</v>
      </c>
    </row>
    <row r="198" spans="1:46" x14ac:dyDescent="0.25">
      <c r="A198" t="s">
        <v>126</v>
      </c>
      <c r="B198" t="s">
        <v>176</v>
      </c>
      <c r="C198" s="34">
        <v>0</v>
      </c>
      <c r="D198" s="34">
        <v>0</v>
      </c>
      <c r="E198" s="34">
        <v>4746.3359999999993</v>
      </c>
      <c r="F198" s="34">
        <f t="shared" si="36"/>
        <v>4746.3359999999993</v>
      </c>
      <c r="G198" s="34">
        <v>0</v>
      </c>
      <c r="H198" s="34">
        <v>4746.3359999999993</v>
      </c>
      <c r="I198" s="34">
        <v>4626.0547200000001</v>
      </c>
      <c r="J198" s="34">
        <f t="shared" si="37"/>
        <v>0</v>
      </c>
      <c r="K198" s="34">
        <v>4626.0547200000001</v>
      </c>
      <c r="L198" s="34">
        <v>4626.0547200000001</v>
      </c>
      <c r="M198" s="34">
        <f t="shared" si="38"/>
        <v>0</v>
      </c>
      <c r="N198" s="34">
        <v>0</v>
      </c>
      <c r="O198" s="34">
        <v>0</v>
      </c>
      <c r="P198" s="34">
        <f t="shared" si="39"/>
        <v>0</v>
      </c>
      <c r="Q198" s="34">
        <v>0</v>
      </c>
      <c r="R198" s="34">
        <v>0</v>
      </c>
      <c r="S198" s="34">
        <f t="shared" si="40"/>
        <v>0</v>
      </c>
      <c r="T198" s="34">
        <v>0</v>
      </c>
      <c r="U198" s="34">
        <v>0</v>
      </c>
      <c r="V198" s="34">
        <f t="shared" si="41"/>
        <v>0</v>
      </c>
      <c r="W198" s="34">
        <v>0</v>
      </c>
      <c r="X198" s="34">
        <v>0</v>
      </c>
      <c r="Y198" s="34">
        <v>0</v>
      </c>
      <c r="Z198" s="34">
        <v>0</v>
      </c>
      <c r="AA198" s="34">
        <v>0</v>
      </c>
      <c r="AB198" s="34">
        <v>0</v>
      </c>
      <c r="AC198" s="34">
        <v>0</v>
      </c>
      <c r="AD198" s="34">
        <v>300.69355680000001</v>
      </c>
      <c r="AE198" s="34">
        <f t="shared" si="42"/>
        <v>300.69355680000001</v>
      </c>
      <c r="AF198" s="34">
        <f t="shared" si="43"/>
        <v>0</v>
      </c>
      <c r="AG198" s="34">
        <v>0</v>
      </c>
      <c r="AH198" s="34">
        <v>0</v>
      </c>
      <c r="AI198" s="34">
        <v>0</v>
      </c>
      <c r="AJ198" s="34">
        <v>0</v>
      </c>
      <c r="AK198" s="34">
        <v>0</v>
      </c>
      <c r="AL198" s="34">
        <v>0</v>
      </c>
      <c r="AM198" s="34">
        <v>0</v>
      </c>
      <c r="AN198" s="34">
        <v>0</v>
      </c>
      <c r="AO198" s="34">
        <v>0</v>
      </c>
      <c r="AP198" s="34">
        <v>1487.2765924799999</v>
      </c>
      <c r="AQ198" s="34">
        <f t="shared" si="44"/>
        <v>1487.2765924799999</v>
      </c>
      <c r="AR198" s="34">
        <f t="shared" si="45"/>
        <v>0</v>
      </c>
      <c r="AS198" s="34">
        <f t="shared" si="46"/>
        <v>0</v>
      </c>
      <c r="AT198" t="str">
        <f t="shared" si="47"/>
        <v>SIN BONUS</v>
      </c>
    </row>
    <row r="199" spans="1:46" x14ac:dyDescent="0.25">
      <c r="A199" t="s">
        <v>126</v>
      </c>
      <c r="B199" t="s">
        <v>177</v>
      </c>
      <c r="C199" s="34">
        <v>0</v>
      </c>
      <c r="D199" s="34">
        <v>0</v>
      </c>
      <c r="E199" s="34">
        <v>4746.3359999999993</v>
      </c>
      <c r="F199" s="34">
        <f t="shared" si="36"/>
        <v>4746.3359999999993</v>
      </c>
      <c r="G199" s="34">
        <v>0</v>
      </c>
      <c r="H199" s="34">
        <v>4746.3359999999993</v>
      </c>
      <c r="I199" s="34">
        <v>4626.0547200000001</v>
      </c>
      <c r="J199" s="34">
        <f t="shared" si="37"/>
        <v>0</v>
      </c>
      <c r="K199" s="34">
        <v>4626.0547200000001</v>
      </c>
      <c r="L199" s="34">
        <v>4626.0547200000001</v>
      </c>
      <c r="M199" s="34">
        <f t="shared" si="38"/>
        <v>0</v>
      </c>
      <c r="N199" s="34">
        <v>0</v>
      </c>
      <c r="O199" s="34">
        <v>0</v>
      </c>
      <c r="P199" s="34">
        <f t="shared" si="39"/>
        <v>0</v>
      </c>
      <c r="Q199" s="34">
        <v>0</v>
      </c>
      <c r="R199" s="34">
        <v>0</v>
      </c>
      <c r="S199" s="34">
        <f t="shared" si="40"/>
        <v>0</v>
      </c>
      <c r="T199" s="34">
        <v>0</v>
      </c>
      <c r="U199" s="34">
        <v>0</v>
      </c>
      <c r="V199" s="34">
        <f t="shared" si="41"/>
        <v>0</v>
      </c>
      <c r="W199" s="34">
        <v>0</v>
      </c>
      <c r="X199" s="34">
        <v>0</v>
      </c>
      <c r="Y199" s="34">
        <v>0</v>
      </c>
      <c r="Z199" s="34">
        <v>0</v>
      </c>
      <c r="AA199" s="34">
        <v>0</v>
      </c>
      <c r="AB199" s="34">
        <v>0</v>
      </c>
      <c r="AC199" s="34">
        <v>0</v>
      </c>
      <c r="AD199" s="34">
        <v>300.69355680000001</v>
      </c>
      <c r="AE199" s="34">
        <f t="shared" si="42"/>
        <v>300.69355680000001</v>
      </c>
      <c r="AF199" s="34">
        <f t="shared" si="43"/>
        <v>0</v>
      </c>
      <c r="AG199" s="34">
        <v>0</v>
      </c>
      <c r="AH199" s="34">
        <v>0</v>
      </c>
      <c r="AI199" s="34">
        <v>0</v>
      </c>
      <c r="AJ199" s="34">
        <v>0</v>
      </c>
      <c r="AK199" s="34">
        <v>0</v>
      </c>
      <c r="AL199" s="34">
        <v>0</v>
      </c>
      <c r="AM199" s="34">
        <v>0</v>
      </c>
      <c r="AN199" s="34">
        <v>0</v>
      </c>
      <c r="AO199" s="34">
        <v>0</v>
      </c>
      <c r="AP199" s="34">
        <v>1487.2765924799999</v>
      </c>
      <c r="AQ199" s="34">
        <f t="shared" si="44"/>
        <v>1487.2765924799999</v>
      </c>
      <c r="AR199" s="34">
        <f t="shared" si="45"/>
        <v>0</v>
      </c>
      <c r="AS199" s="34">
        <f t="shared" si="46"/>
        <v>0</v>
      </c>
      <c r="AT199" t="str">
        <f t="shared" si="47"/>
        <v>SIN BONUS</v>
      </c>
    </row>
    <row r="200" spans="1:46" x14ac:dyDescent="0.25">
      <c r="A200" t="s">
        <v>126</v>
      </c>
      <c r="B200" t="s">
        <v>178</v>
      </c>
      <c r="C200" s="34">
        <v>0</v>
      </c>
      <c r="D200" s="34">
        <v>0</v>
      </c>
      <c r="E200" s="34">
        <v>4746.3359999999993</v>
      </c>
      <c r="F200" s="34">
        <f t="shared" si="36"/>
        <v>4746.3359999999993</v>
      </c>
      <c r="G200" s="34">
        <v>0</v>
      </c>
      <c r="H200" s="34">
        <v>4746.3359999999993</v>
      </c>
      <c r="I200" s="34">
        <v>4626.0547200000001</v>
      </c>
      <c r="J200" s="34">
        <f t="shared" si="37"/>
        <v>0</v>
      </c>
      <c r="K200" s="34">
        <v>4626.0547200000001</v>
      </c>
      <c r="L200" s="34">
        <v>4626.0547200000001</v>
      </c>
      <c r="M200" s="34">
        <f t="shared" si="38"/>
        <v>0</v>
      </c>
      <c r="N200" s="34">
        <v>0</v>
      </c>
      <c r="O200" s="34">
        <v>0</v>
      </c>
      <c r="P200" s="34">
        <f t="shared" si="39"/>
        <v>0</v>
      </c>
      <c r="Q200" s="34">
        <v>0</v>
      </c>
      <c r="R200" s="34">
        <v>0</v>
      </c>
      <c r="S200" s="34">
        <f t="shared" si="40"/>
        <v>0</v>
      </c>
      <c r="T200" s="34">
        <v>0</v>
      </c>
      <c r="U200" s="34">
        <v>0</v>
      </c>
      <c r="V200" s="34">
        <f t="shared" si="41"/>
        <v>0</v>
      </c>
      <c r="W200" s="34">
        <v>0</v>
      </c>
      <c r="X200" s="34">
        <v>0</v>
      </c>
      <c r="Y200" s="34">
        <v>0</v>
      </c>
      <c r="Z200" s="34">
        <v>0</v>
      </c>
      <c r="AA200" s="34">
        <v>0</v>
      </c>
      <c r="AB200" s="34">
        <v>0</v>
      </c>
      <c r="AC200" s="34">
        <v>0</v>
      </c>
      <c r="AD200" s="34">
        <v>300.69355680000001</v>
      </c>
      <c r="AE200" s="34">
        <f t="shared" si="42"/>
        <v>300.69355680000001</v>
      </c>
      <c r="AF200" s="34">
        <f t="shared" si="43"/>
        <v>0</v>
      </c>
      <c r="AG200" s="34">
        <v>0</v>
      </c>
      <c r="AH200" s="34">
        <v>0</v>
      </c>
      <c r="AI200" s="34">
        <v>0</v>
      </c>
      <c r="AJ200" s="34">
        <v>0</v>
      </c>
      <c r="AK200" s="34">
        <v>0</v>
      </c>
      <c r="AL200" s="34">
        <v>0</v>
      </c>
      <c r="AM200" s="34">
        <v>0</v>
      </c>
      <c r="AN200" s="34">
        <v>0</v>
      </c>
      <c r="AO200" s="34">
        <v>0</v>
      </c>
      <c r="AP200" s="34">
        <v>1487.2765924799999</v>
      </c>
      <c r="AQ200" s="34">
        <f t="shared" si="44"/>
        <v>1487.2765924799999</v>
      </c>
      <c r="AR200" s="34">
        <f t="shared" si="45"/>
        <v>0</v>
      </c>
      <c r="AS200" s="34">
        <f t="shared" si="46"/>
        <v>0</v>
      </c>
      <c r="AT200" t="str">
        <f t="shared" si="47"/>
        <v>SIN BONUS</v>
      </c>
    </row>
    <row r="201" spans="1:46" x14ac:dyDescent="0.25">
      <c r="A201" t="s">
        <v>126</v>
      </c>
      <c r="B201" t="s">
        <v>179</v>
      </c>
      <c r="C201" s="34">
        <v>0</v>
      </c>
      <c r="D201" s="34">
        <v>0</v>
      </c>
      <c r="E201" s="34">
        <v>4746.3359999999993</v>
      </c>
      <c r="F201" s="34">
        <f t="shared" si="36"/>
        <v>4746.3359999999993</v>
      </c>
      <c r="G201" s="34">
        <v>0</v>
      </c>
      <c r="H201" s="34">
        <v>4746.3359999999993</v>
      </c>
      <c r="I201" s="34">
        <v>4626.0547200000001</v>
      </c>
      <c r="J201" s="34">
        <f t="shared" si="37"/>
        <v>0</v>
      </c>
      <c r="K201" s="34">
        <v>4626.0547200000001</v>
      </c>
      <c r="L201" s="34">
        <v>4626.0547200000001</v>
      </c>
      <c r="M201" s="34">
        <f t="shared" si="38"/>
        <v>0</v>
      </c>
      <c r="N201" s="34">
        <v>0</v>
      </c>
      <c r="O201" s="34">
        <v>0</v>
      </c>
      <c r="P201" s="34">
        <f t="shared" si="39"/>
        <v>0</v>
      </c>
      <c r="Q201" s="34">
        <v>0</v>
      </c>
      <c r="R201" s="34">
        <v>0</v>
      </c>
      <c r="S201" s="34">
        <f t="shared" si="40"/>
        <v>0</v>
      </c>
      <c r="T201" s="34">
        <v>0</v>
      </c>
      <c r="U201" s="34">
        <v>0</v>
      </c>
      <c r="V201" s="34">
        <f t="shared" si="41"/>
        <v>0</v>
      </c>
      <c r="W201" s="34">
        <v>0</v>
      </c>
      <c r="X201" s="34">
        <v>0</v>
      </c>
      <c r="Y201" s="34">
        <v>0</v>
      </c>
      <c r="Z201" s="34">
        <v>0</v>
      </c>
      <c r="AA201" s="34">
        <v>0</v>
      </c>
      <c r="AB201" s="34">
        <v>0</v>
      </c>
      <c r="AC201" s="34">
        <v>0</v>
      </c>
      <c r="AD201" s="34">
        <v>300.69355680000001</v>
      </c>
      <c r="AE201" s="34">
        <f t="shared" si="42"/>
        <v>300.69355680000001</v>
      </c>
      <c r="AF201" s="34">
        <f t="shared" si="43"/>
        <v>0</v>
      </c>
      <c r="AG201" s="34">
        <v>0</v>
      </c>
      <c r="AH201" s="34">
        <v>0</v>
      </c>
      <c r="AI201" s="34">
        <v>0</v>
      </c>
      <c r="AJ201" s="34">
        <v>0</v>
      </c>
      <c r="AK201" s="34">
        <v>0</v>
      </c>
      <c r="AL201" s="34">
        <v>0</v>
      </c>
      <c r="AM201" s="34">
        <v>0</v>
      </c>
      <c r="AN201" s="34">
        <v>0</v>
      </c>
      <c r="AO201" s="34">
        <v>0</v>
      </c>
      <c r="AP201" s="34">
        <v>1487.2765924799999</v>
      </c>
      <c r="AQ201" s="34">
        <f t="shared" si="44"/>
        <v>1487.2765924799999</v>
      </c>
      <c r="AR201" s="34">
        <f t="shared" si="45"/>
        <v>0</v>
      </c>
      <c r="AS201" s="34">
        <f t="shared" si="46"/>
        <v>0</v>
      </c>
      <c r="AT201" t="str">
        <f t="shared" si="47"/>
        <v>SIN BONUS</v>
      </c>
    </row>
    <row r="202" spans="1:46" x14ac:dyDescent="0.25">
      <c r="A202" t="s">
        <v>126</v>
      </c>
      <c r="B202" t="s">
        <v>180</v>
      </c>
      <c r="C202" s="34">
        <v>0</v>
      </c>
      <c r="D202" s="34">
        <v>0</v>
      </c>
      <c r="E202" s="34">
        <v>4746.3359999999993</v>
      </c>
      <c r="F202" s="34">
        <f t="shared" si="36"/>
        <v>4746.3359999999993</v>
      </c>
      <c r="G202" s="34">
        <v>0</v>
      </c>
      <c r="H202" s="34">
        <v>4746.3359999999993</v>
      </c>
      <c r="I202" s="34">
        <v>4626.0547200000001</v>
      </c>
      <c r="J202" s="34">
        <f t="shared" si="37"/>
        <v>0</v>
      </c>
      <c r="K202" s="34">
        <v>4626.0547200000001</v>
      </c>
      <c r="L202" s="34">
        <v>4626.0547200000001</v>
      </c>
      <c r="M202" s="34">
        <f t="shared" si="38"/>
        <v>0</v>
      </c>
      <c r="N202" s="34">
        <v>0</v>
      </c>
      <c r="O202" s="34">
        <v>0</v>
      </c>
      <c r="P202" s="34">
        <f t="shared" si="39"/>
        <v>0</v>
      </c>
      <c r="Q202" s="34">
        <v>0</v>
      </c>
      <c r="R202" s="34">
        <v>0</v>
      </c>
      <c r="S202" s="34">
        <f t="shared" si="40"/>
        <v>0</v>
      </c>
      <c r="T202" s="34">
        <v>0</v>
      </c>
      <c r="U202" s="34">
        <v>0</v>
      </c>
      <c r="V202" s="34">
        <f t="shared" si="41"/>
        <v>0</v>
      </c>
      <c r="W202" s="34">
        <v>0</v>
      </c>
      <c r="X202" s="34">
        <v>0</v>
      </c>
      <c r="Y202" s="34">
        <v>0</v>
      </c>
      <c r="Z202" s="34">
        <v>0</v>
      </c>
      <c r="AA202" s="34">
        <v>0</v>
      </c>
      <c r="AB202" s="34">
        <v>0</v>
      </c>
      <c r="AC202" s="34">
        <v>0</v>
      </c>
      <c r="AD202" s="34">
        <v>300.69355680000001</v>
      </c>
      <c r="AE202" s="34">
        <f t="shared" si="42"/>
        <v>300.69355680000001</v>
      </c>
      <c r="AF202" s="34">
        <f t="shared" si="43"/>
        <v>0</v>
      </c>
      <c r="AG202" s="34">
        <v>0</v>
      </c>
      <c r="AH202" s="34">
        <v>0</v>
      </c>
      <c r="AI202" s="34">
        <v>0</v>
      </c>
      <c r="AJ202" s="34">
        <v>0</v>
      </c>
      <c r="AK202" s="34">
        <v>0</v>
      </c>
      <c r="AL202" s="34">
        <v>0</v>
      </c>
      <c r="AM202" s="34">
        <v>0</v>
      </c>
      <c r="AN202" s="34">
        <v>0</v>
      </c>
      <c r="AO202" s="34">
        <v>0</v>
      </c>
      <c r="AP202" s="34">
        <v>1487.2765924799999</v>
      </c>
      <c r="AQ202" s="34">
        <f t="shared" si="44"/>
        <v>1487.2765924799999</v>
      </c>
      <c r="AR202" s="34">
        <f t="shared" si="45"/>
        <v>0</v>
      </c>
      <c r="AS202" s="34">
        <f t="shared" si="46"/>
        <v>0</v>
      </c>
      <c r="AT202" t="str">
        <f t="shared" si="47"/>
        <v>SIN BONUS</v>
      </c>
    </row>
    <row r="203" spans="1:46" x14ac:dyDescent="0.25">
      <c r="A203" t="s">
        <v>126</v>
      </c>
      <c r="B203" t="s">
        <v>183</v>
      </c>
      <c r="C203" s="34">
        <v>0</v>
      </c>
      <c r="D203" s="34">
        <v>0</v>
      </c>
      <c r="E203" s="34">
        <v>4746.3359999999993</v>
      </c>
      <c r="F203" s="34">
        <f t="shared" si="36"/>
        <v>4746.3359999999993</v>
      </c>
      <c r="G203" s="34">
        <v>0</v>
      </c>
      <c r="H203" s="34">
        <v>4746.3359999999993</v>
      </c>
      <c r="I203" s="34">
        <v>4626.0547200000001</v>
      </c>
      <c r="J203" s="34">
        <f t="shared" si="37"/>
        <v>0</v>
      </c>
      <c r="K203" s="34">
        <v>4626.0547200000001</v>
      </c>
      <c r="L203" s="34">
        <v>4626.0547200000001</v>
      </c>
      <c r="M203" s="34">
        <f t="shared" si="38"/>
        <v>0</v>
      </c>
      <c r="N203" s="34">
        <v>0</v>
      </c>
      <c r="O203" s="34">
        <v>0</v>
      </c>
      <c r="P203" s="34">
        <f t="shared" si="39"/>
        <v>0</v>
      </c>
      <c r="Q203" s="34">
        <v>0</v>
      </c>
      <c r="R203" s="34">
        <v>0</v>
      </c>
      <c r="S203" s="34">
        <f t="shared" si="40"/>
        <v>0</v>
      </c>
      <c r="T203" s="34">
        <v>0</v>
      </c>
      <c r="U203" s="34">
        <v>0</v>
      </c>
      <c r="V203" s="34">
        <f t="shared" si="41"/>
        <v>0</v>
      </c>
      <c r="W203" s="34">
        <v>0</v>
      </c>
      <c r="X203" s="34">
        <v>0</v>
      </c>
      <c r="Y203" s="34">
        <v>0</v>
      </c>
      <c r="Z203" s="34">
        <v>0</v>
      </c>
      <c r="AA203" s="34">
        <v>0</v>
      </c>
      <c r="AB203" s="34">
        <v>0</v>
      </c>
      <c r="AC203" s="34">
        <v>0</v>
      </c>
      <c r="AD203" s="34">
        <v>300.69355680000001</v>
      </c>
      <c r="AE203" s="34">
        <f t="shared" si="42"/>
        <v>300.69355680000001</v>
      </c>
      <c r="AF203" s="34">
        <f t="shared" si="43"/>
        <v>0</v>
      </c>
      <c r="AG203" s="34">
        <v>0</v>
      </c>
      <c r="AH203" s="34">
        <v>0</v>
      </c>
      <c r="AI203" s="34">
        <v>0</v>
      </c>
      <c r="AJ203" s="34">
        <v>0</v>
      </c>
      <c r="AK203" s="34">
        <v>0</v>
      </c>
      <c r="AL203" s="34">
        <v>0</v>
      </c>
      <c r="AM203" s="34">
        <v>0</v>
      </c>
      <c r="AN203" s="34">
        <v>0</v>
      </c>
      <c r="AO203" s="34">
        <v>0</v>
      </c>
      <c r="AP203" s="34">
        <v>1487.2765924799999</v>
      </c>
      <c r="AQ203" s="34">
        <f t="shared" si="44"/>
        <v>1487.2765924799999</v>
      </c>
      <c r="AR203" s="34">
        <f t="shared" si="45"/>
        <v>0</v>
      </c>
      <c r="AS203" s="34">
        <f t="shared" si="46"/>
        <v>0</v>
      </c>
      <c r="AT203" t="str">
        <f t="shared" si="47"/>
        <v>SIN BONUS</v>
      </c>
    </row>
    <row r="204" spans="1:46" x14ac:dyDescent="0.25">
      <c r="A204" t="s">
        <v>126</v>
      </c>
      <c r="B204" t="s">
        <v>184</v>
      </c>
      <c r="C204" s="34">
        <v>0</v>
      </c>
      <c r="D204" s="34">
        <v>0</v>
      </c>
      <c r="E204" s="34">
        <v>4746.3359999999993</v>
      </c>
      <c r="F204" s="34">
        <f t="shared" si="36"/>
        <v>4746.3359999999993</v>
      </c>
      <c r="G204" s="34">
        <v>0</v>
      </c>
      <c r="H204" s="34">
        <v>4746.3359999999993</v>
      </c>
      <c r="I204" s="34">
        <v>4626.0547200000001</v>
      </c>
      <c r="J204" s="34">
        <f t="shared" si="37"/>
        <v>0</v>
      </c>
      <c r="K204" s="34">
        <v>4626.0547200000001</v>
      </c>
      <c r="L204" s="34">
        <v>4626.0547200000001</v>
      </c>
      <c r="M204" s="34">
        <f t="shared" si="38"/>
        <v>0</v>
      </c>
      <c r="N204" s="34">
        <v>0</v>
      </c>
      <c r="O204" s="34">
        <v>0</v>
      </c>
      <c r="P204" s="34">
        <f t="shared" si="39"/>
        <v>0</v>
      </c>
      <c r="Q204" s="34">
        <v>0</v>
      </c>
      <c r="R204" s="34">
        <v>0</v>
      </c>
      <c r="S204" s="34">
        <f t="shared" si="40"/>
        <v>0</v>
      </c>
      <c r="T204" s="34">
        <v>0</v>
      </c>
      <c r="U204" s="34">
        <v>0</v>
      </c>
      <c r="V204" s="34">
        <f t="shared" si="41"/>
        <v>0</v>
      </c>
      <c r="W204" s="34">
        <v>0</v>
      </c>
      <c r="X204" s="34">
        <v>0</v>
      </c>
      <c r="Y204" s="34">
        <v>0</v>
      </c>
      <c r="Z204" s="34">
        <v>0</v>
      </c>
      <c r="AA204" s="34">
        <v>0</v>
      </c>
      <c r="AB204" s="34">
        <v>0</v>
      </c>
      <c r="AC204" s="34">
        <v>0</v>
      </c>
      <c r="AD204" s="34">
        <v>300.69355680000001</v>
      </c>
      <c r="AE204" s="34">
        <f t="shared" si="42"/>
        <v>300.69355680000001</v>
      </c>
      <c r="AF204" s="34">
        <f t="shared" si="43"/>
        <v>0</v>
      </c>
      <c r="AG204" s="34">
        <v>0</v>
      </c>
      <c r="AH204" s="34">
        <v>0</v>
      </c>
      <c r="AI204" s="34">
        <v>0</v>
      </c>
      <c r="AJ204" s="34">
        <v>0</v>
      </c>
      <c r="AK204" s="34">
        <v>0</v>
      </c>
      <c r="AL204" s="34">
        <v>0</v>
      </c>
      <c r="AM204" s="34">
        <v>0</v>
      </c>
      <c r="AN204" s="34">
        <v>0</v>
      </c>
      <c r="AO204" s="34">
        <v>0</v>
      </c>
      <c r="AP204" s="34">
        <v>1487.2765924799999</v>
      </c>
      <c r="AQ204" s="34">
        <f t="shared" si="44"/>
        <v>1487.2765924799999</v>
      </c>
      <c r="AR204" s="34">
        <f t="shared" si="45"/>
        <v>0</v>
      </c>
      <c r="AS204" s="34">
        <f t="shared" si="46"/>
        <v>0</v>
      </c>
      <c r="AT204" t="str">
        <f t="shared" si="47"/>
        <v>SIN BONUS</v>
      </c>
    </row>
    <row r="205" spans="1:46" x14ac:dyDescent="0.25">
      <c r="A205" t="s">
        <v>126</v>
      </c>
      <c r="B205" t="s">
        <v>185</v>
      </c>
      <c r="C205" s="34">
        <v>0</v>
      </c>
      <c r="D205" s="34">
        <v>0</v>
      </c>
      <c r="E205" s="34">
        <v>4746.3359999999993</v>
      </c>
      <c r="F205" s="34">
        <f t="shared" si="36"/>
        <v>4746.3359999999993</v>
      </c>
      <c r="G205" s="34">
        <v>0</v>
      </c>
      <c r="H205" s="34">
        <v>4746.3359999999993</v>
      </c>
      <c r="I205" s="34">
        <v>4626.0547200000001</v>
      </c>
      <c r="J205" s="34">
        <f t="shared" si="37"/>
        <v>0</v>
      </c>
      <c r="K205" s="34">
        <v>4626.0547200000001</v>
      </c>
      <c r="L205" s="34">
        <v>4626.0547200000001</v>
      </c>
      <c r="M205" s="34">
        <f t="shared" si="38"/>
        <v>0</v>
      </c>
      <c r="N205" s="34">
        <v>0</v>
      </c>
      <c r="O205" s="34">
        <v>0</v>
      </c>
      <c r="P205" s="34">
        <f t="shared" si="39"/>
        <v>0</v>
      </c>
      <c r="Q205" s="34">
        <v>0</v>
      </c>
      <c r="R205" s="34">
        <v>0</v>
      </c>
      <c r="S205" s="34">
        <f t="shared" si="40"/>
        <v>0</v>
      </c>
      <c r="T205" s="34">
        <v>0</v>
      </c>
      <c r="U205" s="34">
        <v>0</v>
      </c>
      <c r="V205" s="34">
        <f t="shared" si="41"/>
        <v>0</v>
      </c>
      <c r="W205" s="34">
        <v>0</v>
      </c>
      <c r="X205" s="34">
        <v>0</v>
      </c>
      <c r="Y205" s="34">
        <v>0</v>
      </c>
      <c r="Z205" s="34">
        <v>0</v>
      </c>
      <c r="AA205" s="34">
        <v>0</v>
      </c>
      <c r="AB205" s="34">
        <v>0</v>
      </c>
      <c r="AC205" s="34">
        <v>0</v>
      </c>
      <c r="AD205" s="34">
        <v>300.69355680000001</v>
      </c>
      <c r="AE205" s="34">
        <f t="shared" si="42"/>
        <v>300.69355680000001</v>
      </c>
      <c r="AF205" s="34">
        <f t="shared" si="43"/>
        <v>0</v>
      </c>
      <c r="AG205" s="34">
        <v>0</v>
      </c>
      <c r="AH205" s="34">
        <v>0</v>
      </c>
      <c r="AI205" s="34">
        <v>0</v>
      </c>
      <c r="AJ205" s="34">
        <v>0</v>
      </c>
      <c r="AK205" s="34">
        <v>0</v>
      </c>
      <c r="AL205" s="34">
        <v>0</v>
      </c>
      <c r="AM205" s="34">
        <v>0</v>
      </c>
      <c r="AN205" s="34">
        <v>0</v>
      </c>
      <c r="AO205" s="34">
        <v>0</v>
      </c>
      <c r="AP205" s="34">
        <v>1487.2765924799999</v>
      </c>
      <c r="AQ205" s="34">
        <f t="shared" si="44"/>
        <v>1487.2765924799999</v>
      </c>
      <c r="AR205" s="34">
        <f t="shared" si="45"/>
        <v>0</v>
      </c>
      <c r="AS205" s="34">
        <f t="shared" si="46"/>
        <v>0</v>
      </c>
      <c r="AT205" t="str">
        <f t="shared" si="47"/>
        <v>SIN BONUS</v>
      </c>
    </row>
    <row r="206" spans="1:46" x14ac:dyDescent="0.25">
      <c r="A206" t="s">
        <v>126</v>
      </c>
      <c r="B206" t="s">
        <v>186</v>
      </c>
      <c r="C206" s="34">
        <v>0</v>
      </c>
      <c r="D206" s="34">
        <v>0</v>
      </c>
      <c r="E206" s="34">
        <v>4746.3359999999993</v>
      </c>
      <c r="F206" s="34">
        <f t="shared" si="36"/>
        <v>4746.3359999999993</v>
      </c>
      <c r="G206" s="34">
        <v>0</v>
      </c>
      <c r="H206" s="34">
        <v>4746.3359999999993</v>
      </c>
      <c r="I206" s="34">
        <v>4626.0547200000001</v>
      </c>
      <c r="J206" s="34">
        <f t="shared" si="37"/>
        <v>0</v>
      </c>
      <c r="K206" s="34">
        <v>4626.0547200000001</v>
      </c>
      <c r="L206" s="34">
        <v>4626.0547200000001</v>
      </c>
      <c r="M206" s="34">
        <f t="shared" si="38"/>
        <v>0</v>
      </c>
      <c r="N206" s="34">
        <v>0</v>
      </c>
      <c r="O206" s="34">
        <v>0</v>
      </c>
      <c r="P206" s="34">
        <f t="shared" si="39"/>
        <v>0</v>
      </c>
      <c r="Q206" s="34">
        <v>0</v>
      </c>
      <c r="R206" s="34">
        <v>0</v>
      </c>
      <c r="S206" s="34">
        <f t="shared" si="40"/>
        <v>0</v>
      </c>
      <c r="T206" s="34">
        <v>0</v>
      </c>
      <c r="U206" s="34">
        <v>0</v>
      </c>
      <c r="V206" s="34">
        <f t="shared" si="41"/>
        <v>0</v>
      </c>
      <c r="W206" s="34">
        <v>0</v>
      </c>
      <c r="X206" s="34">
        <v>0</v>
      </c>
      <c r="Y206" s="34">
        <v>0</v>
      </c>
      <c r="Z206" s="34">
        <v>0</v>
      </c>
      <c r="AA206" s="34">
        <v>0</v>
      </c>
      <c r="AB206" s="34">
        <v>0</v>
      </c>
      <c r="AC206" s="34">
        <v>0</v>
      </c>
      <c r="AD206" s="34">
        <v>300.69355680000001</v>
      </c>
      <c r="AE206" s="34">
        <f t="shared" si="42"/>
        <v>300.69355680000001</v>
      </c>
      <c r="AF206" s="34">
        <f t="shared" si="43"/>
        <v>0</v>
      </c>
      <c r="AG206" s="34">
        <v>0</v>
      </c>
      <c r="AH206" s="34">
        <v>0</v>
      </c>
      <c r="AI206" s="34">
        <v>0</v>
      </c>
      <c r="AJ206" s="34">
        <v>0</v>
      </c>
      <c r="AK206" s="34">
        <v>0</v>
      </c>
      <c r="AL206" s="34">
        <v>0</v>
      </c>
      <c r="AM206" s="34">
        <v>0</v>
      </c>
      <c r="AN206" s="34">
        <v>0</v>
      </c>
      <c r="AO206" s="34">
        <v>0</v>
      </c>
      <c r="AP206" s="34">
        <v>1487.2765924799999</v>
      </c>
      <c r="AQ206" s="34">
        <f t="shared" si="44"/>
        <v>1487.2765924799999</v>
      </c>
      <c r="AR206" s="34">
        <f t="shared" si="45"/>
        <v>0</v>
      </c>
      <c r="AS206" s="34">
        <f t="shared" si="46"/>
        <v>0</v>
      </c>
      <c r="AT206" t="str">
        <f t="shared" si="47"/>
        <v>SIN BONUS</v>
      </c>
    </row>
    <row r="207" spans="1:46" x14ac:dyDescent="0.25">
      <c r="A207" t="s">
        <v>126</v>
      </c>
      <c r="B207" t="s">
        <v>187</v>
      </c>
      <c r="C207" s="34">
        <v>0</v>
      </c>
      <c r="D207" s="34">
        <v>0</v>
      </c>
      <c r="E207" s="34">
        <v>4746.3359999999993</v>
      </c>
      <c r="F207" s="34">
        <f t="shared" si="36"/>
        <v>4746.3359999999993</v>
      </c>
      <c r="G207" s="34">
        <v>0</v>
      </c>
      <c r="H207" s="34">
        <v>4746.3359999999993</v>
      </c>
      <c r="I207" s="34">
        <v>4626.0547200000001</v>
      </c>
      <c r="J207" s="34">
        <f t="shared" si="37"/>
        <v>0</v>
      </c>
      <c r="K207" s="34">
        <v>4626.0547200000001</v>
      </c>
      <c r="L207" s="34">
        <v>4626.0547200000001</v>
      </c>
      <c r="M207" s="34">
        <f t="shared" si="38"/>
        <v>0</v>
      </c>
      <c r="N207" s="34">
        <v>0</v>
      </c>
      <c r="O207" s="34">
        <v>0</v>
      </c>
      <c r="P207" s="34">
        <f t="shared" si="39"/>
        <v>0</v>
      </c>
      <c r="Q207" s="34">
        <v>0</v>
      </c>
      <c r="R207" s="34">
        <v>0</v>
      </c>
      <c r="S207" s="34">
        <f t="shared" si="40"/>
        <v>0</v>
      </c>
      <c r="T207" s="34">
        <v>0</v>
      </c>
      <c r="U207" s="34">
        <v>0</v>
      </c>
      <c r="V207" s="34">
        <f t="shared" si="41"/>
        <v>0</v>
      </c>
      <c r="W207" s="34">
        <v>0</v>
      </c>
      <c r="X207" s="34">
        <v>0</v>
      </c>
      <c r="Y207" s="34">
        <v>0</v>
      </c>
      <c r="Z207" s="34">
        <v>0</v>
      </c>
      <c r="AA207" s="34">
        <v>0</v>
      </c>
      <c r="AB207" s="34">
        <v>0</v>
      </c>
      <c r="AC207" s="34">
        <v>0</v>
      </c>
      <c r="AD207" s="34">
        <v>300.69355680000001</v>
      </c>
      <c r="AE207" s="34">
        <f t="shared" si="42"/>
        <v>300.69355680000001</v>
      </c>
      <c r="AF207" s="34">
        <f t="shared" si="43"/>
        <v>0</v>
      </c>
      <c r="AG207" s="34">
        <v>0</v>
      </c>
      <c r="AH207" s="34">
        <v>0</v>
      </c>
      <c r="AI207" s="34">
        <v>0</v>
      </c>
      <c r="AJ207" s="34">
        <v>0</v>
      </c>
      <c r="AK207" s="34">
        <v>0</v>
      </c>
      <c r="AL207" s="34">
        <v>0</v>
      </c>
      <c r="AM207" s="34">
        <v>0</v>
      </c>
      <c r="AN207" s="34">
        <v>0</v>
      </c>
      <c r="AO207" s="34">
        <v>0</v>
      </c>
      <c r="AP207" s="34">
        <v>1487.2765924799999</v>
      </c>
      <c r="AQ207" s="34">
        <f t="shared" si="44"/>
        <v>1487.2765924799999</v>
      </c>
      <c r="AR207" s="34">
        <f t="shared" si="45"/>
        <v>0</v>
      </c>
      <c r="AS207" s="34">
        <f t="shared" si="46"/>
        <v>0</v>
      </c>
      <c r="AT207" t="str">
        <f t="shared" si="47"/>
        <v>SIN BONUS</v>
      </c>
    </row>
    <row r="208" spans="1:46" x14ac:dyDescent="0.25">
      <c r="A208" t="s">
        <v>126</v>
      </c>
      <c r="B208" t="s">
        <v>189</v>
      </c>
      <c r="C208" s="34">
        <v>0</v>
      </c>
      <c r="D208" s="34">
        <v>0</v>
      </c>
      <c r="E208" s="34">
        <v>4746.3359999999993</v>
      </c>
      <c r="F208" s="34">
        <f t="shared" si="36"/>
        <v>4746.3359999999993</v>
      </c>
      <c r="G208" s="34">
        <v>0</v>
      </c>
      <c r="H208" s="34">
        <v>4746.3359999999993</v>
      </c>
      <c r="I208" s="34">
        <v>4626.0547200000001</v>
      </c>
      <c r="J208" s="34">
        <f t="shared" si="37"/>
        <v>0</v>
      </c>
      <c r="K208" s="34">
        <v>4626.0547200000001</v>
      </c>
      <c r="L208" s="34">
        <v>4626.0547200000001</v>
      </c>
      <c r="M208" s="34">
        <f t="shared" si="38"/>
        <v>0</v>
      </c>
      <c r="N208" s="34">
        <v>0</v>
      </c>
      <c r="O208" s="34">
        <v>0</v>
      </c>
      <c r="P208" s="34">
        <f t="shared" si="39"/>
        <v>0</v>
      </c>
      <c r="Q208" s="34">
        <v>0</v>
      </c>
      <c r="R208" s="34">
        <v>0</v>
      </c>
      <c r="S208" s="34">
        <f t="shared" si="40"/>
        <v>0</v>
      </c>
      <c r="T208" s="34">
        <v>0</v>
      </c>
      <c r="U208" s="34">
        <v>0</v>
      </c>
      <c r="V208" s="34">
        <f t="shared" si="41"/>
        <v>0</v>
      </c>
      <c r="W208" s="34">
        <v>0</v>
      </c>
      <c r="X208" s="34">
        <v>0</v>
      </c>
      <c r="Y208" s="34">
        <v>0</v>
      </c>
      <c r="Z208" s="34">
        <v>0</v>
      </c>
      <c r="AA208" s="34">
        <v>0</v>
      </c>
      <c r="AB208" s="34">
        <v>0</v>
      </c>
      <c r="AC208" s="34">
        <v>0</v>
      </c>
      <c r="AD208" s="34">
        <v>300.69355680000001</v>
      </c>
      <c r="AE208" s="34">
        <f t="shared" si="42"/>
        <v>300.69355680000001</v>
      </c>
      <c r="AF208" s="34">
        <f t="shared" si="43"/>
        <v>0</v>
      </c>
      <c r="AG208" s="34">
        <v>0</v>
      </c>
      <c r="AH208" s="34">
        <v>0</v>
      </c>
      <c r="AI208" s="34">
        <v>0</v>
      </c>
      <c r="AJ208" s="34">
        <v>0</v>
      </c>
      <c r="AK208" s="34">
        <v>0</v>
      </c>
      <c r="AL208" s="34">
        <v>0</v>
      </c>
      <c r="AM208" s="34">
        <v>0</v>
      </c>
      <c r="AN208" s="34">
        <v>0</v>
      </c>
      <c r="AO208" s="34">
        <v>0</v>
      </c>
      <c r="AP208" s="34">
        <v>1487.2765924799999</v>
      </c>
      <c r="AQ208" s="34">
        <f t="shared" si="44"/>
        <v>1487.2765924799999</v>
      </c>
      <c r="AR208" s="34">
        <f t="shared" si="45"/>
        <v>0</v>
      </c>
      <c r="AS208" s="34">
        <f t="shared" si="46"/>
        <v>0</v>
      </c>
      <c r="AT208" t="str">
        <f t="shared" si="47"/>
        <v>SIN BONUS</v>
      </c>
    </row>
    <row r="209" spans="1:46" x14ac:dyDescent="0.25">
      <c r="A209" t="s">
        <v>128</v>
      </c>
      <c r="B209" t="s">
        <v>173</v>
      </c>
      <c r="C209" s="34">
        <v>3053</v>
      </c>
      <c r="D209" s="34">
        <v>254.41666666666666</v>
      </c>
      <c r="E209" s="34">
        <v>2539.11</v>
      </c>
      <c r="F209" s="34">
        <f t="shared" si="36"/>
        <v>2793.5266666666666</v>
      </c>
      <c r="G209" s="34">
        <v>0</v>
      </c>
      <c r="H209" s="34">
        <v>2539.11</v>
      </c>
      <c r="I209" s="34">
        <v>2812.5514499999999</v>
      </c>
      <c r="J209" s="34">
        <f t="shared" si="37"/>
        <v>273.4414499999998</v>
      </c>
      <c r="K209" s="34">
        <v>2572.5514499999999</v>
      </c>
      <c r="L209" s="34">
        <v>2826.9681166666664</v>
      </c>
      <c r="M209" s="34">
        <f t="shared" si="38"/>
        <v>254.41666666666652</v>
      </c>
      <c r="N209" s="34">
        <v>0</v>
      </c>
      <c r="O209" s="34">
        <v>0</v>
      </c>
      <c r="P209" s="34">
        <f t="shared" si="39"/>
        <v>0</v>
      </c>
      <c r="Q209" s="34">
        <v>0</v>
      </c>
      <c r="R209" s="34">
        <v>0</v>
      </c>
      <c r="S209" s="34">
        <f t="shared" si="40"/>
        <v>0</v>
      </c>
      <c r="T209" s="34">
        <v>0</v>
      </c>
      <c r="U209" s="34">
        <v>0</v>
      </c>
      <c r="V209" s="34">
        <f t="shared" si="41"/>
        <v>0</v>
      </c>
      <c r="W209" s="34">
        <v>11.28</v>
      </c>
      <c r="X209" s="34">
        <v>3.7199999999999998</v>
      </c>
      <c r="Y209" s="34">
        <v>0.24</v>
      </c>
      <c r="Z209" s="34">
        <v>0.36</v>
      </c>
      <c r="AA209" s="34">
        <v>0</v>
      </c>
      <c r="AB209" s="34">
        <v>0</v>
      </c>
      <c r="AC209" s="34">
        <v>0</v>
      </c>
      <c r="AD209" s="34">
        <v>167.21584424999998</v>
      </c>
      <c r="AE209" s="34">
        <f t="shared" si="42"/>
        <v>182.81584424999997</v>
      </c>
      <c r="AF209" s="34">
        <f t="shared" si="43"/>
        <v>15.599999999999994</v>
      </c>
      <c r="AG209" s="34">
        <v>56.64</v>
      </c>
      <c r="AH209" s="34">
        <v>13.2</v>
      </c>
      <c r="AI209" s="34">
        <v>0.48</v>
      </c>
      <c r="AJ209" s="34">
        <v>1.44</v>
      </c>
      <c r="AK209" s="34">
        <v>1.7999999999999998</v>
      </c>
      <c r="AL209" s="34">
        <v>3.5999999999999996</v>
      </c>
      <c r="AM209" s="34">
        <v>0</v>
      </c>
      <c r="AN209" s="34">
        <v>0</v>
      </c>
      <c r="AO209" s="34">
        <v>0</v>
      </c>
      <c r="AP209" s="34">
        <v>827.07529117499996</v>
      </c>
      <c r="AQ209" s="34">
        <f t="shared" si="44"/>
        <v>904.23529117499993</v>
      </c>
      <c r="AR209" s="34">
        <f t="shared" si="45"/>
        <v>77.159999999999968</v>
      </c>
      <c r="AS209" s="34">
        <f t="shared" si="46"/>
        <v>92.759999999999962</v>
      </c>
      <c r="AT209" t="str">
        <f t="shared" si="47"/>
        <v>OK</v>
      </c>
    </row>
    <row r="210" spans="1:46" x14ac:dyDescent="0.25">
      <c r="A210" t="s">
        <v>128</v>
      </c>
      <c r="B210" t="s">
        <v>176</v>
      </c>
      <c r="C210" s="34">
        <v>3053</v>
      </c>
      <c r="D210" s="34">
        <v>254.41666666666666</v>
      </c>
      <c r="E210" s="34">
        <v>2539.11</v>
      </c>
      <c r="F210" s="34">
        <f t="shared" si="36"/>
        <v>2793.5266666666666</v>
      </c>
      <c r="G210" s="34">
        <v>0</v>
      </c>
      <c r="H210" s="34">
        <v>2539.11</v>
      </c>
      <c r="I210" s="34">
        <v>2812.5514499999999</v>
      </c>
      <c r="J210" s="34">
        <f t="shared" si="37"/>
        <v>273.4414499999998</v>
      </c>
      <c r="K210" s="34">
        <v>2572.5514499999999</v>
      </c>
      <c r="L210" s="34">
        <v>2826.9681166666664</v>
      </c>
      <c r="M210" s="34">
        <f t="shared" si="38"/>
        <v>254.41666666666652</v>
      </c>
      <c r="N210" s="34">
        <v>0</v>
      </c>
      <c r="O210" s="34">
        <v>0</v>
      </c>
      <c r="P210" s="34">
        <f t="shared" si="39"/>
        <v>0</v>
      </c>
      <c r="Q210" s="34">
        <v>0</v>
      </c>
      <c r="R210" s="34">
        <v>0</v>
      </c>
      <c r="S210" s="34">
        <f t="shared" si="40"/>
        <v>0</v>
      </c>
      <c r="T210" s="34">
        <v>0</v>
      </c>
      <c r="U210" s="34">
        <v>0</v>
      </c>
      <c r="V210" s="34">
        <f t="shared" si="41"/>
        <v>0</v>
      </c>
      <c r="W210" s="34">
        <v>11.28</v>
      </c>
      <c r="X210" s="34">
        <v>3.7199999999999998</v>
      </c>
      <c r="Y210" s="34">
        <v>0.24</v>
      </c>
      <c r="Z210" s="34">
        <v>0.36</v>
      </c>
      <c r="AA210" s="34">
        <v>0</v>
      </c>
      <c r="AB210" s="34">
        <v>0</v>
      </c>
      <c r="AC210" s="34">
        <v>0</v>
      </c>
      <c r="AD210" s="34">
        <v>167.21584424999998</v>
      </c>
      <c r="AE210" s="34">
        <f t="shared" si="42"/>
        <v>182.81584424999997</v>
      </c>
      <c r="AF210" s="34">
        <f t="shared" si="43"/>
        <v>15.599999999999994</v>
      </c>
      <c r="AG210" s="34">
        <v>56.64</v>
      </c>
      <c r="AH210" s="34">
        <v>13.2</v>
      </c>
      <c r="AI210" s="34">
        <v>0.48</v>
      </c>
      <c r="AJ210" s="34">
        <v>1.44</v>
      </c>
      <c r="AK210" s="34">
        <v>1.7999999999999998</v>
      </c>
      <c r="AL210" s="34">
        <v>3.5999999999999996</v>
      </c>
      <c r="AM210" s="34">
        <v>0</v>
      </c>
      <c r="AN210" s="34">
        <v>0</v>
      </c>
      <c r="AO210" s="34">
        <v>0</v>
      </c>
      <c r="AP210" s="34">
        <v>827.07529117499996</v>
      </c>
      <c r="AQ210" s="34">
        <f t="shared" si="44"/>
        <v>904.23529117499993</v>
      </c>
      <c r="AR210" s="34">
        <f t="shared" si="45"/>
        <v>77.159999999999968</v>
      </c>
      <c r="AS210" s="34">
        <f t="shared" si="46"/>
        <v>92.759999999999962</v>
      </c>
      <c r="AT210" t="str">
        <f t="shared" si="47"/>
        <v>OK</v>
      </c>
    </row>
    <row r="211" spans="1:46" x14ac:dyDescent="0.25">
      <c r="A211" t="s">
        <v>128</v>
      </c>
      <c r="B211" t="s">
        <v>177</v>
      </c>
      <c r="C211" s="34">
        <v>3053</v>
      </c>
      <c r="D211" s="34">
        <v>254.41666666666666</v>
      </c>
      <c r="E211" s="34">
        <v>2539.11</v>
      </c>
      <c r="F211" s="34">
        <f t="shared" si="36"/>
        <v>2793.5266666666666</v>
      </c>
      <c r="G211" s="34">
        <v>0</v>
      </c>
      <c r="H211" s="34">
        <v>2539.11</v>
      </c>
      <c r="I211" s="34">
        <v>2812.5514499999999</v>
      </c>
      <c r="J211" s="34">
        <f t="shared" si="37"/>
        <v>273.4414499999998</v>
      </c>
      <c r="K211" s="34">
        <v>2572.5514499999999</v>
      </c>
      <c r="L211" s="34">
        <v>2826.9681166666664</v>
      </c>
      <c r="M211" s="34">
        <f t="shared" si="38"/>
        <v>254.41666666666652</v>
      </c>
      <c r="N211" s="34">
        <v>0</v>
      </c>
      <c r="O211" s="34">
        <v>0</v>
      </c>
      <c r="P211" s="34">
        <f t="shared" si="39"/>
        <v>0</v>
      </c>
      <c r="Q211" s="34">
        <v>0</v>
      </c>
      <c r="R211" s="34">
        <v>0</v>
      </c>
      <c r="S211" s="34">
        <f t="shared" si="40"/>
        <v>0</v>
      </c>
      <c r="T211" s="34">
        <v>0</v>
      </c>
      <c r="U211" s="34">
        <v>0</v>
      </c>
      <c r="V211" s="34">
        <f t="shared" si="41"/>
        <v>0</v>
      </c>
      <c r="W211" s="34">
        <v>11.28</v>
      </c>
      <c r="X211" s="34">
        <v>3.7199999999999998</v>
      </c>
      <c r="Y211" s="34">
        <v>0.24</v>
      </c>
      <c r="Z211" s="34">
        <v>0.36</v>
      </c>
      <c r="AA211" s="34">
        <v>0</v>
      </c>
      <c r="AB211" s="34">
        <v>0</v>
      </c>
      <c r="AC211" s="34">
        <v>0</v>
      </c>
      <c r="AD211" s="34">
        <v>167.21584424999998</v>
      </c>
      <c r="AE211" s="34">
        <f t="shared" si="42"/>
        <v>182.81584424999997</v>
      </c>
      <c r="AF211" s="34">
        <f t="shared" si="43"/>
        <v>15.599999999999994</v>
      </c>
      <c r="AG211" s="34">
        <v>56.64</v>
      </c>
      <c r="AH211" s="34">
        <v>13.2</v>
      </c>
      <c r="AI211" s="34">
        <v>0.48</v>
      </c>
      <c r="AJ211" s="34">
        <v>1.44</v>
      </c>
      <c r="AK211" s="34">
        <v>1.7999999999999998</v>
      </c>
      <c r="AL211" s="34">
        <v>3.5999999999999996</v>
      </c>
      <c r="AM211" s="34">
        <v>0</v>
      </c>
      <c r="AN211" s="34">
        <v>0</v>
      </c>
      <c r="AO211" s="34">
        <v>0</v>
      </c>
      <c r="AP211" s="34">
        <v>827.07529117499996</v>
      </c>
      <c r="AQ211" s="34">
        <f t="shared" si="44"/>
        <v>904.23529117499993</v>
      </c>
      <c r="AR211" s="34">
        <f t="shared" si="45"/>
        <v>77.159999999999968</v>
      </c>
      <c r="AS211" s="34">
        <f t="shared" si="46"/>
        <v>92.759999999999962</v>
      </c>
      <c r="AT211" t="str">
        <f t="shared" si="47"/>
        <v>OK</v>
      </c>
    </row>
    <row r="212" spans="1:46" x14ac:dyDescent="0.25">
      <c r="A212" t="s">
        <v>128</v>
      </c>
      <c r="B212" t="s">
        <v>178</v>
      </c>
      <c r="C212" s="34">
        <v>3053</v>
      </c>
      <c r="D212" s="34">
        <v>254.41666666666666</v>
      </c>
      <c r="E212" s="34">
        <v>2539.11</v>
      </c>
      <c r="F212" s="34">
        <f t="shared" si="36"/>
        <v>2793.5266666666666</v>
      </c>
      <c r="G212" s="34">
        <v>0</v>
      </c>
      <c r="H212" s="34">
        <v>2539.11</v>
      </c>
      <c r="I212" s="34">
        <v>2812.5514499999999</v>
      </c>
      <c r="J212" s="34">
        <f t="shared" si="37"/>
        <v>273.4414499999998</v>
      </c>
      <c r="K212" s="34">
        <v>2572.5514499999999</v>
      </c>
      <c r="L212" s="34">
        <v>2826.9681166666664</v>
      </c>
      <c r="M212" s="34">
        <f t="shared" si="38"/>
        <v>254.41666666666652</v>
      </c>
      <c r="N212" s="34">
        <v>0</v>
      </c>
      <c r="O212" s="34">
        <v>0</v>
      </c>
      <c r="P212" s="34">
        <f t="shared" si="39"/>
        <v>0</v>
      </c>
      <c r="Q212" s="34">
        <v>0</v>
      </c>
      <c r="R212" s="34">
        <v>0</v>
      </c>
      <c r="S212" s="34">
        <f t="shared" si="40"/>
        <v>0</v>
      </c>
      <c r="T212" s="34">
        <v>0</v>
      </c>
      <c r="U212" s="34">
        <v>0</v>
      </c>
      <c r="V212" s="34">
        <f t="shared" si="41"/>
        <v>0</v>
      </c>
      <c r="W212" s="34">
        <v>11.28</v>
      </c>
      <c r="X212" s="34">
        <v>3.7199999999999998</v>
      </c>
      <c r="Y212" s="34">
        <v>0.24</v>
      </c>
      <c r="Z212" s="34">
        <v>0.36</v>
      </c>
      <c r="AA212" s="34">
        <v>0</v>
      </c>
      <c r="AB212" s="34">
        <v>0</v>
      </c>
      <c r="AC212" s="34">
        <v>0</v>
      </c>
      <c r="AD212" s="34">
        <v>167.21584424999998</v>
      </c>
      <c r="AE212" s="34">
        <f t="shared" si="42"/>
        <v>182.81584424999997</v>
      </c>
      <c r="AF212" s="34">
        <f t="shared" si="43"/>
        <v>15.599999999999994</v>
      </c>
      <c r="AG212" s="34">
        <v>56.64</v>
      </c>
      <c r="AH212" s="34">
        <v>13.2</v>
      </c>
      <c r="AI212" s="34">
        <v>0.48</v>
      </c>
      <c r="AJ212" s="34">
        <v>1.44</v>
      </c>
      <c r="AK212" s="34">
        <v>1.7999999999999998</v>
      </c>
      <c r="AL212" s="34">
        <v>3.5999999999999996</v>
      </c>
      <c r="AM212" s="34">
        <v>0</v>
      </c>
      <c r="AN212" s="34">
        <v>0</v>
      </c>
      <c r="AO212" s="34">
        <v>0</v>
      </c>
      <c r="AP212" s="34">
        <v>827.07529117499996</v>
      </c>
      <c r="AQ212" s="34">
        <f t="shared" si="44"/>
        <v>904.23529117499993</v>
      </c>
      <c r="AR212" s="34">
        <f t="shared" si="45"/>
        <v>77.159999999999968</v>
      </c>
      <c r="AS212" s="34">
        <f t="shared" si="46"/>
        <v>92.759999999999962</v>
      </c>
      <c r="AT212" t="str">
        <f t="shared" si="47"/>
        <v>OK</v>
      </c>
    </row>
    <row r="213" spans="1:46" x14ac:dyDescent="0.25">
      <c r="A213" t="s">
        <v>128</v>
      </c>
      <c r="B213" t="s">
        <v>179</v>
      </c>
      <c r="C213" s="34">
        <v>3053</v>
      </c>
      <c r="D213" s="34">
        <v>254.41666666666666</v>
      </c>
      <c r="E213" s="34">
        <v>2539.11</v>
      </c>
      <c r="F213" s="34">
        <f t="shared" si="36"/>
        <v>2793.5266666666666</v>
      </c>
      <c r="G213" s="34">
        <v>0</v>
      </c>
      <c r="H213" s="34">
        <v>2539.11</v>
      </c>
      <c r="I213" s="34">
        <v>2812.5514499999999</v>
      </c>
      <c r="J213" s="34">
        <f t="shared" si="37"/>
        <v>273.4414499999998</v>
      </c>
      <c r="K213" s="34">
        <v>2572.5514499999999</v>
      </c>
      <c r="L213" s="34">
        <v>2826.9681166666664</v>
      </c>
      <c r="M213" s="34">
        <f t="shared" si="38"/>
        <v>254.41666666666652</v>
      </c>
      <c r="N213" s="34">
        <v>0</v>
      </c>
      <c r="O213" s="34">
        <v>0</v>
      </c>
      <c r="P213" s="34">
        <f t="shared" si="39"/>
        <v>0</v>
      </c>
      <c r="Q213" s="34">
        <v>0</v>
      </c>
      <c r="R213" s="34">
        <v>0</v>
      </c>
      <c r="S213" s="34">
        <f t="shared" si="40"/>
        <v>0</v>
      </c>
      <c r="T213" s="34">
        <v>0</v>
      </c>
      <c r="U213" s="34">
        <v>0</v>
      </c>
      <c r="V213" s="34">
        <f t="shared" si="41"/>
        <v>0</v>
      </c>
      <c r="W213" s="34">
        <v>11.28</v>
      </c>
      <c r="X213" s="34">
        <v>3.7199999999999998</v>
      </c>
      <c r="Y213" s="34">
        <v>0.24</v>
      </c>
      <c r="Z213" s="34">
        <v>0.36</v>
      </c>
      <c r="AA213" s="34">
        <v>0</v>
      </c>
      <c r="AB213" s="34">
        <v>0</v>
      </c>
      <c r="AC213" s="34">
        <v>0</v>
      </c>
      <c r="AD213" s="34">
        <v>167.21584424999998</v>
      </c>
      <c r="AE213" s="34">
        <f t="shared" si="42"/>
        <v>182.81584424999997</v>
      </c>
      <c r="AF213" s="34">
        <f t="shared" si="43"/>
        <v>15.599999999999994</v>
      </c>
      <c r="AG213" s="34">
        <v>56.64</v>
      </c>
      <c r="AH213" s="34">
        <v>13.2</v>
      </c>
      <c r="AI213" s="34">
        <v>0.48</v>
      </c>
      <c r="AJ213" s="34">
        <v>1.44</v>
      </c>
      <c r="AK213" s="34">
        <v>1.7999999999999998</v>
      </c>
      <c r="AL213" s="34">
        <v>3.5999999999999996</v>
      </c>
      <c r="AM213" s="34">
        <v>0</v>
      </c>
      <c r="AN213" s="34">
        <v>0</v>
      </c>
      <c r="AO213" s="34">
        <v>0</v>
      </c>
      <c r="AP213" s="34">
        <v>827.07529117499996</v>
      </c>
      <c r="AQ213" s="34">
        <f t="shared" si="44"/>
        <v>904.23529117499993</v>
      </c>
      <c r="AR213" s="34">
        <f t="shared" si="45"/>
        <v>77.159999999999968</v>
      </c>
      <c r="AS213" s="34">
        <f t="shared" si="46"/>
        <v>92.759999999999962</v>
      </c>
      <c r="AT213" t="str">
        <f t="shared" si="47"/>
        <v>OK</v>
      </c>
    </row>
    <row r="214" spans="1:46" x14ac:dyDescent="0.25">
      <c r="A214" t="s">
        <v>128</v>
      </c>
      <c r="B214" t="s">
        <v>180</v>
      </c>
      <c r="C214" s="34">
        <v>3053</v>
      </c>
      <c r="D214" s="34">
        <v>254.41666666666666</v>
      </c>
      <c r="E214" s="34">
        <v>2539.11</v>
      </c>
      <c r="F214" s="34">
        <f t="shared" si="36"/>
        <v>2793.5266666666666</v>
      </c>
      <c r="G214" s="34">
        <v>0</v>
      </c>
      <c r="H214" s="34">
        <v>2539.11</v>
      </c>
      <c r="I214" s="34">
        <v>2812.5514499999999</v>
      </c>
      <c r="J214" s="34">
        <f t="shared" si="37"/>
        <v>273.4414499999998</v>
      </c>
      <c r="K214" s="34">
        <v>2572.5514499999999</v>
      </c>
      <c r="L214" s="34">
        <v>2826.9681166666664</v>
      </c>
      <c r="M214" s="34">
        <f t="shared" si="38"/>
        <v>254.41666666666652</v>
      </c>
      <c r="N214" s="34">
        <v>0</v>
      </c>
      <c r="O214" s="34">
        <v>0</v>
      </c>
      <c r="P214" s="34">
        <f t="shared" si="39"/>
        <v>0</v>
      </c>
      <c r="Q214" s="34">
        <v>0</v>
      </c>
      <c r="R214" s="34">
        <v>0</v>
      </c>
      <c r="S214" s="34">
        <f t="shared" si="40"/>
        <v>0</v>
      </c>
      <c r="T214" s="34">
        <v>0</v>
      </c>
      <c r="U214" s="34">
        <v>0</v>
      </c>
      <c r="V214" s="34">
        <f t="shared" si="41"/>
        <v>0</v>
      </c>
      <c r="W214" s="34">
        <v>11.28</v>
      </c>
      <c r="X214" s="34">
        <v>3.7199999999999998</v>
      </c>
      <c r="Y214" s="34">
        <v>0.24</v>
      </c>
      <c r="Z214" s="34">
        <v>0.36</v>
      </c>
      <c r="AA214" s="34">
        <v>0</v>
      </c>
      <c r="AB214" s="34">
        <v>0</v>
      </c>
      <c r="AC214" s="34">
        <v>0</v>
      </c>
      <c r="AD214" s="34">
        <v>167.21584424999998</v>
      </c>
      <c r="AE214" s="34">
        <f t="shared" si="42"/>
        <v>182.81584424999997</v>
      </c>
      <c r="AF214" s="34">
        <f t="shared" si="43"/>
        <v>15.599999999999994</v>
      </c>
      <c r="AG214" s="34">
        <v>56.64</v>
      </c>
      <c r="AH214" s="34">
        <v>13.2</v>
      </c>
      <c r="AI214" s="34">
        <v>0.48</v>
      </c>
      <c r="AJ214" s="34">
        <v>1.44</v>
      </c>
      <c r="AK214" s="34">
        <v>1.7999999999999998</v>
      </c>
      <c r="AL214" s="34">
        <v>3.5999999999999996</v>
      </c>
      <c r="AM214" s="34">
        <v>0</v>
      </c>
      <c r="AN214" s="34">
        <v>0</v>
      </c>
      <c r="AO214" s="34">
        <v>0</v>
      </c>
      <c r="AP214" s="34">
        <v>827.07529117499996</v>
      </c>
      <c r="AQ214" s="34">
        <f t="shared" si="44"/>
        <v>904.23529117499993</v>
      </c>
      <c r="AR214" s="34">
        <f t="shared" si="45"/>
        <v>77.159999999999968</v>
      </c>
      <c r="AS214" s="34">
        <f t="shared" si="46"/>
        <v>92.759999999999962</v>
      </c>
      <c r="AT214" t="str">
        <f t="shared" si="47"/>
        <v>OK</v>
      </c>
    </row>
    <row r="215" spans="1:46" x14ac:dyDescent="0.25">
      <c r="A215" t="s">
        <v>128</v>
      </c>
      <c r="B215" t="s">
        <v>183</v>
      </c>
      <c r="C215" s="34">
        <v>3053</v>
      </c>
      <c r="D215" s="34">
        <v>254.41666666666666</v>
      </c>
      <c r="E215" s="34">
        <v>2539.11</v>
      </c>
      <c r="F215" s="34">
        <f t="shared" si="36"/>
        <v>2793.5266666666666</v>
      </c>
      <c r="G215" s="34">
        <v>0</v>
      </c>
      <c r="H215" s="34">
        <v>2539.11</v>
      </c>
      <c r="I215" s="34">
        <v>2812.5514499999999</v>
      </c>
      <c r="J215" s="34">
        <f t="shared" si="37"/>
        <v>273.4414499999998</v>
      </c>
      <c r="K215" s="34">
        <v>2572.5514499999999</v>
      </c>
      <c r="L215" s="34">
        <v>2826.9681166666664</v>
      </c>
      <c r="M215" s="34">
        <f t="shared" si="38"/>
        <v>254.41666666666652</v>
      </c>
      <c r="N215" s="34">
        <v>0</v>
      </c>
      <c r="O215" s="34">
        <v>0</v>
      </c>
      <c r="P215" s="34">
        <f t="shared" si="39"/>
        <v>0</v>
      </c>
      <c r="Q215" s="34">
        <v>0</v>
      </c>
      <c r="R215" s="34">
        <v>0</v>
      </c>
      <c r="S215" s="34">
        <f t="shared" si="40"/>
        <v>0</v>
      </c>
      <c r="T215" s="34">
        <v>0</v>
      </c>
      <c r="U215" s="34">
        <v>0</v>
      </c>
      <c r="V215" s="34">
        <f t="shared" si="41"/>
        <v>0</v>
      </c>
      <c r="W215" s="34">
        <v>11.28</v>
      </c>
      <c r="X215" s="34">
        <v>3.7199999999999998</v>
      </c>
      <c r="Y215" s="34">
        <v>0.24</v>
      </c>
      <c r="Z215" s="34">
        <v>0.36</v>
      </c>
      <c r="AA215" s="34">
        <v>0</v>
      </c>
      <c r="AB215" s="34">
        <v>0</v>
      </c>
      <c r="AC215" s="34">
        <v>0</v>
      </c>
      <c r="AD215" s="34">
        <v>167.21584424999998</v>
      </c>
      <c r="AE215" s="34">
        <f t="shared" si="42"/>
        <v>182.81584424999997</v>
      </c>
      <c r="AF215" s="34">
        <f t="shared" si="43"/>
        <v>15.599999999999994</v>
      </c>
      <c r="AG215" s="34">
        <v>56.64</v>
      </c>
      <c r="AH215" s="34">
        <v>13.2</v>
      </c>
      <c r="AI215" s="34">
        <v>0.48</v>
      </c>
      <c r="AJ215" s="34">
        <v>1.44</v>
      </c>
      <c r="AK215" s="34">
        <v>1.7999999999999998</v>
      </c>
      <c r="AL215" s="34">
        <v>3.5999999999999996</v>
      </c>
      <c r="AM215" s="34">
        <v>0</v>
      </c>
      <c r="AN215" s="34">
        <v>0</v>
      </c>
      <c r="AO215" s="34">
        <v>0</v>
      </c>
      <c r="AP215" s="34">
        <v>827.07529117499996</v>
      </c>
      <c r="AQ215" s="34">
        <f t="shared" si="44"/>
        <v>904.23529117499993</v>
      </c>
      <c r="AR215" s="34">
        <f t="shared" si="45"/>
        <v>77.159999999999968</v>
      </c>
      <c r="AS215" s="34">
        <f t="shared" si="46"/>
        <v>92.759999999999962</v>
      </c>
      <c r="AT215" t="str">
        <f t="shared" si="47"/>
        <v>OK</v>
      </c>
    </row>
    <row r="216" spans="1:46" x14ac:dyDescent="0.25">
      <c r="A216" t="s">
        <v>128</v>
      </c>
      <c r="B216" t="s">
        <v>184</v>
      </c>
      <c r="C216" s="34">
        <v>3053</v>
      </c>
      <c r="D216" s="34">
        <v>254.41666666666666</v>
      </c>
      <c r="E216" s="34">
        <v>2666.0655000000002</v>
      </c>
      <c r="F216" s="34">
        <f t="shared" si="36"/>
        <v>2920.4821666666667</v>
      </c>
      <c r="G216" s="34">
        <v>0</v>
      </c>
      <c r="H216" s="34">
        <v>2666.0655000000002</v>
      </c>
      <c r="I216" s="34">
        <v>2812.5514499999999</v>
      </c>
      <c r="J216" s="34">
        <f t="shared" si="37"/>
        <v>146.48594999999978</v>
      </c>
      <c r="K216" s="34">
        <v>2572.5514499999999</v>
      </c>
      <c r="L216" s="34">
        <v>2826.9681166666664</v>
      </c>
      <c r="M216" s="34">
        <f t="shared" si="38"/>
        <v>254.41666666666652</v>
      </c>
      <c r="N216" s="34">
        <v>0</v>
      </c>
      <c r="O216" s="34">
        <v>0</v>
      </c>
      <c r="P216" s="34">
        <f t="shared" si="39"/>
        <v>0</v>
      </c>
      <c r="Q216" s="34">
        <v>0</v>
      </c>
      <c r="R216" s="34">
        <v>0</v>
      </c>
      <c r="S216" s="34">
        <f t="shared" si="40"/>
        <v>0</v>
      </c>
      <c r="T216" s="34">
        <v>0</v>
      </c>
      <c r="U216" s="34">
        <v>0</v>
      </c>
      <c r="V216" s="34">
        <f t="shared" si="41"/>
        <v>0</v>
      </c>
      <c r="W216" s="34">
        <v>11.28</v>
      </c>
      <c r="X216" s="34">
        <v>3.7199999999999998</v>
      </c>
      <c r="Y216" s="34">
        <v>0.24</v>
      </c>
      <c r="Z216" s="34">
        <v>0.36</v>
      </c>
      <c r="AA216" s="34">
        <v>0</v>
      </c>
      <c r="AB216" s="34">
        <v>0</v>
      </c>
      <c r="AC216" s="34">
        <v>0</v>
      </c>
      <c r="AD216" s="34">
        <v>167.21584424999998</v>
      </c>
      <c r="AE216" s="34">
        <f t="shared" si="42"/>
        <v>182.81584424999997</v>
      </c>
      <c r="AF216" s="34">
        <f t="shared" si="43"/>
        <v>15.599999999999994</v>
      </c>
      <c r="AG216" s="34">
        <v>56.64</v>
      </c>
      <c r="AH216" s="34">
        <v>13.2</v>
      </c>
      <c r="AI216" s="34">
        <v>0.48</v>
      </c>
      <c r="AJ216" s="34">
        <v>1.44</v>
      </c>
      <c r="AK216" s="34">
        <v>1.7999999999999998</v>
      </c>
      <c r="AL216" s="34">
        <v>3.5999999999999996</v>
      </c>
      <c r="AM216" s="34">
        <v>0</v>
      </c>
      <c r="AN216" s="34">
        <v>0</v>
      </c>
      <c r="AO216" s="34">
        <v>0</v>
      </c>
      <c r="AP216" s="34">
        <v>827.07529117499996</v>
      </c>
      <c r="AQ216" s="34">
        <f t="shared" si="44"/>
        <v>904.23529117499993</v>
      </c>
      <c r="AR216" s="34">
        <f t="shared" si="45"/>
        <v>77.159999999999968</v>
      </c>
      <c r="AS216" s="34">
        <f t="shared" si="46"/>
        <v>92.759999999999962</v>
      </c>
      <c r="AT216" t="str">
        <f t="shared" si="47"/>
        <v>OK</v>
      </c>
    </row>
    <row r="217" spans="1:46" x14ac:dyDescent="0.25">
      <c r="A217" t="s">
        <v>128</v>
      </c>
      <c r="B217" t="s">
        <v>185</v>
      </c>
      <c r="C217" s="34">
        <v>3053</v>
      </c>
      <c r="D217" s="34">
        <v>254.41666666666666</v>
      </c>
      <c r="E217" s="34">
        <v>2666.0655000000002</v>
      </c>
      <c r="F217" s="34">
        <f t="shared" si="36"/>
        <v>2920.4821666666667</v>
      </c>
      <c r="G217" s="34">
        <v>0</v>
      </c>
      <c r="H217" s="34">
        <v>2666.0655000000002</v>
      </c>
      <c r="I217" s="34">
        <v>2812.5514499999999</v>
      </c>
      <c r="J217" s="34">
        <f t="shared" si="37"/>
        <v>146.48594999999978</v>
      </c>
      <c r="K217" s="34">
        <v>2572.5514499999999</v>
      </c>
      <c r="L217" s="34">
        <v>2826.9681166666664</v>
      </c>
      <c r="M217" s="34">
        <f t="shared" si="38"/>
        <v>254.41666666666652</v>
      </c>
      <c r="N217" s="34">
        <v>0</v>
      </c>
      <c r="O217" s="34">
        <v>0</v>
      </c>
      <c r="P217" s="34">
        <f t="shared" si="39"/>
        <v>0</v>
      </c>
      <c r="Q217" s="34">
        <v>0</v>
      </c>
      <c r="R217" s="34">
        <v>0</v>
      </c>
      <c r="S217" s="34">
        <f t="shared" si="40"/>
        <v>0</v>
      </c>
      <c r="T217" s="34">
        <v>0</v>
      </c>
      <c r="U217" s="34">
        <v>0</v>
      </c>
      <c r="V217" s="34">
        <f t="shared" si="41"/>
        <v>0</v>
      </c>
      <c r="W217" s="34">
        <v>11.28</v>
      </c>
      <c r="X217" s="34">
        <v>3.7199999999999998</v>
      </c>
      <c r="Y217" s="34">
        <v>0.24</v>
      </c>
      <c r="Z217" s="34">
        <v>0.36</v>
      </c>
      <c r="AA217" s="34">
        <v>0</v>
      </c>
      <c r="AB217" s="34">
        <v>0</v>
      </c>
      <c r="AC217" s="34">
        <v>0</v>
      </c>
      <c r="AD217" s="34">
        <v>167.21584424999998</v>
      </c>
      <c r="AE217" s="34">
        <f t="shared" si="42"/>
        <v>182.81584424999997</v>
      </c>
      <c r="AF217" s="34">
        <f t="shared" si="43"/>
        <v>15.599999999999994</v>
      </c>
      <c r="AG217" s="34">
        <v>56.64</v>
      </c>
      <c r="AH217" s="34">
        <v>13.2</v>
      </c>
      <c r="AI217" s="34">
        <v>0.48</v>
      </c>
      <c r="AJ217" s="34">
        <v>1.44</v>
      </c>
      <c r="AK217" s="34">
        <v>1.7999999999999998</v>
      </c>
      <c r="AL217" s="34">
        <v>3.5999999999999996</v>
      </c>
      <c r="AM217" s="34">
        <v>0</v>
      </c>
      <c r="AN217" s="34">
        <v>0</v>
      </c>
      <c r="AO217" s="34">
        <v>0</v>
      </c>
      <c r="AP217" s="34">
        <v>827.07529117499996</v>
      </c>
      <c r="AQ217" s="34">
        <f t="shared" si="44"/>
        <v>904.23529117499993</v>
      </c>
      <c r="AR217" s="34">
        <f t="shared" si="45"/>
        <v>77.159999999999968</v>
      </c>
      <c r="AS217" s="34">
        <f t="shared" si="46"/>
        <v>92.759999999999962</v>
      </c>
      <c r="AT217" t="str">
        <f t="shared" si="47"/>
        <v>OK</v>
      </c>
    </row>
    <row r="218" spans="1:46" x14ac:dyDescent="0.25">
      <c r="A218" t="s">
        <v>128</v>
      </c>
      <c r="B218" t="s">
        <v>186</v>
      </c>
      <c r="C218" s="34">
        <v>3053</v>
      </c>
      <c r="D218" s="34">
        <v>254.41666666666666</v>
      </c>
      <c r="E218" s="34">
        <v>2666.0655000000002</v>
      </c>
      <c r="F218" s="34">
        <f t="shared" si="36"/>
        <v>2920.4821666666667</v>
      </c>
      <c r="G218" s="34">
        <v>0</v>
      </c>
      <c r="H218" s="34">
        <v>2666.0655000000002</v>
      </c>
      <c r="I218" s="34">
        <v>2941.1790225</v>
      </c>
      <c r="J218" s="34">
        <f t="shared" si="37"/>
        <v>275.11352249999982</v>
      </c>
      <c r="K218" s="34">
        <v>2701.1790225</v>
      </c>
      <c r="L218" s="34">
        <v>2955.5956891666665</v>
      </c>
      <c r="M218" s="34">
        <f t="shared" si="38"/>
        <v>254.41666666666652</v>
      </c>
      <c r="N218" s="34">
        <v>0</v>
      </c>
      <c r="O218" s="34">
        <v>0</v>
      </c>
      <c r="P218" s="34">
        <f t="shared" si="39"/>
        <v>0</v>
      </c>
      <c r="Q218" s="34">
        <v>0</v>
      </c>
      <c r="R218" s="34">
        <v>0</v>
      </c>
      <c r="S218" s="34">
        <f t="shared" si="40"/>
        <v>0</v>
      </c>
      <c r="T218" s="34">
        <v>0</v>
      </c>
      <c r="U218" s="34">
        <v>0</v>
      </c>
      <c r="V218" s="34">
        <f t="shared" si="41"/>
        <v>0</v>
      </c>
      <c r="W218" s="34">
        <v>11.28</v>
      </c>
      <c r="X218" s="34">
        <v>3.7199999999999998</v>
      </c>
      <c r="Y218" s="34">
        <v>0.24</v>
      </c>
      <c r="Z218" s="34">
        <v>0.36</v>
      </c>
      <c r="AA218" s="34">
        <v>0</v>
      </c>
      <c r="AB218" s="34">
        <v>0</v>
      </c>
      <c r="AC218" s="34">
        <v>0</v>
      </c>
      <c r="AD218" s="34">
        <v>175.57663646249998</v>
      </c>
      <c r="AE218" s="34">
        <f t="shared" si="42"/>
        <v>191.17663646249997</v>
      </c>
      <c r="AF218" s="34">
        <f t="shared" si="43"/>
        <v>15.599999999999994</v>
      </c>
      <c r="AG218" s="34">
        <v>56.64</v>
      </c>
      <c r="AH218" s="34">
        <v>13.2</v>
      </c>
      <c r="AI218" s="34">
        <v>0.48</v>
      </c>
      <c r="AJ218" s="34">
        <v>1.44</v>
      </c>
      <c r="AK218" s="34">
        <v>1.7999999999999998</v>
      </c>
      <c r="AL218" s="34">
        <v>3.5999999999999996</v>
      </c>
      <c r="AM218" s="34">
        <v>0</v>
      </c>
      <c r="AN218" s="34">
        <v>0</v>
      </c>
      <c r="AO218" s="34">
        <v>0</v>
      </c>
      <c r="AP218" s="34">
        <v>868.42905573374992</v>
      </c>
      <c r="AQ218" s="34">
        <f t="shared" si="44"/>
        <v>945.58905573374989</v>
      </c>
      <c r="AR218" s="34">
        <f t="shared" si="45"/>
        <v>77.159999999999968</v>
      </c>
      <c r="AS218" s="34">
        <f t="shared" si="46"/>
        <v>92.759999999999962</v>
      </c>
      <c r="AT218" t="str">
        <f t="shared" si="47"/>
        <v>OK</v>
      </c>
    </row>
    <row r="219" spans="1:46" x14ac:dyDescent="0.25">
      <c r="A219" t="s">
        <v>128</v>
      </c>
      <c r="B219" t="s">
        <v>187</v>
      </c>
      <c r="C219" s="34">
        <v>3053</v>
      </c>
      <c r="D219" s="34">
        <v>254.41666666666666</v>
      </c>
      <c r="E219" s="34">
        <v>2666.0655000000002</v>
      </c>
      <c r="F219" s="34">
        <f t="shared" si="36"/>
        <v>2920.4821666666667</v>
      </c>
      <c r="G219" s="34">
        <v>0</v>
      </c>
      <c r="H219" s="34">
        <v>2666.0655000000002</v>
      </c>
      <c r="I219" s="34">
        <v>2941.1790225</v>
      </c>
      <c r="J219" s="34">
        <f t="shared" si="37"/>
        <v>275.11352249999982</v>
      </c>
      <c r="K219" s="34">
        <v>2701.1790225</v>
      </c>
      <c r="L219" s="34">
        <v>2955.5956891666665</v>
      </c>
      <c r="M219" s="34">
        <f t="shared" si="38"/>
        <v>254.41666666666652</v>
      </c>
      <c r="N219" s="34">
        <v>0</v>
      </c>
      <c r="O219" s="34">
        <v>0</v>
      </c>
      <c r="P219" s="34">
        <f t="shared" si="39"/>
        <v>0</v>
      </c>
      <c r="Q219" s="34">
        <v>0</v>
      </c>
      <c r="R219" s="34">
        <v>0</v>
      </c>
      <c r="S219" s="34">
        <f t="shared" si="40"/>
        <v>0</v>
      </c>
      <c r="T219" s="34">
        <v>0</v>
      </c>
      <c r="U219" s="34">
        <v>0</v>
      </c>
      <c r="V219" s="34">
        <f t="shared" si="41"/>
        <v>0</v>
      </c>
      <c r="W219" s="34">
        <v>11.28</v>
      </c>
      <c r="X219" s="34">
        <v>3.7199999999999998</v>
      </c>
      <c r="Y219" s="34">
        <v>0.24</v>
      </c>
      <c r="Z219" s="34">
        <v>0.36</v>
      </c>
      <c r="AA219" s="34">
        <v>0</v>
      </c>
      <c r="AB219" s="34">
        <v>0</v>
      </c>
      <c r="AC219" s="34">
        <v>0</v>
      </c>
      <c r="AD219" s="34">
        <v>175.57663646249998</v>
      </c>
      <c r="AE219" s="34">
        <f t="shared" si="42"/>
        <v>191.17663646249997</v>
      </c>
      <c r="AF219" s="34">
        <f t="shared" si="43"/>
        <v>15.599999999999994</v>
      </c>
      <c r="AG219" s="34">
        <v>56.64</v>
      </c>
      <c r="AH219" s="34">
        <v>13.2</v>
      </c>
      <c r="AI219" s="34">
        <v>0.48</v>
      </c>
      <c r="AJ219" s="34">
        <v>1.44</v>
      </c>
      <c r="AK219" s="34">
        <v>1.7999999999999998</v>
      </c>
      <c r="AL219" s="34">
        <v>3.5999999999999996</v>
      </c>
      <c r="AM219" s="34">
        <v>0</v>
      </c>
      <c r="AN219" s="34">
        <v>0</v>
      </c>
      <c r="AO219" s="34">
        <v>0</v>
      </c>
      <c r="AP219" s="34">
        <v>868.42905573374992</v>
      </c>
      <c r="AQ219" s="34">
        <f t="shared" si="44"/>
        <v>945.58905573374989</v>
      </c>
      <c r="AR219" s="34">
        <f t="shared" si="45"/>
        <v>77.159999999999968</v>
      </c>
      <c r="AS219" s="34">
        <f t="shared" si="46"/>
        <v>92.759999999999962</v>
      </c>
      <c r="AT219" t="str">
        <f t="shared" si="47"/>
        <v>OK</v>
      </c>
    </row>
    <row r="220" spans="1:46" x14ac:dyDescent="0.25">
      <c r="A220" t="s">
        <v>128</v>
      </c>
      <c r="B220" t="s">
        <v>189</v>
      </c>
      <c r="C220" s="34">
        <v>3053</v>
      </c>
      <c r="D220" s="34">
        <v>254.41666666666666</v>
      </c>
      <c r="E220" s="34">
        <v>2666.0655000000002</v>
      </c>
      <c r="F220" s="34">
        <f t="shared" si="36"/>
        <v>2920.4821666666667</v>
      </c>
      <c r="G220" s="34">
        <v>0</v>
      </c>
      <c r="H220" s="34">
        <v>2666.0655000000002</v>
      </c>
      <c r="I220" s="34">
        <v>2941.1790225</v>
      </c>
      <c r="J220" s="34">
        <f t="shared" si="37"/>
        <v>275.11352249999982</v>
      </c>
      <c r="K220" s="34">
        <v>2701.1790225</v>
      </c>
      <c r="L220" s="34">
        <v>2955.5956891666665</v>
      </c>
      <c r="M220" s="34">
        <f t="shared" si="38"/>
        <v>254.41666666666652</v>
      </c>
      <c r="N220" s="34">
        <v>0</v>
      </c>
      <c r="O220" s="34">
        <v>0</v>
      </c>
      <c r="P220" s="34">
        <f t="shared" si="39"/>
        <v>0</v>
      </c>
      <c r="Q220" s="34">
        <v>0</v>
      </c>
      <c r="R220" s="34">
        <v>0</v>
      </c>
      <c r="S220" s="34">
        <f t="shared" si="40"/>
        <v>0</v>
      </c>
      <c r="T220" s="34">
        <v>0</v>
      </c>
      <c r="U220" s="34">
        <v>0</v>
      </c>
      <c r="V220" s="34">
        <f t="shared" si="41"/>
        <v>0</v>
      </c>
      <c r="W220" s="34">
        <v>11.28</v>
      </c>
      <c r="X220" s="34">
        <v>3.7199999999999998</v>
      </c>
      <c r="Y220" s="34">
        <v>0.24</v>
      </c>
      <c r="Z220" s="34">
        <v>0.36</v>
      </c>
      <c r="AA220" s="34">
        <v>0</v>
      </c>
      <c r="AB220" s="34">
        <v>0</v>
      </c>
      <c r="AC220" s="34">
        <v>0</v>
      </c>
      <c r="AD220" s="34">
        <v>175.57663646249998</v>
      </c>
      <c r="AE220" s="34">
        <f t="shared" si="42"/>
        <v>191.17663646249997</v>
      </c>
      <c r="AF220" s="34">
        <f t="shared" si="43"/>
        <v>15.599999999999994</v>
      </c>
      <c r="AG220" s="34">
        <v>56.64</v>
      </c>
      <c r="AH220" s="34">
        <v>13.2</v>
      </c>
      <c r="AI220" s="34">
        <v>0.48</v>
      </c>
      <c r="AJ220" s="34">
        <v>1.44</v>
      </c>
      <c r="AK220" s="34">
        <v>1.7999999999999998</v>
      </c>
      <c r="AL220" s="34">
        <v>3.5999999999999996</v>
      </c>
      <c r="AM220" s="34">
        <v>0</v>
      </c>
      <c r="AN220" s="34">
        <v>0</v>
      </c>
      <c r="AO220" s="34">
        <v>0</v>
      </c>
      <c r="AP220" s="34">
        <v>868.42905573374992</v>
      </c>
      <c r="AQ220" s="34">
        <f t="shared" si="44"/>
        <v>945.58905573374989</v>
      </c>
      <c r="AR220" s="34">
        <f t="shared" si="45"/>
        <v>77.159999999999968</v>
      </c>
      <c r="AS220" s="34">
        <f t="shared" si="46"/>
        <v>92.759999999999962</v>
      </c>
      <c r="AT220" t="str">
        <f t="shared" si="47"/>
        <v>OK</v>
      </c>
    </row>
    <row r="221" spans="1:46" x14ac:dyDescent="0.25">
      <c r="A221" t="s">
        <v>130</v>
      </c>
      <c r="B221" t="s">
        <v>173</v>
      </c>
      <c r="C221" s="34">
        <v>690</v>
      </c>
      <c r="D221" s="34">
        <v>57.5</v>
      </c>
      <c r="E221" s="34">
        <v>2473.1583333333333</v>
      </c>
      <c r="F221" s="34">
        <f t="shared" si="36"/>
        <v>2530.6583333333333</v>
      </c>
      <c r="G221" s="34">
        <v>0</v>
      </c>
      <c r="H221" s="34">
        <v>2473.1583333333333</v>
      </c>
      <c r="I221" s="34">
        <v>2453.37005</v>
      </c>
      <c r="J221" s="34">
        <f t="shared" si="37"/>
        <v>0</v>
      </c>
      <c r="K221" s="34">
        <v>2401.12005</v>
      </c>
      <c r="L221" s="34">
        <v>2458.62005</v>
      </c>
      <c r="M221" s="34">
        <f t="shared" si="38"/>
        <v>57.5</v>
      </c>
      <c r="N221" s="34">
        <v>0</v>
      </c>
      <c r="O221" s="34">
        <v>0</v>
      </c>
      <c r="P221" s="34">
        <f t="shared" si="39"/>
        <v>0</v>
      </c>
      <c r="Q221" s="34">
        <v>0</v>
      </c>
      <c r="R221" s="34">
        <v>0</v>
      </c>
      <c r="S221" s="34">
        <f t="shared" si="40"/>
        <v>0</v>
      </c>
      <c r="T221" s="34">
        <v>0</v>
      </c>
      <c r="U221" s="34">
        <v>0</v>
      </c>
      <c r="V221" s="34">
        <f t="shared" si="41"/>
        <v>0</v>
      </c>
      <c r="W221" s="34">
        <v>2.4557500000000001</v>
      </c>
      <c r="X221" s="34">
        <v>0.80987500000000001</v>
      </c>
      <c r="Y221" s="34">
        <v>5.2249999999999998E-2</v>
      </c>
      <c r="Z221" s="34">
        <v>7.8375E-2</v>
      </c>
      <c r="AA221" s="34">
        <v>0</v>
      </c>
      <c r="AB221" s="34">
        <v>0</v>
      </c>
      <c r="AC221" s="34">
        <v>0</v>
      </c>
      <c r="AD221" s="34">
        <v>156.07280324999999</v>
      </c>
      <c r="AE221" s="34">
        <f t="shared" si="42"/>
        <v>159.46905325</v>
      </c>
      <c r="AF221" s="34">
        <f t="shared" si="43"/>
        <v>3.3962500000000091</v>
      </c>
      <c r="AG221" s="34">
        <v>12.331</v>
      </c>
      <c r="AH221" s="34">
        <v>2.8737499999999998</v>
      </c>
      <c r="AI221" s="34">
        <v>0.1045</v>
      </c>
      <c r="AJ221" s="34">
        <v>0.3135</v>
      </c>
      <c r="AK221" s="34">
        <v>0.39187499999999997</v>
      </c>
      <c r="AL221" s="34">
        <v>0.78374999999999995</v>
      </c>
      <c r="AM221" s="34">
        <v>0</v>
      </c>
      <c r="AN221" s="34">
        <v>0</v>
      </c>
      <c r="AO221" s="34">
        <v>0</v>
      </c>
      <c r="AP221" s="34">
        <v>771.96009607499991</v>
      </c>
      <c r="AQ221" s="34">
        <f t="shared" si="44"/>
        <v>788.75847107499987</v>
      </c>
      <c r="AR221" s="34">
        <f t="shared" si="45"/>
        <v>16.798374999999965</v>
      </c>
      <c r="AS221" s="34">
        <f t="shared" si="46"/>
        <v>20.194624999999974</v>
      </c>
      <c r="AT221" t="str">
        <f t="shared" si="47"/>
        <v>OK</v>
      </c>
    </row>
    <row r="222" spans="1:46" x14ac:dyDescent="0.25">
      <c r="A222" t="s">
        <v>130</v>
      </c>
      <c r="B222" t="s">
        <v>176</v>
      </c>
      <c r="C222" s="34">
        <v>690</v>
      </c>
      <c r="D222" s="34">
        <v>57.5</v>
      </c>
      <c r="E222" s="34">
        <v>2473.1583333333333</v>
      </c>
      <c r="F222" s="34">
        <f t="shared" si="36"/>
        <v>2530.6583333333333</v>
      </c>
      <c r="G222" s="34">
        <v>0</v>
      </c>
      <c r="H222" s="34">
        <v>2473.1583333333333</v>
      </c>
      <c r="I222" s="34">
        <v>2453.37005</v>
      </c>
      <c r="J222" s="34">
        <f t="shared" si="37"/>
        <v>0</v>
      </c>
      <c r="K222" s="34">
        <v>2401.12005</v>
      </c>
      <c r="L222" s="34">
        <v>2458.62005</v>
      </c>
      <c r="M222" s="34">
        <f t="shared" si="38"/>
        <v>57.5</v>
      </c>
      <c r="N222" s="34">
        <v>0</v>
      </c>
      <c r="O222" s="34">
        <v>0</v>
      </c>
      <c r="P222" s="34">
        <f t="shared" si="39"/>
        <v>0</v>
      </c>
      <c r="Q222" s="34">
        <v>0</v>
      </c>
      <c r="R222" s="34">
        <v>0</v>
      </c>
      <c r="S222" s="34">
        <f t="shared" si="40"/>
        <v>0</v>
      </c>
      <c r="T222" s="34">
        <v>0</v>
      </c>
      <c r="U222" s="34">
        <v>0</v>
      </c>
      <c r="V222" s="34">
        <f t="shared" si="41"/>
        <v>0</v>
      </c>
      <c r="W222" s="34">
        <v>2.4557500000000001</v>
      </c>
      <c r="X222" s="34">
        <v>0.80987500000000001</v>
      </c>
      <c r="Y222" s="34">
        <v>5.2249999999999998E-2</v>
      </c>
      <c r="Z222" s="34">
        <v>7.8375E-2</v>
      </c>
      <c r="AA222" s="34">
        <v>0</v>
      </c>
      <c r="AB222" s="34">
        <v>0</v>
      </c>
      <c r="AC222" s="34">
        <v>0</v>
      </c>
      <c r="AD222" s="34">
        <v>156.07280324999999</v>
      </c>
      <c r="AE222" s="34">
        <f t="shared" si="42"/>
        <v>159.46905325</v>
      </c>
      <c r="AF222" s="34">
        <f t="shared" si="43"/>
        <v>3.3962500000000091</v>
      </c>
      <c r="AG222" s="34">
        <v>12.331</v>
      </c>
      <c r="AH222" s="34">
        <v>2.8737499999999998</v>
      </c>
      <c r="AI222" s="34">
        <v>0.1045</v>
      </c>
      <c r="AJ222" s="34">
        <v>0.3135</v>
      </c>
      <c r="AK222" s="34">
        <v>0.39187499999999997</v>
      </c>
      <c r="AL222" s="34">
        <v>0.78374999999999995</v>
      </c>
      <c r="AM222" s="34">
        <v>0</v>
      </c>
      <c r="AN222" s="34">
        <v>0</v>
      </c>
      <c r="AO222" s="34">
        <v>0</v>
      </c>
      <c r="AP222" s="34">
        <v>771.96009607499991</v>
      </c>
      <c r="AQ222" s="34">
        <f t="shared" si="44"/>
        <v>788.75847107499987</v>
      </c>
      <c r="AR222" s="34">
        <f t="shared" si="45"/>
        <v>16.798374999999965</v>
      </c>
      <c r="AS222" s="34">
        <f t="shared" si="46"/>
        <v>20.194624999999974</v>
      </c>
      <c r="AT222" t="str">
        <f t="shared" si="47"/>
        <v>OK</v>
      </c>
    </row>
    <row r="223" spans="1:46" x14ac:dyDescent="0.25">
      <c r="A223" t="s">
        <v>130</v>
      </c>
      <c r="B223" t="s">
        <v>177</v>
      </c>
      <c r="C223" s="34">
        <v>690</v>
      </c>
      <c r="D223" s="34">
        <v>57.5</v>
      </c>
      <c r="E223" s="34">
        <v>2473.1583333333333</v>
      </c>
      <c r="F223" s="34">
        <f t="shared" si="36"/>
        <v>2530.6583333333333</v>
      </c>
      <c r="G223" s="34">
        <v>0</v>
      </c>
      <c r="H223" s="34">
        <v>2473.1583333333333</v>
      </c>
      <c r="I223" s="34">
        <v>2453.37005</v>
      </c>
      <c r="J223" s="34">
        <f t="shared" si="37"/>
        <v>0</v>
      </c>
      <c r="K223" s="34">
        <v>2401.12005</v>
      </c>
      <c r="L223" s="34">
        <v>2458.62005</v>
      </c>
      <c r="M223" s="34">
        <f t="shared" si="38"/>
        <v>57.5</v>
      </c>
      <c r="N223" s="34">
        <v>0</v>
      </c>
      <c r="O223" s="34">
        <v>0</v>
      </c>
      <c r="P223" s="34">
        <f t="shared" si="39"/>
        <v>0</v>
      </c>
      <c r="Q223" s="34">
        <v>0</v>
      </c>
      <c r="R223" s="34">
        <v>0</v>
      </c>
      <c r="S223" s="34">
        <f t="shared" si="40"/>
        <v>0</v>
      </c>
      <c r="T223" s="34">
        <v>0</v>
      </c>
      <c r="U223" s="34">
        <v>0</v>
      </c>
      <c r="V223" s="34">
        <f t="shared" si="41"/>
        <v>0</v>
      </c>
      <c r="W223" s="34">
        <v>2.4557500000000001</v>
      </c>
      <c r="X223" s="34">
        <v>0.80987500000000001</v>
      </c>
      <c r="Y223" s="34">
        <v>5.2249999999999998E-2</v>
      </c>
      <c r="Z223" s="34">
        <v>7.8375E-2</v>
      </c>
      <c r="AA223" s="34">
        <v>0</v>
      </c>
      <c r="AB223" s="34">
        <v>0</v>
      </c>
      <c r="AC223" s="34">
        <v>0</v>
      </c>
      <c r="AD223" s="34">
        <v>156.07280324999999</v>
      </c>
      <c r="AE223" s="34">
        <f t="shared" si="42"/>
        <v>159.46905325</v>
      </c>
      <c r="AF223" s="34">
        <f t="shared" si="43"/>
        <v>3.3962500000000091</v>
      </c>
      <c r="AG223" s="34">
        <v>12.331</v>
      </c>
      <c r="AH223" s="34">
        <v>2.8737499999999998</v>
      </c>
      <c r="AI223" s="34">
        <v>0.1045</v>
      </c>
      <c r="AJ223" s="34">
        <v>0.3135</v>
      </c>
      <c r="AK223" s="34">
        <v>0.39187499999999997</v>
      </c>
      <c r="AL223" s="34">
        <v>0.78374999999999995</v>
      </c>
      <c r="AM223" s="34">
        <v>0</v>
      </c>
      <c r="AN223" s="34">
        <v>0</v>
      </c>
      <c r="AO223" s="34">
        <v>0</v>
      </c>
      <c r="AP223" s="34">
        <v>771.96009607499991</v>
      </c>
      <c r="AQ223" s="34">
        <f t="shared" si="44"/>
        <v>788.75847107499987</v>
      </c>
      <c r="AR223" s="34">
        <f t="shared" si="45"/>
        <v>16.798374999999965</v>
      </c>
      <c r="AS223" s="34">
        <f t="shared" si="46"/>
        <v>20.194624999999974</v>
      </c>
      <c r="AT223" t="str">
        <f t="shared" si="47"/>
        <v>OK</v>
      </c>
    </row>
    <row r="224" spans="1:46" x14ac:dyDescent="0.25">
      <c r="A224" t="s">
        <v>130</v>
      </c>
      <c r="B224" t="s">
        <v>178</v>
      </c>
      <c r="C224" s="34">
        <v>690</v>
      </c>
      <c r="D224" s="34">
        <v>57.5</v>
      </c>
      <c r="E224" s="34">
        <v>2473.1583333333333</v>
      </c>
      <c r="F224" s="34">
        <f t="shared" si="36"/>
        <v>2530.6583333333333</v>
      </c>
      <c r="G224" s="34">
        <v>0</v>
      </c>
      <c r="H224" s="34">
        <v>2473.1583333333333</v>
      </c>
      <c r="I224" s="34">
        <v>2453.37005</v>
      </c>
      <c r="J224" s="34">
        <f t="shared" si="37"/>
        <v>0</v>
      </c>
      <c r="K224" s="34">
        <v>2401.12005</v>
      </c>
      <c r="L224" s="34">
        <v>2458.62005</v>
      </c>
      <c r="M224" s="34">
        <f t="shared" si="38"/>
        <v>57.5</v>
      </c>
      <c r="N224" s="34">
        <v>0</v>
      </c>
      <c r="O224" s="34">
        <v>0</v>
      </c>
      <c r="P224" s="34">
        <f t="shared" si="39"/>
        <v>0</v>
      </c>
      <c r="Q224" s="34">
        <v>0</v>
      </c>
      <c r="R224" s="34">
        <v>0</v>
      </c>
      <c r="S224" s="34">
        <f t="shared" si="40"/>
        <v>0</v>
      </c>
      <c r="T224" s="34">
        <v>0</v>
      </c>
      <c r="U224" s="34">
        <v>0</v>
      </c>
      <c r="V224" s="34">
        <f t="shared" si="41"/>
        <v>0</v>
      </c>
      <c r="W224" s="34">
        <v>2.4557500000000001</v>
      </c>
      <c r="X224" s="34">
        <v>0.80987500000000001</v>
      </c>
      <c r="Y224" s="34">
        <v>5.2249999999999998E-2</v>
      </c>
      <c r="Z224" s="34">
        <v>7.8375E-2</v>
      </c>
      <c r="AA224" s="34">
        <v>0</v>
      </c>
      <c r="AB224" s="34">
        <v>0</v>
      </c>
      <c r="AC224" s="34">
        <v>0</v>
      </c>
      <c r="AD224" s="34">
        <v>156.07280324999999</v>
      </c>
      <c r="AE224" s="34">
        <f t="shared" si="42"/>
        <v>159.46905325</v>
      </c>
      <c r="AF224" s="34">
        <f t="shared" si="43"/>
        <v>3.3962500000000091</v>
      </c>
      <c r="AG224" s="34">
        <v>12.331</v>
      </c>
      <c r="AH224" s="34">
        <v>2.8737499999999998</v>
      </c>
      <c r="AI224" s="34">
        <v>0.1045</v>
      </c>
      <c r="AJ224" s="34">
        <v>0.3135</v>
      </c>
      <c r="AK224" s="34">
        <v>0.39187499999999997</v>
      </c>
      <c r="AL224" s="34">
        <v>0.78374999999999995</v>
      </c>
      <c r="AM224" s="34">
        <v>0</v>
      </c>
      <c r="AN224" s="34">
        <v>0</v>
      </c>
      <c r="AO224" s="34">
        <v>0</v>
      </c>
      <c r="AP224" s="34">
        <v>771.96009607499991</v>
      </c>
      <c r="AQ224" s="34">
        <f t="shared" si="44"/>
        <v>788.75847107499987</v>
      </c>
      <c r="AR224" s="34">
        <f t="shared" si="45"/>
        <v>16.798374999999965</v>
      </c>
      <c r="AS224" s="34">
        <f t="shared" si="46"/>
        <v>20.194624999999974</v>
      </c>
      <c r="AT224" t="str">
        <f t="shared" si="47"/>
        <v>OK</v>
      </c>
    </row>
    <row r="225" spans="1:46" x14ac:dyDescent="0.25">
      <c r="A225" t="s">
        <v>130</v>
      </c>
      <c r="B225" t="s">
        <v>179</v>
      </c>
      <c r="C225" s="34">
        <v>690</v>
      </c>
      <c r="D225" s="34">
        <v>57.5</v>
      </c>
      <c r="E225" s="34">
        <v>2473.1583333333333</v>
      </c>
      <c r="F225" s="34">
        <f t="shared" si="36"/>
        <v>2530.6583333333333</v>
      </c>
      <c r="G225" s="34">
        <v>0</v>
      </c>
      <c r="H225" s="34">
        <v>2473.1583333333333</v>
      </c>
      <c r="I225" s="34">
        <v>2453.37005</v>
      </c>
      <c r="J225" s="34">
        <f t="shared" si="37"/>
        <v>0</v>
      </c>
      <c r="K225" s="34">
        <v>2473.1583333333333</v>
      </c>
      <c r="L225" s="34">
        <v>2530.6583333333333</v>
      </c>
      <c r="M225" s="34">
        <f t="shared" si="38"/>
        <v>57.5</v>
      </c>
      <c r="N225" s="34">
        <v>0</v>
      </c>
      <c r="O225" s="34">
        <v>0</v>
      </c>
      <c r="P225" s="34">
        <f t="shared" si="39"/>
        <v>0</v>
      </c>
      <c r="Q225" s="34">
        <v>0</v>
      </c>
      <c r="R225" s="34">
        <v>0</v>
      </c>
      <c r="S225" s="34">
        <f t="shared" si="40"/>
        <v>0</v>
      </c>
      <c r="T225" s="34">
        <v>0</v>
      </c>
      <c r="U225" s="34">
        <v>0</v>
      </c>
      <c r="V225" s="34">
        <f t="shared" si="41"/>
        <v>0</v>
      </c>
      <c r="W225" s="34">
        <v>2.4557500000000001</v>
      </c>
      <c r="X225" s="34">
        <v>0.80987500000000001</v>
      </c>
      <c r="Y225" s="34">
        <v>5.2249999999999998E-2</v>
      </c>
      <c r="Z225" s="34">
        <v>7.8375E-2</v>
      </c>
      <c r="AA225" s="34">
        <v>0</v>
      </c>
      <c r="AB225" s="34">
        <v>0</v>
      </c>
      <c r="AC225" s="34">
        <v>0</v>
      </c>
      <c r="AD225" s="34">
        <v>160.75529166666666</v>
      </c>
      <c r="AE225" s="34">
        <f t="shared" si="42"/>
        <v>164.15154166666667</v>
      </c>
      <c r="AF225" s="34">
        <f t="shared" si="43"/>
        <v>3.3962500000000091</v>
      </c>
      <c r="AG225" s="34">
        <v>12.331</v>
      </c>
      <c r="AH225" s="34">
        <v>2.8737499999999998</v>
      </c>
      <c r="AI225" s="34">
        <v>0.1045</v>
      </c>
      <c r="AJ225" s="34">
        <v>0.3135</v>
      </c>
      <c r="AK225" s="34">
        <v>0.39187499999999997</v>
      </c>
      <c r="AL225" s="34">
        <v>0.78374999999999995</v>
      </c>
      <c r="AM225" s="34">
        <v>0</v>
      </c>
      <c r="AN225" s="34">
        <v>0</v>
      </c>
      <c r="AO225" s="34">
        <v>0</v>
      </c>
      <c r="AP225" s="34">
        <v>795.12040416666673</v>
      </c>
      <c r="AQ225" s="34">
        <f t="shared" si="44"/>
        <v>811.9187791666667</v>
      </c>
      <c r="AR225" s="34">
        <f t="shared" si="45"/>
        <v>16.798374999999965</v>
      </c>
      <c r="AS225" s="34">
        <f t="shared" si="46"/>
        <v>20.194624999999974</v>
      </c>
      <c r="AT225" t="str">
        <f t="shared" si="47"/>
        <v>OK</v>
      </c>
    </row>
    <row r="226" spans="1:46" x14ac:dyDescent="0.25">
      <c r="A226" t="s">
        <v>130</v>
      </c>
      <c r="B226" t="s">
        <v>180</v>
      </c>
      <c r="C226" s="34">
        <v>690</v>
      </c>
      <c r="D226" s="34">
        <v>57.5</v>
      </c>
      <c r="E226" s="34">
        <v>2473.1583333333333</v>
      </c>
      <c r="F226" s="34">
        <f t="shared" si="36"/>
        <v>2530.6583333333333</v>
      </c>
      <c r="G226" s="34">
        <v>0</v>
      </c>
      <c r="H226" s="34">
        <v>2473.1583333333333</v>
      </c>
      <c r="I226" s="34">
        <v>2453.37005</v>
      </c>
      <c r="J226" s="34">
        <f t="shared" si="37"/>
        <v>0</v>
      </c>
      <c r="K226" s="34">
        <v>2401.12005</v>
      </c>
      <c r="L226" s="34">
        <v>2458.62005</v>
      </c>
      <c r="M226" s="34">
        <f t="shared" si="38"/>
        <v>57.5</v>
      </c>
      <c r="N226" s="34">
        <v>0</v>
      </c>
      <c r="O226" s="34">
        <v>0</v>
      </c>
      <c r="P226" s="34">
        <f t="shared" si="39"/>
        <v>0</v>
      </c>
      <c r="Q226" s="34">
        <v>0</v>
      </c>
      <c r="R226" s="34">
        <v>0</v>
      </c>
      <c r="S226" s="34">
        <f t="shared" si="40"/>
        <v>0</v>
      </c>
      <c r="T226" s="34">
        <v>0</v>
      </c>
      <c r="U226" s="34">
        <v>0</v>
      </c>
      <c r="V226" s="34">
        <f t="shared" si="41"/>
        <v>0</v>
      </c>
      <c r="W226" s="34">
        <v>2.4557500000000001</v>
      </c>
      <c r="X226" s="34">
        <v>0.80987500000000001</v>
      </c>
      <c r="Y226" s="34">
        <v>5.2249999999999998E-2</v>
      </c>
      <c r="Z226" s="34">
        <v>7.8375E-2</v>
      </c>
      <c r="AA226" s="34">
        <v>0</v>
      </c>
      <c r="AB226" s="34">
        <v>0</v>
      </c>
      <c r="AC226" s="34">
        <v>0</v>
      </c>
      <c r="AD226" s="34">
        <v>156.07280324999999</v>
      </c>
      <c r="AE226" s="34">
        <f t="shared" si="42"/>
        <v>159.46905325</v>
      </c>
      <c r="AF226" s="34">
        <f t="shared" si="43"/>
        <v>3.3962500000000091</v>
      </c>
      <c r="AG226" s="34">
        <v>12.331</v>
      </c>
      <c r="AH226" s="34">
        <v>2.8737499999999998</v>
      </c>
      <c r="AI226" s="34">
        <v>0.1045</v>
      </c>
      <c r="AJ226" s="34">
        <v>0.3135</v>
      </c>
      <c r="AK226" s="34">
        <v>0.39187499999999997</v>
      </c>
      <c r="AL226" s="34">
        <v>0.78374999999999995</v>
      </c>
      <c r="AM226" s="34">
        <v>0</v>
      </c>
      <c r="AN226" s="34">
        <v>0</v>
      </c>
      <c r="AO226" s="34">
        <v>0</v>
      </c>
      <c r="AP226" s="34">
        <v>771.96009607499991</v>
      </c>
      <c r="AQ226" s="34">
        <f t="shared" si="44"/>
        <v>788.75847107499987</v>
      </c>
      <c r="AR226" s="34">
        <f t="shared" si="45"/>
        <v>16.798374999999965</v>
      </c>
      <c r="AS226" s="34">
        <f t="shared" si="46"/>
        <v>20.194624999999974</v>
      </c>
      <c r="AT226" t="str">
        <f t="shared" si="47"/>
        <v>OK</v>
      </c>
    </row>
    <row r="227" spans="1:46" x14ac:dyDescent="0.25">
      <c r="A227" t="s">
        <v>130</v>
      </c>
      <c r="B227" t="s">
        <v>183</v>
      </c>
      <c r="C227" s="34">
        <v>690</v>
      </c>
      <c r="D227" s="34">
        <v>57.5</v>
      </c>
      <c r="E227" s="34">
        <v>2473.1583333333333</v>
      </c>
      <c r="F227" s="34">
        <f t="shared" si="36"/>
        <v>2530.6583333333333</v>
      </c>
      <c r="G227" s="34">
        <v>0</v>
      </c>
      <c r="H227" s="34">
        <v>2473.1583333333333</v>
      </c>
      <c r="I227" s="34">
        <v>2453.37005</v>
      </c>
      <c r="J227" s="34">
        <f t="shared" si="37"/>
        <v>0</v>
      </c>
      <c r="K227" s="34">
        <v>2401.12005</v>
      </c>
      <c r="L227" s="34">
        <v>2458.62005</v>
      </c>
      <c r="M227" s="34">
        <f t="shared" si="38"/>
        <v>57.5</v>
      </c>
      <c r="N227" s="34">
        <v>0</v>
      </c>
      <c r="O227" s="34">
        <v>0</v>
      </c>
      <c r="P227" s="34">
        <f t="shared" si="39"/>
        <v>0</v>
      </c>
      <c r="Q227" s="34">
        <v>0</v>
      </c>
      <c r="R227" s="34">
        <v>0</v>
      </c>
      <c r="S227" s="34">
        <f t="shared" si="40"/>
        <v>0</v>
      </c>
      <c r="T227" s="34">
        <v>0</v>
      </c>
      <c r="U227" s="34">
        <v>0</v>
      </c>
      <c r="V227" s="34">
        <f t="shared" si="41"/>
        <v>0</v>
      </c>
      <c r="W227" s="34">
        <v>2.4557500000000001</v>
      </c>
      <c r="X227" s="34">
        <v>0.80987500000000001</v>
      </c>
      <c r="Y227" s="34">
        <v>5.2249999999999998E-2</v>
      </c>
      <c r="Z227" s="34">
        <v>7.8375E-2</v>
      </c>
      <c r="AA227" s="34">
        <v>0</v>
      </c>
      <c r="AB227" s="34">
        <v>0</v>
      </c>
      <c r="AC227" s="34">
        <v>0</v>
      </c>
      <c r="AD227" s="34">
        <v>156.07280324999999</v>
      </c>
      <c r="AE227" s="34">
        <f t="shared" si="42"/>
        <v>159.46905325</v>
      </c>
      <c r="AF227" s="34">
        <f t="shared" si="43"/>
        <v>3.3962500000000091</v>
      </c>
      <c r="AG227" s="34">
        <v>12.331</v>
      </c>
      <c r="AH227" s="34">
        <v>2.8737499999999998</v>
      </c>
      <c r="AI227" s="34">
        <v>0.1045</v>
      </c>
      <c r="AJ227" s="34">
        <v>0.3135</v>
      </c>
      <c r="AK227" s="34">
        <v>0.39187499999999997</v>
      </c>
      <c r="AL227" s="34">
        <v>0.78374999999999995</v>
      </c>
      <c r="AM227" s="34">
        <v>0</v>
      </c>
      <c r="AN227" s="34">
        <v>0</v>
      </c>
      <c r="AO227" s="34">
        <v>0</v>
      </c>
      <c r="AP227" s="34">
        <v>771.96009607499991</v>
      </c>
      <c r="AQ227" s="34">
        <f t="shared" si="44"/>
        <v>788.75847107499987</v>
      </c>
      <c r="AR227" s="34">
        <f t="shared" si="45"/>
        <v>16.798374999999965</v>
      </c>
      <c r="AS227" s="34">
        <f t="shared" si="46"/>
        <v>20.194624999999974</v>
      </c>
      <c r="AT227" t="str">
        <f t="shared" si="47"/>
        <v>OK</v>
      </c>
    </row>
    <row r="228" spans="1:46" x14ac:dyDescent="0.25">
      <c r="A228" t="s">
        <v>130</v>
      </c>
      <c r="B228" t="s">
        <v>184</v>
      </c>
      <c r="C228" s="34">
        <v>690</v>
      </c>
      <c r="D228" s="34">
        <v>57.5</v>
      </c>
      <c r="E228" s="34">
        <v>2473.1583333333333</v>
      </c>
      <c r="F228" s="34">
        <f t="shared" si="36"/>
        <v>2530.6583333333333</v>
      </c>
      <c r="G228" s="34">
        <v>0</v>
      </c>
      <c r="H228" s="34">
        <v>2473.1583333333333</v>
      </c>
      <c r="I228" s="34">
        <v>2453.37005</v>
      </c>
      <c r="J228" s="34">
        <f t="shared" si="37"/>
        <v>0</v>
      </c>
      <c r="K228" s="34">
        <v>2401.12005</v>
      </c>
      <c r="L228" s="34">
        <v>2458.62005</v>
      </c>
      <c r="M228" s="34">
        <f t="shared" si="38"/>
        <v>57.5</v>
      </c>
      <c r="N228" s="34">
        <v>0</v>
      </c>
      <c r="O228" s="34">
        <v>0</v>
      </c>
      <c r="P228" s="34">
        <f t="shared" si="39"/>
        <v>0</v>
      </c>
      <c r="Q228" s="34">
        <v>0</v>
      </c>
      <c r="R228" s="34">
        <v>0</v>
      </c>
      <c r="S228" s="34">
        <f t="shared" si="40"/>
        <v>0</v>
      </c>
      <c r="T228" s="34">
        <v>0</v>
      </c>
      <c r="U228" s="34">
        <v>0</v>
      </c>
      <c r="V228" s="34">
        <f t="shared" si="41"/>
        <v>0</v>
      </c>
      <c r="W228" s="34">
        <v>2.4557500000000001</v>
      </c>
      <c r="X228" s="34">
        <v>0.80987500000000001</v>
      </c>
      <c r="Y228" s="34">
        <v>5.2249999999999998E-2</v>
      </c>
      <c r="Z228" s="34">
        <v>7.8375E-2</v>
      </c>
      <c r="AA228" s="34">
        <v>0</v>
      </c>
      <c r="AB228" s="34">
        <v>0</v>
      </c>
      <c r="AC228" s="34">
        <v>0</v>
      </c>
      <c r="AD228" s="34">
        <v>156.07280324999999</v>
      </c>
      <c r="AE228" s="34">
        <f t="shared" si="42"/>
        <v>159.46905325</v>
      </c>
      <c r="AF228" s="34">
        <f t="shared" si="43"/>
        <v>3.3962500000000091</v>
      </c>
      <c r="AG228" s="34">
        <v>12.331</v>
      </c>
      <c r="AH228" s="34">
        <v>2.8737499999999998</v>
      </c>
      <c r="AI228" s="34">
        <v>0.1045</v>
      </c>
      <c r="AJ228" s="34">
        <v>0.3135</v>
      </c>
      <c r="AK228" s="34">
        <v>0.39187499999999997</v>
      </c>
      <c r="AL228" s="34">
        <v>0.78374999999999995</v>
      </c>
      <c r="AM228" s="34">
        <v>0</v>
      </c>
      <c r="AN228" s="34">
        <v>0</v>
      </c>
      <c r="AO228" s="34">
        <v>0</v>
      </c>
      <c r="AP228" s="34">
        <v>771.96009607499991</v>
      </c>
      <c r="AQ228" s="34">
        <f t="shared" si="44"/>
        <v>788.75847107499987</v>
      </c>
      <c r="AR228" s="34">
        <f t="shared" si="45"/>
        <v>16.798374999999965</v>
      </c>
      <c r="AS228" s="34">
        <f t="shared" si="46"/>
        <v>20.194624999999974</v>
      </c>
      <c r="AT228" t="str">
        <f t="shared" si="47"/>
        <v>OK</v>
      </c>
    </row>
    <row r="229" spans="1:46" x14ac:dyDescent="0.25">
      <c r="A229" t="s">
        <v>130</v>
      </c>
      <c r="B229" t="s">
        <v>185</v>
      </c>
      <c r="C229" s="34">
        <v>690</v>
      </c>
      <c r="D229" s="34">
        <v>57.5</v>
      </c>
      <c r="E229" s="34">
        <v>2473.1583333333333</v>
      </c>
      <c r="F229" s="34">
        <f t="shared" si="36"/>
        <v>2530.6583333333333</v>
      </c>
      <c r="G229" s="34">
        <v>0</v>
      </c>
      <c r="H229" s="34">
        <v>2473.1583333333333</v>
      </c>
      <c r="I229" s="34">
        <v>2453.37005</v>
      </c>
      <c r="J229" s="34">
        <f t="shared" si="37"/>
        <v>0</v>
      </c>
      <c r="K229" s="34">
        <v>2401.12005</v>
      </c>
      <c r="L229" s="34">
        <v>2458.62005</v>
      </c>
      <c r="M229" s="34">
        <f t="shared" si="38"/>
        <v>57.5</v>
      </c>
      <c r="N229" s="34">
        <v>0</v>
      </c>
      <c r="O229" s="34">
        <v>0</v>
      </c>
      <c r="P229" s="34">
        <f t="shared" si="39"/>
        <v>0</v>
      </c>
      <c r="Q229" s="34">
        <v>0</v>
      </c>
      <c r="R229" s="34">
        <v>0</v>
      </c>
      <c r="S229" s="34">
        <f t="shared" si="40"/>
        <v>0</v>
      </c>
      <c r="T229" s="34">
        <v>0</v>
      </c>
      <c r="U229" s="34">
        <v>0</v>
      </c>
      <c r="V229" s="34">
        <f t="shared" si="41"/>
        <v>0</v>
      </c>
      <c r="W229" s="34">
        <v>2.4557500000000001</v>
      </c>
      <c r="X229" s="34">
        <v>0.80987500000000001</v>
      </c>
      <c r="Y229" s="34">
        <v>5.2249999999999998E-2</v>
      </c>
      <c r="Z229" s="34">
        <v>7.8375E-2</v>
      </c>
      <c r="AA229" s="34">
        <v>0</v>
      </c>
      <c r="AB229" s="34">
        <v>0</v>
      </c>
      <c r="AC229" s="34">
        <v>0</v>
      </c>
      <c r="AD229" s="34">
        <v>156.07280324999999</v>
      </c>
      <c r="AE229" s="34">
        <f t="shared" si="42"/>
        <v>159.46905325</v>
      </c>
      <c r="AF229" s="34">
        <f t="shared" si="43"/>
        <v>3.3962500000000091</v>
      </c>
      <c r="AG229" s="34">
        <v>12.331</v>
      </c>
      <c r="AH229" s="34">
        <v>2.8737499999999998</v>
      </c>
      <c r="AI229" s="34">
        <v>0.1045</v>
      </c>
      <c r="AJ229" s="34">
        <v>0.3135</v>
      </c>
      <c r="AK229" s="34">
        <v>0.39187499999999997</v>
      </c>
      <c r="AL229" s="34">
        <v>0.78374999999999995</v>
      </c>
      <c r="AM229" s="34">
        <v>0</v>
      </c>
      <c r="AN229" s="34">
        <v>0</v>
      </c>
      <c r="AO229" s="34">
        <v>0</v>
      </c>
      <c r="AP229" s="34">
        <v>771.96009607499991</v>
      </c>
      <c r="AQ229" s="34">
        <f t="shared" si="44"/>
        <v>788.75847107499987</v>
      </c>
      <c r="AR229" s="34">
        <f t="shared" si="45"/>
        <v>16.798374999999965</v>
      </c>
      <c r="AS229" s="34">
        <f t="shared" si="46"/>
        <v>20.194624999999974</v>
      </c>
      <c r="AT229" t="str">
        <f t="shared" si="47"/>
        <v>OK</v>
      </c>
    </row>
    <row r="230" spans="1:46" x14ac:dyDescent="0.25">
      <c r="A230" t="s">
        <v>130</v>
      </c>
      <c r="B230" t="s">
        <v>186</v>
      </c>
      <c r="C230" s="34">
        <v>690</v>
      </c>
      <c r="D230" s="34">
        <v>57.5</v>
      </c>
      <c r="E230" s="34">
        <v>2473.1583333333333</v>
      </c>
      <c r="F230" s="34">
        <f t="shared" si="36"/>
        <v>2530.6583333333333</v>
      </c>
      <c r="G230" s="34">
        <v>0</v>
      </c>
      <c r="H230" s="34">
        <v>2473.1583333333333</v>
      </c>
      <c r="I230" s="34">
        <v>2453.37005</v>
      </c>
      <c r="J230" s="34">
        <f t="shared" si="37"/>
        <v>0</v>
      </c>
      <c r="K230" s="34">
        <v>2401.12005</v>
      </c>
      <c r="L230" s="34">
        <v>2458.62005</v>
      </c>
      <c r="M230" s="34">
        <f t="shared" si="38"/>
        <v>57.5</v>
      </c>
      <c r="N230" s="34">
        <v>0</v>
      </c>
      <c r="O230" s="34">
        <v>0</v>
      </c>
      <c r="P230" s="34">
        <f t="shared" si="39"/>
        <v>0</v>
      </c>
      <c r="Q230" s="34">
        <v>0</v>
      </c>
      <c r="R230" s="34">
        <v>0</v>
      </c>
      <c r="S230" s="34">
        <f t="shared" si="40"/>
        <v>0</v>
      </c>
      <c r="T230" s="34">
        <v>0</v>
      </c>
      <c r="U230" s="34">
        <v>0</v>
      </c>
      <c r="V230" s="34">
        <f t="shared" si="41"/>
        <v>0</v>
      </c>
      <c r="W230" s="34">
        <v>2.4557500000000001</v>
      </c>
      <c r="X230" s="34">
        <v>0.80987500000000001</v>
      </c>
      <c r="Y230" s="34">
        <v>5.2249999999999998E-2</v>
      </c>
      <c r="Z230" s="34">
        <v>7.8375E-2</v>
      </c>
      <c r="AA230" s="34">
        <v>0</v>
      </c>
      <c r="AB230" s="34">
        <v>0</v>
      </c>
      <c r="AC230" s="34">
        <v>0</v>
      </c>
      <c r="AD230" s="34">
        <v>156.07280324999999</v>
      </c>
      <c r="AE230" s="34">
        <f t="shared" si="42"/>
        <v>159.46905325</v>
      </c>
      <c r="AF230" s="34">
        <f t="shared" si="43"/>
        <v>3.3962500000000091</v>
      </c>
      <c r="AG230" s="34">
        <v>12.331</v>
      </c>
      <c r="AH230" s="34">
        <v>2.8737499999999998</v>
      </c>
      <c r="AI230" s="34">
        <v>0.1045</v>
      </c>
      <c r="AJ230" s="34">
        <v>0.3135</v>
      </c>
      <c r="AK230" s="34">
        <v>0.39187499999999997</v>
      </c>
      <c r="AL230" s="34">
        <v>0.78374999999999995</v>
      </c>
      <c r="AM230" s="34">
        <v>0</v>
      </c>
      <c r="AN230" s="34">
        <v>0</v>
      </c>
      <c r="AO230" s="34">
        <v>0</v>
      </c>
      <c r="AP230" s="34">
        <v>771.96009607499991</v>
      </c>
      <c r="AQ230" s="34">
        <f t="shared" si="44"/>
        <v>788.75847107499987</v>
      </c>
      <c r="AR230" s="34">
        <f t="shared" si="45"/>
        <v>16.798374999999965</v>
      </c>
      <c r="AS230" s="34">
        <f t="shared" si="46"/>
        <v>20.194624999999974</v>
      </c>
      <c r="AT230" t="str">
        <f t="shared" si="47"/>
        <v>OK</v>
      </c>
    </row>
    <row r="231" spans="1:46" x14ac:dyDescent="0.25">
      <c r="A231" t="s">
        <v>130</v>
      </c>
      <c r="B231" t="s">
        <v>187</v>
      </c>
      <c r="C231" s="34">
        <v>690</v>
      </c>
      <c r="D231" s="34">
        <v>57.5</v>
      </c>
      <c r="E231" s="34">
        <v>2473.1583333333333</v>
      </c>
      <c r="F231" s="34">
        <f t="shared" si="36"/>
        <v>2530.6583333333333</v>
      </c>
      <c r="G231" s="34">
        <v>0</v>
      </c>
      <c r="H231" s="34">
        <v>2473.1583333333333</v>
      </c>
      <c r="I231" s="34">
        <v>2453.37005</v>
      </c>
      <c r="J231" s="34">
        <f t="shared" si="37"/>
        <v>0</v>
      </c>
      <c r="K231" s="34">
        <v>2401.12005</v>
      </c>
      <c r="L231" s="34">
        <v>2458.62005</v>
      </c>
      <c r="M231" s="34">
        <f t="shared" si="38"/>
        <v>57.5</v>
      </c>
      <c r="N231" s="34">
        <v>0</v>
      </c>
      <c r="O231" s="34">
        <v>0</v>
      </c>
      <c r="P231" s="34">
        <f t="shared" si="39"/>
        <v>0</v>
      </c>
      <c r="Q231" s="34">
        <v>0</v>
      </c>
      <c r="R231" s="34">
        <v>0</v>
      </c>
      <c r="S231" s="34">
        <f t="shared" si="40"/>
        <v>0</v>
      </c>
      <c r="T231" s="34">
        <v>0</v>
      </c>
      <c r="U231" s="34">
        <v>0</v>
      </c>
      <c r="V231" s="34">
        <f t="shared" si="41"/>
        <v>0</v>
      </c>
      <c r="W231" s="34">
        <v>2.4557500000000001</v>
      </c>
      <c r="X231" s="34">
        <v>0.80987500000000001</v>
      </c>
      <c r="Y231" s="34">
        <v>5.2249999999999998E-2</v>
      </c>
      <c r="Z231" s="34">
        <v>7.8375E-2</v>
      </c>
      <c r="AA231" s="34">
        <v>0</v>
      </c>
      <c r="AB231" s="34">
        <v>0</v>
      </c>
      <c r="AC231" s="34">
        <v>0</v>
      </c>
      <c r="AD231" s="34">
        <v>156.07280324999999</v>
      </c>
      <c r="AE231" s="34">
        <f t="shared" si="42"/>
        <v>159.46905325</v>
      </c>
      <c r="AF231" s="34">
        <f t="shared" si="43"/>
        <v>3.3962500000000091</v>
      </c>
      <c r="AG231" s="34">
        <v>12.331</v>
      </c>
      <c r="AH231" s="34">
        <v>2.8737499999999998</v>
      </c>
      <c r="AI231" s="34">
        <v>0.1045</v>
      </c>
      <c r="AJ231" s="34">
        <v>0.3135</v>
      </c>
      <c r="AK231" s="34">
        <v>0.39187499999999997</v>
      </c>
      <c r="AL231" s="34">
        <v>0.78374999999999995</v>
      </c>
      <c r="AM231" s="34">
        <v>0</v>
      </c>
      <c r="AN231" s="34">
        <v>0</v>
      </c>
      <c r="AO231" s="34">
        <v>0</v>
      </c>
      <c r="AP231" s="34">
        <v>771.96009607499991</v>
      </c>
      <c r="AQ231" s="34">
        <f t="shared" si="44"/>
        <v>788.75847107499987</v>
      </c>
      <c r="AR231" s="34">
        <f t="shared" si="45"/>
        <v>16.798374999999965</v>
      </c>
      <c r="AS231" s="34">
        <f t="shared" si="46"/>
        <v>20.194624999999974</v>
      </c>
      <c r="AT231" t="str">
        <f t="shared" si="47"/>
        <v>OK</v>
      </c>
    </row>
    <row r="232" spans="1:46" x14ac:dyDescent="0.25">
      <c r="A232" t="s">
        <v>130</v>
      </c>
      <c r="B232" t="s">
        <v>189</v>
      </c>
      <c r="C232" s="34">
        <v>690</v>
      </c>
      <c r="D232" s="34">
        <v>57.5</v>
      </c>
      <c r="E232" s="34">
        <v>2473.1583333333333</v>
      </c>
      <c r="F232" s="34">
        <f t="shared" si="36"/>
        <v>2530.6583333333333</v>
      </c>
      <c r="G232" s="34">
        <v>0</v>
      </c>
      <c r="H232" s="34">
        <v>2473.1583333333333</v>
      </c>
      <c r="I232" s="34">
        <v>2453.37005</v>
      </c>
      <c r="J232" s="34">
        <f t="shared" si="37"/>
        <v>0</v>
      </c>
      <c r="K232" s="34">
        <v>2401.12005</v>
      </c>
      <c r="L232" s="34">
        <v>2458.62005</v>
      </c>
      <c r="M232" s="34">
        <f t="shared" si="38"/>
        <v>57.5</v>
      </c>
      <c r="N232" s="34">
        <v>0</v>
      </c>
      <c r="O232" s="34">
        <v>0</v>
      </c>
      <c r="P232" s="34">
        <f t="shared" si="39"/>
        <v>0</v>
      </c>
      <c r="Q232" s="34">
        <v>0</v>
      </c>
      <c r="R232" s="34">
        <v>0</v>
      </c>
      <c r="S232" s="34">
        <f t="shared" si="40"/>
        <v>0</v>
      </c>
      <c r="T232" s="34">
        <v>0</v>
      </c>
      <c r="U232" s="34">
        <v>0</v>
      </c>
      <c r="V232" s="34">
        <f t="shared" si="41"/>
        <v>0</v>
      </c>
      <c r="W232" s="34">
        <v>2.4557500000000001</v>
      </c>
      <c r="X232" s="34">
        <v>0.80987500000000001</v>
      </c>
      <c r="Y232" s="34">
        <v>5.2249999999999998E-2</v>
      </c>
      <c r="Z232" s="34">
        <v>7.8375E-2</v>
      </c>
      <c r="AA232" s="34">
        <v>0</v>
      </c>
      <c r="AB232" s="34">
        <v>0</v>
      </c>
      <c r="AC232" s="34">
        <v>0</v>
      </c>
      <c r="AD232" s="34">
        <v>156.07280324999999</v>
      </c>
      <c r="AE232" s="34">
        <f t="shared" si="42"/>
        <v>159.46905325</v>
      </c>
      <c r="AF232" s="34">
        <f t="shared" si="43"/>
        <v>3.3962500000000091</v>
      </c>
      <c r="AG232" s="34">
        <v>12.331</v>
      </c>
      <c r="AH232" s="34">
        <v>2.8737499999999998</v>
      </c>
      <c r="AI232" s="34">
        <v>0.1045</v>
      </c>
      <c r="AJ232" s="34">
        <v>0.3135</v>
      </c>
      <c r="AK232" s="34">
        <v>0.39187499999999997</v>
      </c>
      <c r="AL232" s="34">
        <v>0.78374999999999995</v>
      </c>
      <c r="AM232" s="34">
        <v>0</v>
      </c>
      <c r="AN232" s="34">
        <v>0</v>
      </c>
      <c r="AO232" s="34">
        <v>0</v>
      </c>
      <c r="AP232" s="34">
        <v>771.96009607499991</v>
      </c>
      <c r="AQ232" s="34">
        <f t="shared" si="44"/>
        <v>788.75847107499987</v>
      </c>
      <c r="AR232" s="34">
        <f t="shared" si="45"/>
        <v>16.798374999999965</v>
      </c>
      <c r="AS232" s="34">
        <f t="shared" si="46"/>
        <v>20.194624999999974</v>
      </c>
      <c r="AT232" t="str">
        <f t="shared" si="47"/>
        <v>OK</v>
      </c>
    </row>
    <row r="233" spans="1:46" x14ac:dyDescent="0.25">
      <c r="A233" t="s">
        <v>132</v>
      </c>
      <c r="B233" t="s">
        <v>173</v>
      </c>
      <c r="C233" s="34">
        <v>0</v>
      </c>
      <c r="D233" s="34">
        <v>0</v>
      </c>
      <c r="E233" s="34">
        <v>2118.9933333333333</v>
      </c>
      <c r="F233" s="34">
        <f t="shared" si="36"/>
        <v>2118.9933333333333</v>
      </c>
      <c r="G233" s="34">
        <v>0</v>
      </c>
      <c r="H233" s="34">
        <v>2118.9933333333333</v>
      </c>
      <c r="I233" s="34">
        <v>2166.6633333333334</v>
      </c>
      <c r="J233" s="34">
        <f t="shared" si="37"/>
        <v>47.670000000000073</v>
      </c>
      <c r="K233" s="34">
        <v>2166.6633333333334</v>
      </c>
      <c r="L233" s="34">
        <v>2166.6633333333334</v>
      </c>
      <c r="M233" s="34">
        <f t="shared" si="38"/>
        <v>0</v>
      </c>
      <c r="N233" s="34">
        <v>0</v>
      </c>
      <c r="O233" s="34">
        <v>0</v>
      </c>
      <c r="P233" s="34">
        <f t="shared" si="39"/>
        <v>0</v>
      </c>
      <c r="Q233" s="34">
        <v>0</v>
      </c>
      <c r="R233" s="34">
        <v>0</v>
      </c>
      <c r="S233" s="34">
        <f t="shared" si="40"/>
        <v>0</v>
      </c>
      <c r="T233" s="34">
        <v>0</v>
      </c>
      <c r="U233" s="34">
        <v>0</v>
      </c>
      <c r="V233" s="34">
        <f t="shared" si="41"/>
        <v>0</v>
      </c>
      <c r="W233" s="34">
        <v>0</v>
      </c>
      <c r="X233" s="34">
        <v>0</v>
      </c>
      <c r="Y233" s="34">
        <v>0</v>
      </c>
      <c r="Z233" s="34">
        <v>0</v>
      </c>
      <c r="AA233" s="34">
        <v>0</v>
      </c>
      <c r="AB233" s="34">
        <v>0</v>
      </c>
      <c r="AC233" s="34">
        <v>0</v>
      </c>
      <c r="AD233" s="34">
        <v>140.83311666666668</v>
      </c>
      <c r="AE233" s="34">
        <f t="shared" si="42"/>
        <v>140.83311666666668</v>
      </c>
      <c r="AF233" s="34">
        <f t="shared" si="43"/>
        <v>0</v>
      </c>
      <c r="AG233" s="34">
        <v>0</v>
      </c>
      <c r="AH233" s="34">
        <v>0</v>
      </c>
      <c r="AI233" s="34">
        <v>0</v>
      </c>
      <c r="AJ233" s="34">
        <v>0</v>
      </c>
      <c r="AK233" s="34">
        <v>0</v>
      </c>
      <c r="AL233" s="34">
        <v>0</v>
      </c>
      <c r="AM233" s="34">
        <v>0</v>
      </c>
      <c r="AN233" s="34">
        <v>0</v>
      </c>
      <c r="AO233" s="34">
        <v>0</v>
      </c>
      <c r="AP233" s="34">
        <v>696.58226166666668</v>
      </c>
      <c r="AQ233" s="34">
        <f t="shared" si="44"/>
        <v>696.58226166666668</v>
      </c>
      <c r="AR233" s="34">
        <f t="shared" si="45"/>
        <v>0</v>
      </c>
      <c r="AS233" s="34">
        <f t="shared" si="46"/>
        <v>0</v>
      </c>
      <c r="AT233" t="str">
        <f t="shared" si="47"/>
        <v>SIN BONUS</v>
      </c>
    </row>
    <row r="234" spans="1:46" x14ac:dyDescent="0.25">
      <c r="A234" t="s">
        <v>132</v>
      </c>
      <c r="B234" t="s">
        <v>176</v>
      </c>
      <c r="C234" s="34">
        <v>0</v>
      </c>
      <c r="D234" s="34">
        <v>0</v>
      </c>
      <c r="E234" s="34">
        <v>2118.9933333333333</v>
      </c>
      <c r="F234" s="34">
        <f t="shared" si="36"/>
        <v>2118.9933333333333</v>
      </c>
      <c r="G234" s="34">
        <v>0</v>
      </c>
      <c r="H234" s="34">
        <v>2118.9933333333333</v>
      </c>
      <c r="I234" s="34">
        <v>2166.6633333333334</v>
      </c>
      <c r="J234" s="34">
        <f t="shared" si="37"/>
        <v>47.670000000000073</v>
      </c>
      <c r="K234" s="34">
        <v>2166.6633333333334</v>
      </c>
      <c r="L234" s="34">
        <v>2166.6633333333334</v>
      </c>
      <c r="M234" s="34">
        <f t="shared" si="38"/>
        <v>0</v>
      </c>
      <c r="N234" s="34">
        <v>0</v>
      </c>
      <c r="O234" s="34">
        <v>0</v>
      </c>
      <c r="P234" s="34">
        <f t="shared" si="39"/>
        <v>0</v>
      </c>
      <c r="Q234" s="34">
        <v>0</v>
      </c>
      <c r="R234" s="34">
        <v>0</v>
      </c>
      <c r="S234" s="34">
        <f t="shared" si="40"/>
        <v>0</v>
      </c>
      <c r="T234" s="34">
        <v>0</v>
      </c>
      <c r="U234" s="34">
        <v>0</v>
      </c>
      <c r="V234" s="34">
        <f t="shared" si="41"/>
        <v>0</v>
      </c>
      <c r="W234" s="34">
        <v>0</v>
      </c>
      <c r="X234" s="34">
        <v>0</v>
      </c>
      <c r="Y234" s="34">
        <v>0</v>
      </c>
      <c r="Z234" s="34">
        <v>0</v>
      </c>
      <c r="AA234" s="34">
        <v>0</v>
      </c>
      <c r="AB234" s="34">
        <v>0</v>
      </c>
      <c r="AC234" s="34">
        <v>0</v>
      </c>
      <c r="AD234" s="34">
        <v>140.83311666666668</v>
      </c>
      <c r="AE234" s="34">
        <f t="shared" si="42"/>
        <v>140.83311666666668</v>
      </c>
      <c r="AF234" s="34">
        <f t="shared" si="43"/>
        <v>0</v>
      </c>
      <c r="AG234" s="34">
        <v>0</v>
      </c>
      <c r="AH234" s="34">
        <v>0</v>
      </c>
      <c r="AI234" s="34">
        <v>0</v>
      </c>
      <c r="AJ234" s="34">
        <v>0</v>
      </c>
      <c r="AK234" s="34">
        <v>0</v>
      </c>
      <c r="AL234" s="34">
        <v>0</v>
      </c>
      <c r="AM234" s="34">
        <v>0</v>
      </c>
      <c r="AN234" s="34">
        <v>0</v>
      </c>
      <c r="AO234" s="34">
        <v>0</v>
      </c>
      <c r="AP234" s="34">
        <v>696.58226166666668</v>
      </c>
      <c r="AQ234" s="34">
        <f t="shared" si="44"/>
        <v>696.58226166666668</v>
      </c>
      <c r="AR234" s="34">
        <f t="shared" si="45"/>
        <v>0</v>
      </c>
      <c r="AS234" s="34">
        <f t="shared" si="46"/>
        <v>0</v>
      </c>
      <c r="AT234" t="str">
        <f t="shared" si="47"/>
        <v>SIN BONUS</v>
      </c>
    </row>
    <row r="235" spans="1:46" x14ac:dyDescent="0.25">
      <c r="A235" t="s">
        <v>132</v>
      </c>
      <c r="B235" t="s">
        <v>177</v>
      </c>
      <c r="C235" s="34">
        <v>0</v>
      </c>
      <c r="D235" s="34">
        <v>0</v>
      </c>
      <c r="E235" s="34">
        <v>2118.9933333333333</v>
      </c>
      <c r="F235" s="34">
        <f t="shared" si="36"/>
        <v>2118.9933333333333</v>
      </c>
      <c r="G235" s="34">
        <v>0</v>
      </c>
      <c r="H235" s="34">
        <v>2118.9933333333333</v>
      </c>
      <c r="I235" s="34">
        <v>2166.6633333333334</v>
      </c>
      <c r="J235" s="34">
        <f t="shared" si="37"/>
        <v>47.670000000000073</v>
      </c>
      <c r="K235" s="34">
        <v>2166.6633333333334</v>
      </c>
      <c r="L235" s="34">
        <v>2166.6633333333334</v>
      </c>
      <c r="M235" s="34">
        <f t="shared" si="38"/>
        <v>0</v>
      </c>
      <c r="N235" s="34">
        <v>0</v>
      </c>
      <c r="O235" s="34">
        <v>0</v>
      </c>
      <c r="P235" s="34">
        <f t="shared" si="39"/>
        <v>0</v>
      </c>
      <c r="Q235" s="34">
        <v>0</v>
      </c>
      <c r="R235" s="34">
        <v>0</v>
      </c>
      <c r="S235" s="34">
        <f t="shared" si="40"/>
        <v>0</v>
      </c>
      <c r="T235" s="34">
        <v>0</v>
      </c>
      <c r="U235" s="34">
        <v>0</v>
      </c>
      <c r="V235" s="34">
        <f t="shared" si="41"/>
        <v>0</v>
      </c>
      <c r="W235" s="34">
        <v>0</v>
      </c>
      <c r="X235" s="34">
        <v>0</v>
      </c>
      <c r="Y235" s="34">
        <v>0</v>
      </c>
      <c r="Z235" s="34">
        <v>0</v>
      </c>
      <c r="AA235" s="34">
        <v>0</v>
      </c>
      <c r="AB235" s="34">
        <v>0</v>
      </c>
      <c r="AC235" s="34">
        <v>0</v>
      </c>
      <c r="AD235" s="34">
        <v>140.83311666666668</v>
      </c>
      <c r="AE235" s="34">
        <f t="shared" si="42"/>
        <v>140.83311666666668</v>
      </c>
      <c r="AF235" s="34">
        <f t="shared" si="43"/>
        <v>0</v>
      </c>
      <c r="AG235" s="34">
        <v>0</v>
      </c>
      <c r="AH235" s="34">
        <v>0</v>
      </c>
      <c r="AI235" s="34">
        <v>0</v>
      </c>
      <c r="AJ235" s="34">
        <v>0</v>
      </c>
      <c r="AK235" s="34">
        <v>0</v>
      </c>
      <c r="AL235" s="34">
        <v>0</v>
      </c>
      <c r="AM235" s="34">
        <v>0</v>
      </c>
      <c r="AN235" s="34">
        <v>0</v>
      </c>
      <c r="AO235" s="34">
        <v>0</v>
      </c>
      <c r="AP235" s="34">
        <v>696.58226166666668</v>
      </c>
      <c r="AQ235" s="34">
        <f t="shared" si="44"/>
        <v>696.58226166666668</v>
      </c>
      <c r="AR235" s="34">
        <f t="shared" si="45"/>
        <v>0</v>
      </c>
      <c r="AS235" s="34">
        <f t="shared" si="46"/>
        <v>0</v>
      </c>
      <c r="AT235" t="str">
        <f t="shared" si="47"/>
        <v>SIN BONUS</v>
      </c>
    </row>
    <row r="236" spans="1:46" x14ac:dyDescent="0.25">
      <c r="A236" t="s">
        <v>132</v>
      </c>
      <c r="B236" t="s">
        <v>178</v>
      </c>
      <c r="C236" s="34">
        <v>0</v>
      </c>
      <c r="D236" s="34">
        <v>0</v>
      </c>
      <c r="E236" s="34">
        <v>2118.9933333333333</v>
      </c>
      <c r="F236" s="34">
        <f t="shared" si="36"/>
        <v>2118.9933333333333</v>
      </c>
      <c r="G236" s="34">
        <v>0</v>
      </c>
      <c r="H236" s="34">
        <v>2118.9933333333333</v>
      </c>
      <c r="I236" s="34">
        <v>2166.6633333333334</v>
      </c>
      <c r="J236" s="34">
        <f t="shared" si="37"/>
        <v>47.670000000000073</v>
      </c>
      <c r="K236" s="34">
        <v>2166.6633333333334</v>
      </c>
      <c r="L236" s="34">
        <v>2166.6633333333334</v>
      </c>
      <c r="M236" s="34">
        <f t="shared" si="38"/>
        <v>0</v>
      </c>
      <c r="N236" s="34">
        <v>0</v>
      </c>
      <c r="O236" s="34">
        <v>0</v>
      </c>
      <c r="P236" s="34">
        <f t="shared" si="39"/>
        <v>0</v>
      </c>
      <c r="Q236" s="34">
        <v>0</v>
      </c>
      <c r="R236" s="34">
        <v>0</v>
      </c>
      <c r="S236" s="34">
        <f t="shared" si="40"/>
        <v>0</v>
      </c>
      <c r="T236" s="34">
        <v>0</v>
      </c>
      <c r="U236" s="34">
        <v>0</v>
      </c>
      <c r="V236" s="34">
        <f t="shared" si="41"/>
        <v>0</v>
      </c>
      <c r="W236" s="34">
        <v>0</v>
      </c>
      <c r="X236" s="34">
        <v>0</v>
      </c>
      <c r="Y236" s="34">
        <v>0</v>
      </c>
      <c r="Z236" s="34">
        <v>0</v>
      </c>
      <c r="AA236" s="34">
        <v>0</v>
      </c>
      <c r="AB236" s="34">
        <v>0</v>
      </c>
      <c r="AC236" s="34">
        <v>0</v>
      </c>
      <c r="AD236" s="34">
        <v>140.83311666666668</v>
      </c>
      <c r="AE236" s="34">
        <f t="shared" si="42"/>
        <v>140.83311666666668</v>
      </c>
      <c r="AF236" s="34">
        <f t="shared" si="43"/>
        <v>0</v>
      </c>
      <c r="AG236" s="34">
        <v>0</v>
      </c>
      <c r="AH236" s="34">
        <v>0</v>
      </c>
      <c r="AI236" s="34">
        <v>0</v>
      </c>
      <c r="AJ236" s="34">
        <v>0</v>
      </c>
      <c r="AK236" s="34">
        <v>0</v>
      </c>
      <c r="AL236" s="34">
        <v>0</v>
      </c>
      <c r="AM236" s="34">
        <v>0</v>
      </c>
      <c r="AN236" s="34">
        <v>0</v>
      </c>
      <c r="AO236" s="34">
        <v>0</v>
      </c>
      <c r="AP236" s="34">
        <v>696.58226166666668</v>
      </c>
      <c r="AQ236" s="34">
        <f t="shared" si="44"/>
        <v>696.58226166666668</v>
      </c>
      <c r="AR236" s="34">
        <f t="shared" si="45"/>
        <v>0</v>
      </c>
      <c r="AS236" s="34">
        <f t="shared" si="46"/>
        <v>0</v>
      </c>
      <c r="AT236" t="str">
        <f t="shared" si="47"/>
        <v>SIN BONUS</v>
      </c>
    </row>
    <row r="237" spans="1:46" x14ac:dyDescent="0.25">
      <c r="A237" t="s">
        <v>132</v>
      </c>
      <c r="B237" t="s">
        <v>179</v>
      </c>
      <c r="C237" s="34">
        <v>0</v>
      </c>
      <c r="D237" s="34">
        <v>0</v>
      </c>
      <c r="E237" s="34">
        <v>2118.9933333333333</v>
      </c>
      <c r="F237" s="34">
        <f t="shared" si="36"/>
        <v>2118.9933333333333</v>
      </c>
      <c r="G237" s="34">
        <v>0</v>
      </c>
      <c r="H237" s="34">
        <v>2118.9933333333333</v>
      </c>
      <c r="I237" s="34">
        <v>2166.6633333333334</v>
      </c>
      <c r="J237" s="34">
        <f t="shared" si="37"/>
        <v>47.670000000000073</v>
      </c>
      <c r="K237" s="34">
        <v>2166.6633333333334</v>
      </c>
      <c r="L237" s="34">
        <v>2166.6633333333334</v>
      </c>
      <c r="M237" s="34">
        <f t="shared" si="38"/>
        <v>0</v>
      </c>
      <c r="N237" s="34">
        <v>0</v>
      </c>
      <c r="O237" s="34">
        <v>0</v>
      </c>
      <c r="P237" s="34">
        <f t="shared" si="39"/>
        <v>0</v>
      </c>
      <c r="Q237" s="34">
        <v>0</v>
      </c>
      <c r="R237" s="34">
        <v>0</v>
      </c>
      <c r="S237" s="34">
        <f t="shared" si="40"/>
        <v>0</v>
      </c>
      <c r="T237" s="34">
        <v>0</v>
      </c>
      <c r="U237" s="34">
        <v>0</v>
      </c>
      <c r="V237" s="34">
        <f t="shared" si="41"/>
        <v>0</v>
      </c>
      <c r="W237" s="34">
        <v>0</v>
      </c>
      <c r="X237" s="34">
        <v>0</v>
      </c>
      <c r="Y237" s="34">
        <v>0</v>
      </c>
      <c r="Z237" s="34">
        <v>0</v>
      </c>
      <c r="AA237" s="34">
        <v>0</v>
      </c>
      <c r="AB237" s="34">
        <v>0</v>
      </c>
      <c r="AC237" s="34">
        <v>0</v>
      </c>
      <c r="AD237" s="34">
        <v>140.83311666666668</v>
      </c>
      <c r="AE237" s="34">
        <f t="shared" si="42"/>
        <v>140.83311666666668</v>
      </c>
      <c r="AF237" s="34">
        <f t="shared" si="43"/>
        <v>0</v>
      </c>
      <c r="AG237" s="34">
        <v>0</v>
      </c>
      <c r="AH237" s="34">
        <v>0</v>
      </c>
      <c r="AI237" s="34">
        <v>0</v>
      </c>
      <c r="AJ237" s="34">
        <v>0</v>
      </c>
      <c r="AK237" s="34">
        <v>0</v>
      </c>
      <c r="AL237" s="34">
        <v>0</v>
      </c>
      <c r="AM237" s="34">
        <v>0</v>
      </c>
      <c r="AN237" s="34">
        <v>0</v>
      </c>
      <c r="AO237" s="34">
        <v>0</v>
      </c>
      <c r="AP237" s="34">
        <v>696.58226166666668</v>
      </c>
      <c r="AQ237" s="34">
        <f t="shared" si="44"/>
        <v>696.58226166666668</v>
      </c>
      <c r="AR237" s="34">
        <f t="shared" si="45"/>
        <v>0</v>
      </c>
      <c r="AS237" s="34">
        <f t="shared" si="46"/>
        <v>0</v>
      </c>
      <c r="AT237" t="str">
        <f t="shared" si="47"/>
        <v>SIN BONUS</v>
      </c>
    </row>
    <row r="238" spans="1:46" x14ac:dyDescent="0.25">
      <c r="A238" t="s">
        <v>132</v>
      </c>
      <c r="B238" t="s">
        <v>180</v>
      </c>
      <c r="C238" s="34">
        <v>0</v>
      </c>
      <c r="D238" s="34">
        <v>0</v>
      </c>
      <c r="E238" s="34">
        <v>2118.9933333333333</v>
      </c>
      <c r="F238" s="34">
        <f t="shared" si="36"/>
        <v>2118.9933333333333</v>
      </c>
      <c r="G238" s="34">
        <v>0</v>
      </c>
      <c r="H238" s="34">
        <v>2118.9933333333333</v>
      </c>
      <c r="I238" s="34">
        <v>2166.6633333333334</v>
      </c>
      <c r="J238" s="34">
        <f t="shared" si="37"/>
        <v>47.670000000000073</v>
      </c>
      <c r="K238" s="34">
        <v>2166.6633333333334</v>
      </c>
      <c r="L238" s="34">
        <v>2166.6633333333334</v>
      </c>
      <c r="M238" s="34">
        <f t="shared" si="38"/>
        <v>0</v>
      </c>
      <c r="N238" s="34">
        <v>0</v>
      </c>
      <c r="O238" s="34">
        <v>0</v>
      </c>
      <c r="P238" s="34">
        <f t="shared" si="39"/>
        <v>0</v>
      </c>
      <c r="Q238" s="34">
        <v>0</v>
      </c>
      <c r="R238" s="34">
        <v>0</v>
      </c>
      <c r="S238" s="34">
        <f t="shared" si="40"/>
        <v>0</v>
      </c>
      <c r="T238" s="34">
        <v>0</v>
      </c>
      <c r="U238" s="34">
        <v>0</v>
      </c>
      <c r="V238" s="34">
        <f t="shared" si="41"/>
        <v>0</v>
      </c>
      <c r="W238" s="34">
        <v>0</v>
      </c>
      <c r="X238" s="34">
        <v>0</v>
      </c>
      <c r="Y238" s="34">
        <v>0</v>
      </c>
      <c r="Z238" s="34">
        <v>0</v>
      </c>
      <c r="AA238" s="34">
        <v>0</v>
      </c>
      <c r="AB238" s="34">
        <v>0</v>
      </c>
      <c r="AC238" s="34">
        <v>0</v>
      </c>
      <c r="AD238" s="34">
        <v>140.83311666666668</v>
      </c>
      <c r="AE238" s="34">
        <f t="shared" si="42"/>
        <v>140.83311666666668</v>
      </c>
      <c r="AF238" s="34">
        <f t="shared" si="43"/>
        <v>0</v>
      </c>
      <c r="AG238" s="34">
        <v>0</v>
      </c>
      <c r="AH238" s="34">
        <v>0</v>
      </c>
      <c r="AI238" s="34">
        <v>0</v>
      </c>
      <c r="AJ238" s="34">
        <v>0</v>
      </c>
      <c r="AK238" s="34">
        <v>0</v>
      </c>
      <c r="AL238" s="34">
        <v>0</v>
      </c>
      <c r="AM238" s="34">
        <v>0</v>
      </c>
      <c r="AN238" s="34">
        <v>0</v>
      </c>
      <c r="AO238" s="34">
        <v>0</v>
      </c>
      <c r="AP238" s="34">
        <v>696.58226166666668</v>
      </c>
      <c r="AQ238" s="34">
        <f t="shared" si="44"/>
        <v>696.58226166666668</v>
      </c>
      <c r="AR238" s="34">
        <f t="shared" si="45"/>
        <v>0</v>
      </c>
      <c r="AS238" s="34">
        <f t="shared" si="46"/>
        <v>0</v>
      </c>
      <c r="AT238" t="str">
        <f t="shared" si="47"/>
        <v>SIN BONUS</v>
      </c>
    </row>
    <row r="239" spans="1:46" x14ac:dyDescent="0.25">
      <c r="A239" t="s">
        <v>132</v>
      </c>
      <c r="B239" t="s">
        <v>183</v>
      </c>
      <c r="C239" s="34">
        <v>0</v>
      </c>
      <c r="D239" s="34">
        <v>0</v>
      </c>
      <c r="E239" s="34">
        <v>2118.9933333333333</v>
      </c>
      <c r="F239" s="34">
        <f t="shared" si="36"/>
        <v>2118.9933333333333</v>
      </c>
      <c r="G239" s="34">
        <v>0</v>
      </c>
      <c r="H239" s="34">
        <v>2118.9933333333333</v>
      </c>
      <c r="I239" s="34">
        <v>2166.6633333333334</v>
      </c>
      <c r="J239" s="34">
        <f t="shared" si="37"/>
        <v>47.670000000000073</v>
      </c>
      <c r="K239" s="34">
        <v>2166.6633333333334</v>
      </c>
      <c r="L239" s="34">
        <v>2166.6633333333334</v>
      </c>
      <c r="M239" s="34">
        <f t="shared" si="38"/>
        <v>0</v>
      </c>
      <c r="N239" s="34">
        <v>0</v>
      </c>
      <c r="O239" s="34">
        <v>0</v>
      </c>
      <c r="P239" s="34">
        <f t="shared" si="39"/>
        <v>0</v>
      </c>
      <c r="Q239" s="34">
        <v>0</v>
      </c>
      <c r="R239" s="34">
        <v>0</v>
      </c>
      <c r="S239" s="34">
        <f t="shared" si="40"/>
        <v>0</v>
      </c>
      <c r="T239" s="34">
        <v>0</v>
      </c>
      <c r="U239" s="34">
        <v>0</v>
      </c>
      <c r="V239" s="34">
        <f t="shared" si="41"/>
        <v>0</v>
      </c>
      <c r="W239" s="34">
        <v>0</v>
      </c>
      <c r="X239" s="34">
        <v>0</v>
      </c>
      <c r="Y239" s="34">
        <v>0</v>
      </c>
      <c r="Z239" s="34">
        <v>0</v>
      </c>
      <c r="AA239" s="34">
        <v>0</v>
      </c>
      <c r="AB239" s="34">
        <v>0</v>
      </c>
      <c r="AC239" s="34">
        <v>0</v>
      </c>
      <c r="AD239" s="34">
        <v>140.83311666666668</v>
      </c>
      <c r="AE239" s="34">
        <f t="shared" si="42"/>
        <v>140.83311666666668</v>
      </c>
      <c r="AF239" s="34">
        <f t="shared" si="43"/>
        <v>0</v>
      </c>
      <c r="AG239" s="34">
        <v>0</v>
      </c>
      <c r="AH239" s="34">
        <v>0</v>
      </c>
      <c r="AI239" s="34">
        <v>0</v>
      </c>
      <c r="AJ239" s="34">
        <v>0</v>
      </c>
      <c r="AK239" s="34">
        <v>0</v>
      </c>
      <c r="AL239" s="34">
        <v>0</v>
      </c>
      <c r="AM239" s="34">
        <v>0</v>
      </c>
      <c r="AN239" s="34">
        <v>0</v>
      </c>
      <c r="AO239" s="34">
        <v>0</v>
      </c>
      <c r="AP239" s="34">
        <v>696.58226166666668</v>
      </c>
      <c r="AQ239" s="34">
        <f t="shared" si="44"/>
        <v>696.58226166666668</v>
      </c>
      <c r="AR239" s="34">
        <f t="shared" si="45"/>
        <v>0</v>
      </c>
      <c r="AS239" s="34">
        <f t="shared" si="46"/>
        <v>0</v>
      </c>
      <c r="AT239" t="str">
        <f t="shared" si="47"/>
        <v>SIN BONUS</v>
      </c>
    </row>
    <row r="240" spans="1:46" x14ac:dyDescent="0.25">
      <c r="A240" t="s">
        <v>132</v>
      </c>
      <c r="B240" t="s">
        <v>184</v>
      </c>
      <c r="C240" s="34">
        <v>0</v>
      </c>
      <c r="D240" s="34">
        <v>0</v>
      </c>
      <c r="E240" s="34">
        <v>2118.9933333333333</v>
      </c>
      <c r="F240" s="34">
        <f t="shared" si="36"/>
        <v>2118.9933333333333</v>
      </c>
      <c r="G240" s="34">
        <v>0</v>
      </c>
      <c r="H240" s="34">
        <v>2118.9933333333333</v>
      </c>
      <c r="I240" s="34">
        <v>2166.6633333333334</v>
      </c>
      <c r="J240" s="34">
        <f t="shared" si="37"/>
        <v>47.670000000000073</v>
      </c>
      <c r="K240" s="34">
        <v>2166.6633333333334</v>
      </c>
      <c r="L240" s="34">
        <v>2166.6633333333334</v>
      </c>
      <c r="M240" s="34">
        <f t="shared" si="38"/>
        <v>0</v>
      </c>
      <c r="N240" s="34">
        <v>0</v>
      </c>
      <c r="O240" s="34">
        <v>0</v>
      </c>
      <c r="P240" s="34">
        <f t="shared" si="39"/>
        <v>0</v>
      </c>
      <c r="Q240" s="34">
        <v>0</v>
      </c>
      <c r="R240" s="34">
        <v>0</v>
      </c>
      <c r="S240" s="34">
        <f t="shared" si="40"/>
        <v>0</v>
      </c>
      <c r="T240" s="34">
        <v>0</v>
      </c>
      <c r="U240" s="34">
        <v>0</v>
      </c>
      <c r="V240" s="34">
        <f t="shared" si="41"/>
        <v>0</v>
      </c>
      <c r="W240" s="34">
        <v>0</v>
      </c>
      <c r="X240" s="34">
        <v>0</v>
      </c>
      <c r="Y240" s="34">
        <v>0</v>
      </c>
      <c r="Z240" s="34">
        <v>0</v>
      </c>
      <c r="AA240" s="34">
        <v>0</v>
      </c>
      <c r="AB240" s="34">
        <v>0</v>
      </c>
      <c r="AC240" s="34">
        <v>0</v>
      </c>
      <c r="AD240" s="34">
        <v>140.83311666666668</v>
      </c>
      <c r="AE240" s="34">
        <f t="shared" si="42"/>
        <v>140.83311666666668</v>
      </c>
      <c r="AF240" s="34">
        <f t="shared" si="43"/>
        <v>0</v>
      </c>
      <c r="AG240" s="34">
        <v>0</v>
      </c>
      <c r="AH240" s="34">
        <v>0</v>
      </c>
      <c r="AI240" s="34">
        <v>0</v>
      </c>
      <c r="AJ240" s="34">
        <v>0</v>
      </c>
      <c r="AK240" s="34">
        <v>0</v>
      </c>
      <c r="AL240" s="34">
        <v>0</v>
      </c>
      <c r="AM240" s="34">
        <v>0</v>
      </c>
      <c r="AN240" s="34">
        <v>0</v>
      </c>
      <c r="AO240" s="34">
        <v>0</v>
      </c>
      <c r="AP240" s="34">
        <v>696.58226166666668</v>
      </c>
      <c r="AQ240" s="34">
        <f t="shared" si="44"/>
        <v>696.58226166666668</v>
      </c>
      <c r="AR240" s="34">
        <f t="shared" si="45"/>
        <v>0</v>
      </c>
      <c r="AS240" s="34">
        <f t="shared" si="46"/>
        <v>0</v>
      </c>
      <c r="AT240" t="str">
        <f t="shared" si="47"/>
        <v>SIN BONUS</v>
      </c>
    </row>
    <row r="241" spans="1:46" x14ac:dyDescent="0.25">
      <c r="A241" t="s">
        <v>132</v>
      </c>
      <c r="B241" t="s">
        <v>185</v>
      </c>
      <c r="C241" s="34">
        <v>0</v>
      </c>
      <c r="D241" s="34">
        <v>0</v>
      </c>
      <c r="E241" s="34">
        <v>2118.9933333333333</v>
      </c>
      <c r="F241" s="34">
        <f t="shared" si="36"/>
        <v>2118.9933333333333</v>
      </c>
      <c r="G241" s="34">
        <v>0</v>
      </c>
      <c r="H241" s="34">
        <v>2118.9933333333333</v>
      </c>
      <c r="I241" s="34">
        <v>2166.6633333333334</v>
      </c>
      <c r="J241" s="34">
        <f t="shared" si="37"/>
        <v>47.670000000000073</v>
      </c>
      <c r="K241" s="34">
        <v>2166.6633333333334</v>
      </c>
      <c r="L241" s="34">
        <v>2166.6633333333334</v>
      </c>
      <c r="M241" s="34">
        <f t="shared" si="38"/>
        <v>0</v>
      </c>
      <c r="N241" s="34">
        <v>0</v>
      </c>
      <c r="O241" s="34">
        <v>0</v>
      </c>
      <c r="P241" s="34">
        <f t="shared" si="39"/>
        <v>0</v>
      </c>
      <c r="Q241" s="34">
        <v>0</v>
      </c>
      <c r="R241" s="34">
        <v>0</v>
      </c>
      <c r="S241" s="34">
        <f t="shared" si="40"/>
        <v>0</v>
      </c>
      <c r="T241" s="34">
        <v>0</v>
      </c>
      <c r="U241" s="34">
        <v>0</v>
      </c>
      <c r="V241" s="34">
        <f t="shared" si="41"/>
        <v>0</v>
      </c>
      <c r="W241" s="34">
        <v>0</v>
      </c>
      <c r="X241" s="34">
        <v>0</v>
      </c>
      <c r="Y241" s="34">
        <v>0</v>
      </c>
      <c r="Z241" s="34">
        <v>0</v>
      </c>
      <c r="AA241" s="34">
        <v>0</v>
      </c>
      <c r="AB241" s="34">
        <v>0</v>
      </c>
      <c r="AC241" s="34">
        <v>0</v>
      </c>
      <c r="AD241" s="34">
        <v>140.83311666666668</v>
      </c>
      <c r="AE241" s="34">
        <f t="shared" si="42"/>
        <v>140.83311666666668</v>
      </c>
      <c r="AF241" s="34">
        <f t="shared" si="43"/>
        <v>0</v>
      </c>
      <c r="AG241" s="34">
        <v>0</v>
      </c>
      <c r="AH241" s="34">
        <v>0</v>
      </c>
      <c r="AI241" s="34">
        <v>0</v>
      </c>
      <c r="AJ241" s="34">
        <v>0</v>
      </c>
      <c r="AK241" s="34">
        <v>0</v>
      </c>
      <c r="AL241" s="34">
        <v>0</v>
      </c>
      <c r="AM241" s="34">
        <v>0</v>
      </c>
      <c r="AN241" s="34">
        <v>0</v>
      </c>
      <c r="AO241" s="34">
        <v>0</v>
      </c>
      <c r="AP241" s="34">
        <v>696.58226166666668</v>
      </c>
      <c r="AQ241" s="34">
        <f t="shared" si="44"/>
        <v>696.58226166666668</v>
      </c>
      <c r="AR241" s="34">
        <f t="shared" si="45"/>
        <v>0</v>
      </c>
      <c r="AS241" s="34">
        <f t="shared" si="46"/>
        <v>0</v>
      </c>
      <c r="AT241" t="str">
        <f t="shared" si="47"/>
        <v>SIN BONUS</v>
      </c>
    </row>
    <row r="242" spans="1:46" x14ac:dyDescent="0.25">
      <c r="A242" t="s">
        <v>132</v>
      </c>
      <c r="B242" t="s">
        <v>186</v>
      </c>
      <c r="C242" s="34">
        <v>0</v>
      </c>
      <c r="D242" s="34">
        <v>0</v>
      </c>
      <c r="E242" s="34">
        <v>2118.9933333333333</v>
      </c>
      <c r="F242" s="34">
        <f t="shared" si="36"/>
        <v>2118.9933333333333</v>
      </c>
      <c r="G242" s="34">
        <v>0</v>
      </c>
      <c r="H242" s="34">
        <v>2118.9933333333333</v>
      </c>
      <c r="I242" s="34">
        <v>2166.6633333333334</v>
      </c>
      <c r="J242" s="34">
        <f t="shared" si="37"/>
        <v>47.670000000000073</v>
      </c>
      <c r="K242" s="34">
        <v>2166.6633333333334</v>
      </c>
      <c r="L242" s="34">
        <v>2166.6633333333334</v>
      </c>
      <c r="M242" s="34">
        <f t="shared" si="38"/>
        <v>0</v>
      </c>
      <c r="N242" s="34">
        <v>0</v>
      </c>
      <c r="O242" s="34">
        <v>0</v>
      </c>
      <c r="P242" s="34">
        <f t="shared" si="39"/>
        <v>0</v>
      </c>
      <c r="Q242" s="34">
        <v>0</v>
      </c>
      <c r="R242" s="34">
        <v>0</v>
      </c>
      <c r="S242" s="34">
        <f t="shared" si="40"/>
        <v>0</v>
      </c>
      <c r="T242" s="34">
        <v>0</v>
      </c>
      <c r="U242" s="34">
        <v>0</v>
      </c>
      <c r="V242" s="34">
        <f t="shared" si="41"/>
        <v>0</v>
      </c>
      <c r="W242" s="34">
        <v>0</v>
      </c>
      <c r="X242" s="34">
        <v>0</v>
      </c>
      <c r="Y242" s="34">
        <v>0</v>
      </c>
      <c r="Z242" s="34">
        <v>0</v>
      </c>
      <c r="AA242" s="34">
        <v>0</v>
      </c>
      <c r="AB242" s="34">
        <v>0</v>
      </c>
      <c r="AC242" s="34">
        <v>0</v>
      </c>
      <c r="AD242" s="34">
        <v>140.83311666666668</v>
      </c>
      <c r="AE242" s="34">
        <f t="shared" si="42"/>
        <v>140.83311666666668</v>
      </c>
      <c r="AF242" s="34">
        <f t="shared" si="43"/>
        <v>0</v>
      </c>
      <c r="AG242" s="34">
        <v>0</v>
      </c>
      <c r="AH242" s="34">
        <v>0</v>
      </c>
      <c r="AI242" s="34">
        <v>0</v>
      </c>
      <c r="AJ242" s="34">
        <v>0</v>
      </c>
      <c r="AK242" s="34">
        <v>0</v>
      </c>
      <c r="AL242" s="34">
        <v>0</v>
      </c>
      <c r="AM242" s="34">
        <v>0</v>
      </c>
      <c r="AN242" s="34">
        <v>0</v>
      </c>
      <c r="AO242" s="34">
        <v>0</v>
      </c>
      <c r="AP242" s="34">
        <v>696.58226166666668</v>
      </c>
      <c r="AQ242" s="34">
        <f t="shared" si="44"/>
        <v>696.58226166666668</v>
      </c>
      <c r="AR242" s="34">
        <f t="shared" si="45"/>
        <v>0</v>
      </c>
      <c r="AS242" s="34">
        <f t="shared" si="46"/>
        <v>0</v>
      </c>
      <c r="AT242" t="str">
        <f t="shared" si="47"/>
        <v>SIN BONUS</v>
      </c>
    </row>
    <row r="243" spans="1:46" x14ac:dyDescent="0.25">
      <c r="A243" t="s">
        <v>132</v>
      </c>
      <c r="B243" t="s">
        <v>187</v>
      </c>
      <c r="C243" s="34">
        <v>0</v>
      </c>
      <c r="D243" s="34">
        <v>0</v>
      </c>
      <c r="E243" s="34">
        <v>2118.9933333333333</v>
      </c>
      <c r="F243" s="34">
        <f t="shared" si="36"/>
        <v>2118.9933333333333</v>
      </c>
      <c r="G243" s="34">
        <v>0</v>
      </c>
      <c r="H243" s="34">
        <v>2118.9933333333333</v>
      </c>
      <c r="I243" s="34">
        <v>2166.6633333333334</v>
      </c>
      <c r="J243" s="34">
        <f t="shared" si="37"/>
        <v>47.670000000000073</v>
      </c>
      <c r="K243" s="34">
        <v>2166.6633333333334</v>
      </c>
      <c r="L243" s="34">
        <v>2166.6633333333334</v>
      </c>
      <c r="M243" s="34">
        <f t="shared" si="38"/>
        <v>0</v>
      </c>
      <c r="N243" s="34">
        <v>0</v>
      </c>
      <c r="O243" s="34">
        <v>0</v>
      </c>
      <c r="P243" s="34">
        <f t="shared" si="39"/>
        <v>0</v>
      </c>
      <c r="Q243" s="34">
        <v>0</v>
      </c>
      <c r="R243" s="34">
        <v>0</v>
      </c>
      <c r="S243" s="34">
        <f t="shared" si="40"/>
        <v>0</v>
      </c>
      <c r="T243" s="34">
        <v>0</v>
      </c>
      <c r="U243" s="34">
        <v>0</v>
      </c>
      <c r="V243" s="34">
        <f t="shared" si="41"/>
        <v>0</v>
      </c>
      <c r="W243" s="34">
        <v>0</v>
      </c>
      <c r="X243" s="34">
        <v>0</v>
      </c>
      <c r="Y243" s="34">
        <v>0</v>
      </c>
      <c r="Z243" s="34">
        <v>0</v>
      </c>
      <c r="AA243" s="34">
        <v>0</v>
      </c>
      <c r="AB243" s="34">
        <v>0</v>
      </c>
      <c r="AC243" s="34">
        <v>0</v>
      </c>
      <c r="AD243" s="34">
        <v>140.83311666666668</v>
      </c>
      <c r="AE243" s="34">
        <f t="shared" si="42"/>
        <v>140.83311666666668</v>
      </c>
      <c r="AF243" s="34">
        <f t="shared" si="43"/>
        <v>0</v>
      </c>
      <c r="AG243" s="34">
        <v>0</v>
      </c>
      <c r="AH243" s="34">
        <v>0</v>
      </c>
      <c r="AI243" s="34">
        <v>0</v>
      </c>
      <c r="AJ243" s="34">
        <v>0</v>
      </c>
      <c r="AK243" s="34">
        <v>0</v>
      </c>
      <c r="AL243" s="34">
        <v>0</v>
      </c>
      <c r="AM243" s="34">
        <v>0</v>
      </c>
      <c r="AN243" s="34">
        <v>0</v>
      </c>
      <c r="AO243" s="34">
        <v>0</v>
      </c>
      <c r="AP243" s="34">
        <v>696.58226166666668</v>
      </c>
      <c r="AQ243" s="34">
        <f t="shared" si="44"/>
        <v>696.58226166666668</v>
      </c>
      <c r="AR243" s="34">
        <f t="shared" si="45"/>
        <v>0</v>
      </c>
      <c r="AS243" s="34">
        <f t="shared" si="46"/>
        <v>0</v>
      </c>
      <c r="AT243" t="str">
        <f t="shared" si="47"/>
        <v>SIN BONUS</v>
      </c>
    </row>
    <row r="244" spans="1:46" x14ac:dyDescent="0.25">
      <c r="A244" t="s">
        <v>132</v>
      </c>
      <c r="B244" t="s">
        <v>189</v>
      </c>
      <c r="C244" s="34">
        <v>0</v>
      </c>
      <c r="D244" s="34">
        <v>0</v>
      </c>
      <c r="E244" s="34">
        <v>2118.9933333333333</v>
      </c>
      <c r="F244" s="34">
        <f t="shared" si="36"/>
        <v>2118.9933333333333</v>
      </c>
      <c r="G244" s="34">
        <v>0</v>
      </c>
      <c r="H244" s="34">
        <v>2118.9933333333333</v>
      </c>
      <c r="I244" s="34">
        <v>2166.6633333333334</v>
      </c>
      <c r="J244" s="34">
        <f t="shared" si="37"/>
        <v>47.670000000000073</v>
      </c>
      <c r="K244" s="34">
        <v>2166.6633333333334</v>
      </c>
      <c r="L244" s="34">
        <v>2166.6633333333334</v>
      </c>
      <c r="M244" s="34">
        <f t="shared" si="38"/>
        <v>0</v>
      </c>
      <c r="N244" s="34">
        <v>0</v>
      </c>
      <c r="O244" s="34">
        <v>0</v>
      </c>
      <c r="P244" s="34">
        <f t="shared" si="39"/>
        <v>0</v>
      </c>
      <c r="Q244" s="34">
        <v>0</v>
      </c>
      <c r="R244" s="34">
        <v>0</v>
      </c>
      <c r="S244" s="34">
        <f t="shared" si="40"/>
        <v>0</v>
      </c>
      <c r="T244" s="34">
        <v>0</v>
      </c>
      <c r="U244" s="34">
        <v>0</v>
      </c>
      <c r="V244" s="34">
        <f t="shared" si="41"/>
        <v>0</v>
      </c>
      <c r="W244" s="34">
        <v>0</v>
      </c>
      <c r="X244" s="34">
        <v>0</v>
      </c>
      <c r="Y244" s="34">
        <v>0</v>
      </c>
      <c r="Z244" s="34">
        <v>0</v>
      </c>
      <c r="AA244" s="34">
        <v>0</v>
      </c>
      <c r="AB244" s="34">
        <v>0</v>
      </c>
      <c r="AC244" s="34">
        <v>0</v>
      </c>
      <c r="AD244" s="34">
        <v>140.83311666666668</v>
      </c>
      <c r="AE244" s="34">
        <f t="shared" si="42"/>
        <v>140.83311666666668</v>
      </c>
      <c r="AF244" s="34">
        <f t="shared" si="43"/>
        <v>0</v>
      </c>
      <c r="AG244" s="34">
        <v>0</v>
      </c>
      <c r="AH244" s="34">
        <v>0</v>
      </c>
      <c r="AI244" s="34">
        <v>0</v>
      </c>
      <c r="AJ244" s="34">
        <v>0</v>
      </c>
      <c r="AK244" s="34">
        <v>0</v>
      </c>
      <c r="AL244" s="34">
        <v>0</v>
      </c>
      <c r="AM244" s="34">
        <v>0</v>
      </c>
      <c r="AN244" s="34">
        <v>0</v>
      </c>
      <c r="AO244" s="34">
        <v>0</v>
      </c>
      <c r="AP244" s="34">
        <v>696.58226166666668</v>
      </c>
      <c r="AQ244" s="34">
        <f t="shared" si="44"/>
        <v>696.58226166666668</v>
      </c>
      <c r="AR244" s="34">
        <f t="shared" si="45"/>
        <v>0</v>
      </c>
      <c r="AS244" s="34">
        <f t="shared" si="46"/>
        <v>0</v>
      </c>
      <c r="AT244" t="str">
        <f t="shared" si="47"/>
        <v>SIN BONUS</v>
      </c>
    </row>
    <row r="245" spans="1:46" x14ac:dyDescent="0.25">
      <c r="A245" t="s">
        <v>134</v>
      </c>
      <c r="B245" t="s">
        <v>173</v>
      </c>
      <c r="C245" s="34">
        <v>0</v>
      </c>
      <c r="D245" s="34">
        <v>0</v>
      </c>
      <c r="E245" s="34">
        <v>8477.2986666666657</v>
      </c>
      <c r="F245" s="34">
        <f t="shared" si="36"/>
        <v>8477.2986666666657</v>
      </c>
      <c r="G245" s="34">
        <v>0</v>
      </c>
      <c r="H245" s="34">
        <v>5101.2</v>
      </c>
      <c r="I245" s="34">
        <v>5101.2</v>
      </c>
      <c r="J245" s="34">
        <f t="shared" si="37"/>
        <v>0</v>
      </c>
      <c r="K245" s="34">
        <v>5101.2</v>
      </c>
      <c r="L245" s="34">
        <v>5101.2</v>
      </c>
      <c r="M245" s="34">
        <f t="shared" si="38"/>
        <v>0</v>
      </c>
      <c r="N245" s="34">
        <v>510.11999999999989</v>
      </c>
      <c r="O245" s="34">
        <v>510.11999999999989</v>
      </c>
      <c r="P245" s="34">
        <f t="shared" si="39"/>
        <v>0</v>
      </c>
      <c r="Q245" s="34">
        <v>2040.4800000000005</v>
      </c>
      <c r="R245" s="34">
        <v>2040.4800000000005</v>
      </c>
      <c r="S245" s="34">
        <f t="shared" si="40"/>
        <v>0</v>
      </c>
      <c r="T245" s="34">
        <v>825.49866666666549</v>
      </c>
      <c r="U245" s="34">
        <v>683.79999999999836</v>
      </c>
      <c r="V245" s="34">
        <f t="shared" si="41"/>
        <v>0</v>
      </c>
      <c r="W245" s="34">
        <v>0</v>
      </c>
      <c r="X245" s="34">
        <v>0</v>
      </c>
      <c r="Y245" s="34">
        <v>0</v>
      </c>
      <c r="Z245" s="34">
        <v>0</v>
      </c>
      <c r="AA245" s="34">
        <v>0</v>
      </c>
      <c r="AB245" s="34">
        <v>0</v>
      </c>
      <c r="AC245" s="34">
        <v>0</v>
      </c>
      <c r="AD245" s="34">
        <v>338.47335599999997</v>
      </c>
      <c r="AE245" s="34">
        <f t="shared" si="42"/>
        <v>338.47335599999997</v>
      </c>
      <c r="AF245" s="34">
        <f t="shared" si="43"/>
        <v>0</v>
      </c>
      <c r="AG245" s="34">
        <v>0</v>
      </c>
      <c r="AH245" s="34">
        <v>0</v>
      </c>
      <c r="AI245" s="34">
        <v>0</v>
      </c>
      <c r="AJ245" s="34">
        <v>0</v>
      </c>
      <c r="AK245" s="34">
        <v>0</v>
      </c>
      <c r="AL245" s="34">
        <v>0</v>
      </c>
      <c r="AM245" s="34">
        <v>0</v>
      </c>
      <c r="AN245" s="34">
        <v>0</v>
      </c>
      <c r="AO245" s="34">
        <v>0</v>
      </c>
      <c r="AP245" s="34">
        <v>1674.4963039999998</v>
      </c>
      <c r="AQ245" s="34">
        <f t="shared" si="44"/>
        <v>1674.4963039999998</v>
      </c>
      <c r="AR245" s="34">
        <f t="shared" si="45"/>
        <v>0</v>
      </c>
      <c r="AS245" s="34">
        <f t="shared" si="46"/>
        <v>0</v>
      </c>
      <c r="AT245" t="str">
        <f t="shared" si="47"/>
        <v>SIN BONUS</v>
      </c>
    </row>
    <row r="246" spans="1:46" x14ac:dyDescent="0.25">
      <c r="A246" t="s">
        <v>134</v>
      </c>
      <c r="B246" t="s">
        <v>176</v>
      </c>
      <c r="C246" s="34">
        <v>0</v>
      </c>
      <c r="D246" s="34">
        <v>0</v>
      </c>
      <c r="E246" s="34">
        <v>8477.2986666666657</v>
      </c>
      <c r="F246" s="34">
        <f t="shared" si="36"/>
        <v>8477.2986666666657</v>
      </c>
      <c r="G246" s="34">
        <v>0</v>
      </c>
      <c r="H246" s="34">
        <v>5101.2</v>
      </c>
      <c r="I246" s="34">
        <v>5101.2</v>
      </c>
      <c r="J246" s="34">
        <f t="shared" si="37"/>
        <v>0</v>
      </c>
      <c r="K246" s="34">
        <v>5101.2</v>
      </c>
      <c r="L246" s="34">
        <v>5101.2</v>
      </c>
      <c r="M246" s="34">
        <f t="shared" si="38"/>
        <v>0</v>
      </c>
      <c r="N246" s="34">
        <v>510.11999999999989</v>
      </c>
      <c r="O246" s="34">
        <v>510.11999999999989</v>
      </c>
      <c r="P246" s="34">
        <f t="shared" si="39"/>
        <v>0</v>
      </c>
      <c r="Q246" s="34">
        <v>2040.4800000000005</v>
      </c>
      <c r="R246" s="34">
        <v>2040.4800000000005</v>
      </c>
      <c r="S246" s="34">
        <f t="shared" si="40"/>
        <v>0</v>
      </c>
      <c r="T246" s="34">
        <v>825.49866666666549</v>
      </c>
      <c r="U246" s="34">
        <v>683.79999999999836</v>
      </c>
      <c r="V246" s="34">
        <f t="shared" si="41"/>
        <v>0</v>
      </c>
      <c r="W246" s="34">
        <v>0</v>
      </c>
      <c r="X246" s="34">
        <v>0</v>
      </c>
      <c r="Y246" s="34">
        <v>0</v>
      </c>
      <c r="Z246" s="34">
        <v>0</v>
      </c>
      <c r="AA246" s="34">
        <v>0</v>
      </c>
      <c r="AB246" s="34">
        <v>0</v>
      </c>
      <c r="AC246" s="34">
        <v>0</v>
      </c>
      <c r="AD246" s="34">
        <v>338.47335599999997</v>
      </c>
      <c r="AE246" s="34">
        <f t="shared" si="42"/>
        <v>338.47335599999997</v>
      </c>
      <c r="AF246" s="34">
        <f t="shared" si="43"/>
        <v>0</v>
      </c>
      <c r="AG246" s="34">
        <v>0</v>
      </c>
      <c r="AH246" s="34">
        <v>0</v>
      </c>
      <c r="AI246" s="34">
        <v>0</v>
      </c>
      <c r="AJ246" s="34">
        <v>0</v>
      </c>
      <c r="AK246" s="34">
        <v>0</v>
      </c>
      <c r="AL246" s="34">
        <v>0</v>
      </c>
      <c r="AM246" s="34">
        <v>0</v>
      </c>
      <c r="AN246" s="34">
        <v>0</v>
      </c>
      <c r="AO246" s="34">
        <v>0</v>
      </c>
      <c r="AP246" s="34">
        <v>1674.4963039999998</v>
      </c>
      <c r="AQ246" s="34">
        <f t="shared" si="44"/>
        <v>1674.4963039999998</v>
      </c>
      <c r="AR246" s="34">
        <f t="shared" si="45"/>
        <v>0</v>
      </c>
      <c r="AS246" s="34">
        <f t="shared" si="46"/>
        <v>0</v>
      </c>
      <c r="AT246" t="str">
        <f t="shared" si="47"/>
        <v>SIN BONUS</v>
      </c>
    </row>
    <row r="247" spans="1:46" x14ac:dyDescent="0.25">
      <c r="A247" t="s">
        <v>134</v>
      </c>
      <c r="B247" t="s">
        <v>177</v>
      </c>
      <c r="C247" s="34">
        <v>0</v>
      </c>
      <c r="D247" s="34">
        <v>0</v>
      </c>
      <c r="E247" s="34">
        <v>8477.2986666666657</v>
      </c>
      <c r="F247" s="34">
        <f t="shared" si="36"/>
        <v>8477.2986666666657</v>
      </c>
      <c r="G247" s="34">
        <v>0</v>
      </c>
      <c r="H247" s="34">
        <v>5101.2</v>
      </c>
      <c r="I247" s="34">
        <v>5101.2</v>
      </c>
      <c r="J247" s="34">
        <f t="shared" si="37"/>
        <v>0</v>
      </c>
      <c r="K247" s="34">
        <v>5101.2</v>
      </c>
      <c r="L247" s="34">
        <v>5101.2</v>
      </c>
      <c r="M247" s="34">
        <f t="shared" si="38"/>
        <v>0</v>
      </c>
      <c r="N247" s="34">
        <v>510.11999999999989</v>
      </c>
      <c r="O247" s="34">
        <v>510.11999999999989</v>
      </c>
      <c r="P247" s="34">
        <f t="shared" si="39"/>
        <v>0</v>
      </c>
      <c r="Q247" s="34">
        <v>2040.4800000000005</v>
      </c>
      <c r="R247" s="34">
        <v>2040.4800000000005</v>
      </c>
      <c r="S247" s="34">
        <f t="shared" si="40"/>
        <v>0</v>
      </c>
      <c r="T247" s="34">
        <v>825.49866666666549</v>
      </c>
      <c r="U247" s="34">
        <v>683.79999999999836</v>
      </c>
      <c r="V247" s="34">
        <f t="shared" si="41"/>
        <v>0</v>
      </c>
      <c r="W247" s="34">
        <v>0</v>
      </c>
      <c r="X247" s="34">
        <v>0</v>
      </c>
      <c r="Y247" s="34">
        <v>0</v>
      </c>
      <c r="Z247" s="34">
        <v>0</v>
      </c>
      <c r="AA247" s="34">
        <v>0</v>
      </c>
      <c r="AB247" s="34">
        <v>0</v>
      </c>
      <c r="AC247" s="34">
        <v>0</v>
      </c>
      <c r="AD247" s="34">
        <v>338.47335599999997</v>
      </c>
      <c r="AE247" s="34">
        <f t="shared" si="42"/>
        <v>338.47335599999997</v>
      </c>
      <c r="AF247" s="34">
        <f t="shared" si="43"/>
        <v>0</v>
      </c>
      <c r="AG247" s="34">
        <v>0</v>
      </c>
      <c r="AH247" s="34">
        <v>0</v>
      </c>
      <c r="AI247" s="34">
        <v>0</v>
      </c>
      <c r="AJ247" s="34">
        <v>0</v>
      </c>
      <c r="AK247" s="34">
        <v>0</v>
      </c>
      <c r="AL247" s="34">
        <v>0</v>
      </c>
      <c r="AM247" s="34">
        <v>0</v>
      </c>
      <c r="AN247" s="34">
        <v>0</v>
      </c>
      <c r="AO247" s="34">
        <v>0</v>
      </c>
      <c r="AP247" s="34">
        <v>1674.4963039999998</v>
      </c>
      <c r="AQ247" s="34">
        <f t="shared" si="44"/>
        <v>1674.4963039999998</v>
      </c>
      <c r="AR247" s="34">
        <f t="shared" si="45"/>
        <v>0</v>
      </c>
      <c r="AS247" s="34">
        <f t="shared" si="46"/>
        <v>0</v>
      </c>
      <c r="AT247" t="str">
        <f t="shared" si="47"/>
        <v>SIN BONUS</v>
      </c>
    </row>
    <row r="248" spans="1:46" x14ac:dyDescent="0.25">
      <c r="A248" t="s">
        <v>134</v>
      </c>
      <c r="B248" t="s">
        <v>178</v>
      </c>
      <c r="C248" s="34">
        <v>0</v>
      </c>
      <c r="D248" s="34">
        <v>0</v>
      </c>
      <c r="E248" s="34">
        <v>8477.2986666666657</v>
      </c>
      <c r="F248" s="34">
        <f t="shared" si="36"/>
        <v>8477.2986666666657</v>
      </c>
      <c r="G248" s="34">
        <v>0</v>
      </c>
      <c r="H248" s="34">
        <v>5101.2</v>
      </c>
      <c r="I248" s="34">
        <v>5101.2</v>
      </c>
      <c r="J248" s="34">
        <f t="shared" si="37"/>
        <v>0</v>
      </c>
      <c r="K248" s="34">
        <v>5101.2</v>
      </c>
      <c r="L248" s="34">
        <v>5101.2</v>
      </c>
      <c r="M248" s="34">
        <f t="shared" si="38"/>
        <v>0</v>
      </c>
      <c r="N248" s="34">
        <v>510.11999999999989</v>
      </c>
      <c r="O248" s="34">
        <v>510.11999999999989</v>
      </c>
      <c r="P248" s="34">
        <f t="shared" si="39"/>
        <v>0</v>
      </c>
      <c r="Q248" s="34">
        <v>2040.4800000000005</v>
      </c>
      <c r="R248" s="34">
        <v>2040.4800000000005</v>
      </c>
      <c r="S248" s="34">
        <f t="shared" si="40"/>
        <v>0</v>
      </c>
      <c r="T248" s="34">
        <v>825.49866666666549</v>
      </c>
      <c r="U248" s="34">
        <v>683.79999999999836</v>
      </c>
      <c r="V248" s="34">
        <f t="shared" si="41"/>
        <v>0</v>
      </c>
      <c r="W248" s="34">
        <v>0</v>
      </c>
      <c r="X248" s="34">
        <v>0</v>
      </c>
      <c r="Y248" s="34">
        <v>0</v>
      </c>
      <c r="Z248" s="34">
        <v>0</v>
      </c>
      <c r="AA248" s="34">
        <v>0</v>
      </c>
      <c r="AB248" s="34">
        <v>0</v>
      </c>
      <c r="AC248" s="34">
        <v>0</v>
      </c>
      <c r="AD248" s="34">
        <v>338.47335599999997</v>
      </c>
      <c r="AE248" s="34">
        <f t="shared" si="42"/>
        <v>338.47335599999997</v>
      </c>
      <c r="AF248" s="34">
        <f t="shared" si="43"/>
        <v>0</v>
      </c>
      <c r="AG248" s="34">
        <v>0</v>
      </c>
      <c r="AH248" s="34">
        <v>0</v>
      </c>
      <c r="AI248" s="34">
        <v>0</v>
      </c>
      <c r="AJ248" s="34">
        <v>0</v>
      </c>
      <c r="AK248" s="34">
        <v>0</v>
      </c>
      <c r="AL248" s="34">
        <v>0</v>
      </c>
      <c r="AM248" s="34">
        <v>0</v>
      </c>
      <c r="AN248" s="34">
        <v>0</v>
      </c>
      <c r="AO248" s="34">
        <v>0</v>
      </c>
      <c r="AP248" s="34">
        <v>1674.4963039999998</v>
      </c>
      <c r="AQ248" s="34">
        <f t="shared" si="44"/>
        <v>1674.4963039999998</v>
      </c>
      <c r="AR248" s="34">
        <f t="shared" si="45"/>
        <v>0</v>
      </c>
      <c r="AS248" s="34">
        <f t="shared" si="46"/>
        <v>0</v>
      </c>
      <c r="AT248" t="str">
        <f t="shared" si="47"/>
        <v>SIN BONUS</v>
      </c>
    </row>
    <row r="249" spans="1:46" x14ac:dyDescent="0.25">
      <c r="A249" t="s">
        <v>134</v>
      </c>
      <c r="B249" t="s">
        <v>179</v>
      </c>
      <c r="C249" s="34">
        <v>0</v>
      </c>
      <c r="D249" s="34">
        <v>0</v>
      </c>
      <c r="E249" s="34">
        <v>8477.2986666666657</v>
      </c>
      <c r="F249" s="34">
        <f t="shared" si="36"/>
        <v>8477.2986666666657</v>
      </c>
      <c r="G249" s="34">
        <v>0</v>
      </c>
      <c r="H249" s="34">
        <v>5101.2</v>
      </c>
      <c r="I249" s="34">
        <v>5101.2</v>
      </c>
      <c r="J249" s="34">
        <f t="shared" si="37"/>
        <v>0</v>
      </c>
      <c r="K249" s="34">
        <v>5101.2</v>
      </c>
      <c r="L249" s="34">
        <v>5101.2</v>
      </c>
      <c r="M249" s="34">
        <f t="shared" si="38"/>
        <v>0</v>
      </c>
      <c r="N249" s="34">
        <v>510.11999999999989</v>
      </c>
      <c r="O249" s="34">
        <v>510.11999999999989</v>
      </c>
      <c r="P249" s="34">
        <f t="shared" si="39"/>
        <v>0</v>
      </c>
      <c r="Q249" s="34">
        <v>2040.4800000000005</v>
      </c>
      <c r="R249" s="34">
        <v>2040.4800000000005</v>
      </c>
      <c r="S249" s="34">
        <f t="shared" si="40"/>
        <v>0</v>
      </c>
      <c r="T249" s="34">
        <v>825.49866666666549</v>
      </c>
      <c r="U249" s="34">
        <v>683.79999999999836</v>
      </c>
      <c r="V249" s="34">
        <f t="shared" si="41"/>
        <v>0</v>
      </c>
      <c r="W249" s="34">
        <v>0</v>
      </c>
      <c r="X249" s="34">
        <v>0</v>
      </c>
      <c r="Y249" s="34">
        <v>0</v>
      </c>
      <c r="Z249" s="34">
        <v>0</v>
      </c>
      <c r="AA249" s="34">
        <v>0</v>
      </c>
      <c r="AB249" s="34">
        <v>0</v>
      </c>
      <c r="AC249" s="34">
        <v>0</v>
      </c>
      <c r="AD249" s="34">
        <v>338.47335599999997</v>
      </c>
      <c r="AE249" s="34">
        <f t="shared" si="42"/>
        <v>338.47335599999997</v>
      </c>
      <c r="AF249" s="34">
        <f t="shared" si="43"/>
        <v>0</v>
      </c>
      <c r="AG249" s="34">
        <v>0</v>
      </c>
      <c r="AH249" s="34">
        <v>0</v>
      </c>
      <c r="AI249" s="34">
        <v>0</v>
      </c>
      <c r="AJ249" s="34">
        <v>0</v>
      </c>
      <c r="AK249" s="34">
        <v>0</v>
      </c>
      <c r="AL249" s="34">
        <v>0</v>
      </c>
      <c r="AM249" s="34">
        <v>0</v>
      </c>
      <c r="AN249" s="34">
        <v>0</v>
      </c>
      <c r="AO249" s="34">
        <v>0</v>
      </c>
      <c r="AP249" s="34">
        <v>1674.4963039999998</v>
      </c>
      <c r="AQ249" s="34">
        <f t="shared" si="44"/>
        <v>1674.4963039999998</v>
      </c>
      <c r="AR249" s="34">
        <f t="shared" si="45"/>
        <v>0</v>
      </c>
      <c r="AS249" s="34">
        <f t="shared" si="46"/>
        <v>0</v>
      </c>
      <c r="AT249" t="str">
        <f t="shared" si="47"/>
        <v>SIN BONUS</v>
      </c>
    </row>
    <row r="250" spans="1:46" x14ac:dyDescent="0.25">
      <c r="A250" t="s">
        <v>134</v>
      </c>
      <c r="B250" t="s">
        <v>180</v>
      </c>
      <c r="C250" s="34">
        <v>0</v>
      </c>
      <c r="D250" s="34">
        <v>0</v>
      </c>
      <c r="E250" s="34">
        <v>8477.2986666666657</v>
      </c>
      <c r="F250" s="34">
        <f t="shared" si="36"/>
        <v>8477.2986666666657</v>
      </c>
      <c r="G250" s="34">
        <v>0</v>
      </c>
      <c r="H250" s="34">
        <v>5101.2</v>
      </c>
      <c r="I250" s="34">
        <v>5101.2</v>
      </c>
      <c r="J250" s="34">
        <f t="shared" si="37"/>
        <v>0</v>
      </c>
      <c r="K250" s="34">
        <v>5101.2</v>
      </c>
      <c r="L250" s="34">
        <v>5101.2</v>
      </c>
      <c r="M250" s="34">
        <f t="shared" si="38"/>
        <v>0</v>
      </c>
      <c r="N250" s="34">
        <v>510.11999999999989</v>
      </c>
      <c r="O250" s="34">
        <v>510.11999999999989</v>
      </c>
      <c r="P250" s="34">
        <f t="shared" si="39"/>
        <v>0</v>
      </c>
      <c r="Q250" s="34">
        <v>2040.4800000000005</v>
      </c>
      <c r="R250" s="34">
        <v>2040.4800000000005</v>
      </c>
      <c r="S250" s="34">
        <f t="shared" si="40"/>
        <v>0</v>
      </c>
      <c r="T250" s="34">
        <v>825.49866666666549</v>
      </c>
      <c r="U250" s="34">
        <v>683.79999999999836</v>
      </c>
      <c r="V250" s="34">
        <f t="shared" si="41"/>
        <v>0</v>
      </c>
      <c r="W250" s="34">
        <v>0</v>
      </c>
      <c r="X250" s="34">
        <v>0</v>
      </c>
      <c r="Y250" s="34">
        <v>0</v>
      </c>
      <c r="Z250" s="34">
        <v>0</v>
      </c>
      <c r="AA250" s="34">
        <v>0</v>
      </c>
      <c r="AB250" s="34">
        <v>0</v>
      </c>
      <c r="AC250" s="34">
        <v>0</v>
      </c>
      <c r="AD250" s="34">
        <v>338.47335599999997</v>
      </c>
      <c r="AE250" s="34">
        <f t="shared" si="42"/>
        <v>338.47335599999997</v>
      </c>
      <c r="AF250" s="34">
        <f t="shared" si="43"/>
        <v>0</v>
      </c>
      <c r="AG250" s="34">
        <v>0</v>
      </c>
      <c r="AH250" s="34">
        <v>0</v>
      </c>
      <c r="AI250" s="34">
        <v>0</v>
      </c>
      <c r="AJ250" s="34">
        <v>0</v>
      </c>
      <c r="AK250" s="34">
        <v>0</v>
      </c>
      <c r="AL250" s="34">
        <v>0</v>
      </c>
      <c r="AM250" s="34">
        <v>0</v>
      </c>
      <c r="AN250" s="34">
        <v>0</v>
      </c>
      <c r="AO250" s="34">
        <v>0</v>
      </c>
      <c r="AP250" s="34">
        <v>1674.4963039999998</v>
      </c>
      <c r="AQ250" s="34">
        <f t="shared" si="44"/>
        <v>1674.4963039999998</v>
      </c>
      <c r="AR250" s="34">
        <f t="shared" si="45"/>
        <v>0</v>
      </c>
      <c r="AS250" s="34">
        <f t="shared" si="46"/>
        <v>0</v>
      </c>
      <c r="AT250" t="str">
        <f t="shared" si="47"/>
        <v>SIN BONUS</v>
      </c>
    </row>
    <row r="251" spans="1:46" x14ac:dyDescent="0.25">
      <c r="A251" t="s">
        <v>134</v>
      </c>
      <c r="B251" t="s">
        <v>183</v>
      </c>
      <c r="C251" s="34">
        <v>0</v>
      </c>
      <c r="D251" s="34">
        <v>0</v>
      </c>
      <c r="E251" s="34">
        <v>8477.2986666666657</v>
      </c>
      <c r="F251" s="34">
        <f t="shared" si="36"/>
        <v>8477.2986666666657</v>
      </c>
      <c r="G251" s="34">
        <v>0</v>
      </c>
      <c r="H251" s="34">
        <v>5101.2</v>
      </c>
      <c r="I251" s="34">
        <v>5101.2</v>
      </c>
      <c r="J251" s="34">
        <f t="shared" si="37"/>
        <v>0</v>
      </c>
      <c r="K251" s="34">
        <v>5101.2</v>
      </c>
      <c r="L251" s="34">
        <v>5101.2</v>
      </c>
      <c r="M251" s="34">
        <f t="shared" si="38"/>
        <v>0</v>
      </c>
      <c r="N251" s="34">
        <v>510.11999999999989</v>
      </c>
      <c r="O251" s="34">
        <v>510.11999999999989</v>
      </c>
      <c r="P251" s="34">
        <f t="shared" si="39"/>
        <v>0</v>
      </c>
      <c r="Q251" s="34">
        <v>2040.4800000000005</v>
      </c>
      <c r="R251" s="34">
        <v>2040.4800000000005</v>
      </c>
      <c r="S251" s="34">
        <f t="shared" si="40"/>
        <v>0</v>
      </c>
      <c r="T251" s="34">
        <v>825.49866666666549</v>
      </c>
      <c r="U251" s="34">
        <v>683.79999999999836</v>
      </c>
      <c r="V251" s="34">
        <f t="shared" si="41"/>
        <v>0</v>
      </c>
      <c r="W251" s="34">
        <v>0</v>
      </c>
      <c r="X251" s="34">
        <v>0</v>
      </c>
      <c r="Y251" s="34">
        <v>0</v>
      </c>
      <c r="Z251" s="34">
        <v>0</v>
      </c>
      <c r="AA251" s="34">
        <v>0</v>
      </c>
      <c r="AB251" s="34">
        <v>0</v>
      </c>
      <c r="AC251" s="34">
        <v>0</v>
      </c>
      <c r="AD251" s="34">
        <v>338.47335599999997</v>
      </c>
      <c r="AE251" s="34">
        <f t="shared" si="42"/>
        <v>338.47335599999997</v>
      </c>
      <c r="AF251" s="34">
        <f t="shared" si="43"/>
        <v>0</v>
      </c>
      <c r="AG251" s="34">
        <v>0</v>
      </c>
      <c r="AH251" s="34">
        <v>0</v>
      </c>
      <c r="AI251" s="34">
        <v>0</v>
      </c>
      <c r="AJ251" s="34">
        <v>0</v>
      </c>
      <c r="AK251" s="34">
        <v>0</v>
      </c>
      <c r="AL251" s="34">
        <v>0</v>
      </c>
      <c r="AM251" s="34">
        <v>0</v>
      </c>
      <c r="AN251" s="34">
        <v>0</v>
      </c>
      <c r="AO251" s="34">
        <v>0</v>
      </c>
      <c r="AP251" s="34">
        <v>1674.4963039999998</v>
      </c>
      <c r="AQ251" s="34">
        <f t="shared" si="44"/>
        <v>1674.4963039999998</v>
      </c>
      <c r="AR251" s="34">
        <f t="shared" si="45"/>
        <v>0</v>
      </c>
      <c r="AS251" s="34">
        <f t="shared" si="46"/>
        <v>0</v>
      </c>
      <c r="AT251" t="str">
        <f t="shared" si="47"/>
        <v>SIN BONUS</v>
      </c>
    </row>
    <row r="252" spans="1:46" x14ac:dyDescent="0.25">
      <c r="A252" t="s">
        <v>134</v>
      </c>
      <c r="B252" t="s">
        <v>184</v>
      </c>
      <c r="C252" s="34">
        <v>0</v>
      </c>
      <c r="D252" s="34">
        <v>0</v>
      </c>
      <c r="E252" s="34">
        <v>8477.2986666666657</v>
      </c>
      <c r="F252" s="34">
        <f t="shared" si="36"/>
        <v>8477.2986666666657</v>
      </c>
      <c r="G252" s="34">
        <v>0</v>
      </c>
      <c r="H252" s="34">
        <v>5101.2</v>
      </c>
      <c r="I252" s="34">
        <v>5101.2</v>
      </c>
      <c r="J252" s="34">
        <f t="shared" si="37"/>
        <v>0</v>
      </c>
      <c r="K252" s="34">
        <v>5101.2</v>
      </c>
      <c r="L252" s="34">
        <v>5101.2</v>
      </c>
      <c r="M252" s="34">
        <f t="shared" si="38"/>
        <v>0</v>
      </c>
      <c r="N252" s="34">
        <v>510.11999999999989</v>
      </c>
      <c r="O252" s="34">
        <v>510.11999999999989</v>
      </c>
      <c r="P252" s="34">
        <f t="shared" si="39"/>
        <v>0</v>
      </c>
      <c r="Q252" s="34">
        <v>2040.4800000000005</v>
      </c>
      <c r="R252" s="34">
        <v>2040.4800000000005</v>
      </c>
      <c r="S252" s="34">
        <f t="shared" si="40"/>
        <v>0</v>
      </c>
      <c r="T252" s="34">
        <v>825.49866666666549</v>
      </c>
      <c r="U252" s="34">
        <v>683.79999999999836</v>
      </c>
      <c r="V252" s="34">
        <f t="shared" si="41"/>
        <v>0</v>
      </c>
      <c r="W252" s="34">
        <v>0</v>
      </c>
      <c r="X252" s="34">
        <v>0</v>
      </c>
      <c r="Y252" s="34">
        <v>0</v>
      </c>
      <c r="Z252" s="34">
        <v>0</v>
      </c>
      <c r="AA252" s="34">
        <v>0</v>
      </c>
      <c r="AB252" s="34">
        <v>0</v>
      </c>
      <c r="AC252" s="34">
        <v>0</v>
      </c>
      <c r="AD252" s="34">
        <v>338.47335599999997</v>
      </c>
      <c r="AE252" s="34">
        <f t="shared" si="42"/>
        <v>338.47335599999997</v>
      </c>
      <c r="AF252" s="34">
        <f t="shared" si="43"/>
        <v>0</v>
      </c>
      <c r="AG252" s="34">
        <v>0</v>
      </c>
      <c r="AH252" s="34">
        <v>0</v>
      </c>
      <c r="AI252" s="34">
        <v>0</v>
      </c>
      <c r="AJ252" s="34">
        <v>0</v>
      </c>
      <c r="AK252" s="34">
        <v>0</v>
      </c>
      <c r="AL252" s="34">
        <v>0</v>
      </c>
      <c r="AM252" s="34">
        <v>0</v>
      </c>
      <c r="AN252" s="34">
        <v>0</v>
      </c>
      <c r="AO252" s="34">
        <v>0</v>
      </c>
      <c r="AP252" s="34">
        <v>1674.4963039999998</v>
      </c>
      <c r="AQ252" s="34">
        <f t="shared" si="44"/>
        <v>1674.4963039999998</v>
      </c>
      <c r="AR252" s="34">
        <f t="shared" si="45"/>
        <v>0</v>
      </c>
      <c r="AS252" s="34">
        <f t="shared" si="46"/>
        <v>0</v>
      </c>
      <c r="AT252" t="str">
        <f t="shared" si="47"/>
        <v>SIN BONUS</v>
      </c>
    </row>
    <row r="253" spans="1:46" x14ac:dyDescent="0.25">
      <c r="A253" t="s">
        <v>134</v>
      </c>
      <c r="B253" t="s">
        <v>185</v>
      </c>
      <c r="C253" s="34">
        <v>0</v>
      </c>
      <c r="D253" s="34">
        <v>0</v>
      </c>
      <c r="E253" s="34">
        <v>8477.2986666666657</v>
      </c>
      <c r="F253" s="34">
        <f t="shared" si="36"/>
        <v>8477.2986666666657</v>
      </c>
      <c r="G253" s="34">
        <v>0</v>
      </c>
      <c r="H253" s="34">
        <v>5101.2</v>
      </c>
      <c r="I253" s="34">
        <v>5101.2</v>
      </c>
      <c r="J253" s="34">
        <f t="shared" si="37"/>
        <v>0</v>
      </c>
      <c r="K253" s="34">
        <v>5101.2</v>
      </c>
      <c r="L253" s="34">
        <v>5101.2</v>
      </c>
      <c r="M253" s="34">
        <f t="shared" si="38"/>
        <v>0</v>
      </c>
      <c r="N253" s="34">
        <v>510.11999999999989</v>
      </c>
      <c r="O253" s="34">
        <v>510.11999999999989</v>
      </c>
      <c r="P253" s="34">
        <f t="shared" si="39"/>
        <v>0</v>
      </c>
      <c r="Q253" s="34">
        <v>2040.4800000000005</v>
      </c>
      <c r="R253" s="34">
        <v>2040.4800000000005</v>
      </c>
      <c r="S253" s="34">
        <f t="shared" si="40"/>
        <v>0</v>
      </c>
      <c r="T253" s="34">
        <v>825.49866666666549</v>
      </c>
      <c r="U253" s="34">
        <v>683.79999999999836</v>
      </c>
      <c r="V253" s="34">
        <f t="shared" si="41"/>
        <v>0</v>
      </c>
      <c r="W253" s="34">
        <v>0</v>
      </c>
      <c r="X253" s="34">
        <v>0</v>
      </c>
      <c r="Y253" s="34">
        <v>0</v>
      </c>
      <c r="Z253" s="34">
        <v>0</v>
      </c>
      <c r="AA253" s="34">
        <v>0</v>
      </c>
      <c r="AB253" s="34">
        <v>0</v>
      </c>
      <c r="AC253" s="34">
        <v>0</v>
      </c>
      <c r="AD253" s="34">
        <v>338.47335599999997</v>
      </c>
      <c r="AE253" s="34">
        <f t="shared" si="42"/>
        <v>338.47335599999997</v>
      </c>
      <c r="AF253" s="34">
        <f t="shared" si="43"/>
        <v>0</v>
      </c>
      <c r="AG253" s="34">
        <v>0</v>
      </c>
      <c r="AH253" s="34">
        <v>0</v>
      </c>
      <c r="AI253" s="34">
        <v>0</v>
      </c>
      <c r="AJ253" s="34">
        <v>0</v>
      </c>
      <c r="AK253" s="34">
        <v>0</v>
      </c>
      <c r="AL253" s="34">
        <v>0</v>
      </c>
      <c r="AM253" s="34">
        <v>0</v>
      </c>
      <c r="AN253" s="34">
        <v>0</v>
      </c>
      <c r="AO253" s="34">
        <v>0</v>
      </c>
      <c r="AP253" s="34">
        <v>1674.4963039999998</v>
      </c>
      <c r="AQ253" s="34">
        <f t="shared" si="44"/>
        <v>1674.4963039999998</v>
      </c>
      <c r="AR253" s="34">
        <f t="shared" si="45"/>
        <v>0</v>
      </c>
      <c r="AS253" s="34">
        <f t="shared" si="46"/>
        <v>0</v>
      </c>
      <c r="AT253" t="str">
        <f t="shared" si="47"/>
        <v>SIN BONUS</v>
      </c>
    </row>
    <row r="254" spans="1:46" x14ac:dyDescent="0.25">
      <c r="A254" t="s">
        <v>134</v>
      </c>
      <c r="B254" t="s">
        <v>186</v>
      </c>
      <c r="C254" s="34">
        <v>0</v>
      </c>
      <c r="D254" s="34">
        <v>0</v>
      </c>
      <c r="E254" s="34">
        <v>8477.2986666666657</v>
      </c>
      <c r="F254" s="34">
        <f t="shared" si="36"/>
        <v>8477.2986666666657</v>
      </c>
      <c r="G254" s="34">
        <v>0</v>
      </c>
      <c r="H254" s="34">
        <v>5101.2</v>
      </c>
      <c r="I254" s="34">
        <v>5101.2</v>
      </c>
      <c r="J254" s="34">
        <f t="shared" si="37"/>
        <v>0</v>
      </c>
      <c r="K254" s="34">
        <v>5101.2</v>
      </c>
      <c r="L254" s="34">
        <v>5101.2</v>
      </c>
      <c r="M254" s="34">
        <f t="shared" si="38"/>
        <v>0</v>
      </c>
      <c r="N254" s="34">
        <v>510.11999999999989</v>
      </c>
      <c r="O254" s="34">
        <v>510.11999999999989</v>
      </c>
      <c r="P254" s="34">
        <f t="shared" si="39"/>
        <v>0</v>
      </c>
      <c r="Q254" s="34">
        <v>2040.4800000000005</v>
      </c>
      <c r="R254" s="34">
        <v>2040.4800000000005</v>
      </c>
      <c r="S254" s="34">
        <f t="shared" si="40"/>
        <v>0</v>
      </c>
      <c r="T254" s="34">
        <v>825.49866666666549</v>
      </c>
      <c r="U254" s="34">
        <v>683.79999999999836</v>
      </c>
      <c r="V254" s="34">
        <f t="shared" si="41"/>
        <v>0</v>
      </c>
      <c r="W254" s="34">
        <v>0</v>
      </c>
      <c r="X254" s="34">
        <v>0</v>
      </c>
      <c r="Y254" s="34">
        <v>0</v>
      </c>
      <c r="Z254" s="34">
        <v>0</v>
      </c>
      <c r="AA254" s="34">
        <v>0</v>
      </c>
      <c r="AB254" s="34">
        <v>0</v>
      </c>
      <c r="AC254" s="34">
        <v>0</v>
      </c>
      <c r="AD254" s="34">
        <v>338.47335599999997</v>
      </c>
      <c r="AE254" s="34">
        <f t="shared" si="42"/>
        <v>338.47335599999997</v>
      </c>
      <c r="AF254" s="34">
        <f t="shared" si="43"/>
        <v>0</v>
      </c>
      <c r="AG254" s="34">
        <v>0</v>
      </c>
      <c r="AH254" s="34">
        <v>0</v>
      </c>
      <c r="AI254" s="34">
        <v>0</v>
      </c>
      <c r="AJ254" s="34">
        <v>0</v>
      </c>
      <c r="AK254" s="34">
        <v>0</v>
      </c>
      <c r="AL254" s="34">
        <v>0</v>
      </c>
      <c r="AM254" s="34">
        <v>0</v>
      </c>
      <c r="AN254" s="34">
        <v>0</v>
      </c>
      <c r="AO254" s="34">
        <v>0</v>
      </c>
      <c r="AP254" s="34">
        <v>1674.4963039999998</v>
      </c>
      <c r="AQ254" s="34">
        <f t="shared" si="44"/>
        <v>1674.4963039999998</v>
      </c>
      <c r="AR254" s="34">
        <f t="shared" si="45"/>
        <v>0</v>
      </c>
      <c r="AS254" s="34">
        <f t="shared" si="46"/>
        <v>0</v>
      </c>
      <c r="AT254" t="str">
        <f t="shared" si="47"/>
        <v>SIN BONUS</v>
      </c>
    </row>
    <row r="255" spans="1:46" x14ac:dyDescent="0.25">
      <c r="A255" t="s">
        <v>134</v>
      </c>
      <c r="B255" t="s">
        <v>187</v>
      </c>
      <c r="C255" s="34">
        <v>0</v>
      </c>
      <c r="D255" s="34">
        <v>0</v>
      </c>
      <c r="E255" s="34">
        <v>8477.2986666666657</v>
      </c>
      <c r="F255" s="34">
        <f t="shared" si="36"/>
        <v>8477.2986666666657</v>
      </c>
      <c r="G255" s="34">
        <v>0</v>
      </c>
      <c r="H255" s="34">
        <v>5101.2</v>
      </c>
      <c r="I255" s="34">
        <v>5101.2</v>
      </c>
      <c r="J255" s="34">
        <f t="shared" si="37"/>
        <v>0</v>
      </c>
      <c r="K255" s="34">
        <v>5101.2</v>
      </c>
      <c r="L255" s="34">
        <v>5101.2</v>
      </c>
      <c r="M255" s="34">
        <f t="shared" si="38"/>
        <v>0</v>
      </c>
      <c r="N255" s="34">
        <v>510.11999999999989</v>
      </c>
      <c r="O255" s="34">
        <v>510.11999999999989</v>
      </c>
      <c r="P255" s="34">
        <f t="shared" si="39"/>
        <v>0</v>
      </c>
      <c r="Q255" s="34">
        <v>2040.4800000000005</v>
      </c>
      <c r="R255" s="34">
        <v>2040.4800000000005</v>
      </c>
      <c r="S255" s="34">
        <f t="shared" si="40"/>
        <v>0</v>
      </c>
      <c r="T255" s="34">
        <v>825.49866666666549</v>
      </c>
      <c r="U255" s="34">
        <v>683.79999999999836</v>
      </c>
      <c r="V255" s="34">
        <f t="shared" si="41"/>
        <v>0</v>
      </c>
      <c r="W255" s="34">
        <v>0</v>
      </c>
      <c r="X255" s="34">
        <v>0</v>
      </c>
      <c r="Y255" s="34">
        <v>0</v>
      </c>
      <c r="Z255" s="34">
        <v>0</v>
      </c>
      <c r="AA255" s="34">
        <v>0</v>
      </c>
      <c r="AB255" s="34">
        <v>0</v>
      </c>
      <c r="AC255" s="34">
        <v>0</v>
      </c>
      <c r="AD255" s="34">
        <v>338.47335599999997</v>
      </c>
      <c r="AE255" s="34">
        <f t="shared" si="42"/>
        <v>338.47335599999997</v>
      </c>
      <c r="AF255" s="34">
        <f t="shared" si="43"/>
        <v>0</v>
      </c>
      <c r="AG255" s="34">
        <v>0</v>
      </c>
      <c r="AH255" s="34">
        <v>0</v>
      </c>
      <c r="AI255" s="34">
        <v>0</v>
      </c>
      <c r="AJ255" s="34">
        <v>0</v>
      </c>
      <c r="AK255" s="34">
        <v>0</v>
      </c>
      <c r="AL255" s="34">
        <v>0</v>
      </c>
      <c r="AM255" s="34">
        <v>0</v>
      </c>
      <c r="AN255" s="34">
        <v>0</v>
      </c>
      <c r="AO255" s="34">
        <v>0</v>
      </c>
      <c r="AP255" s="34">
        <v>1674.4963039999998</v>
      </c>
      <c r="AQ255" s="34">
        <f t="shared" si="44"/>
        <v>1674.4963039999998</v>
      </c>
      <c r="AR255" s="34">
        <f t="shared" si="45"/>
        <v>0</v>
      </c>
      <c r="AS255" s="34">
        <f t="shared" si="46"/>
        <v>0</v>
      </c>
      <c r="AT255" t="str">
        <f t="shared" si="47"/>
        <v>SIN BONUS</v>
      </c>
    </row>
    <row r="256" spans="1:46" x14ac:dyDescent="0.25">
      <c r="A256" t="s">
        <v>134</v>
      </c>
      <c r="B256" t="s">
        <v>189</v>
      </c>
      <c r="C256" s="34">
        <v>0</v>
      </c>
      <c r="D256" s="34">
        <v>0</v>
      </c>
      <c r="E256" s="34">
        <v>8477.2986666666657</v>
      </c>
      <c r="F256" s="34">
        <f t="shared" si="36"/>
        <v>8477.2986666666657</v>
      </c>
      <c r="G256" s="34">
        <v>0</v>
      </c>
      <c r="H256" s="34">
        <v>5101.2</v>
      </c>
      <c r="I256" s="34">
        <v>5101.2</v>
      </c>
      <c r="J256" s="34">
        <f t="shared" si="37"/>
        <v>0</v>
      </c>
      <c r="K256" s="34">
        <v>5101.2</v>
      </c>
      <c r="L256" s="34">
        <v>5101.2</v>
      </c>
      <c r="M256" s="34">
        <f t="shared" si="38"/>
        <v>0</v>
      </c>
      <c r="N256" s="34">
        <v>510.11999999999989</v>
      </c>
      <c r="O256" s="34">
        <v>510.11999999999989</v>
      </c>
      <c r="P256" s="34">
        <f t="shared" si="39"/>
        <v>0</v>
      </c>
      <c r="Q256" s="34">
        <v>2040.4800000000005</v>
      </c>
      <c r="R256" s="34">
        <v>2040.4800000000005</v>
      </c>
      <c r="S256" s="34">
        <f t="shared" si="40"/>
        <v>0</v>
      </c>
      <c r="T256" s="34">
        <v>825.49866666666549</v>
      </c>
      <c r="U256" s="34">
        <v>683.79999999999836</v>
      </c>
      <c r="V256" s="34">
        <f t="shared" si="41"/>
        <v>0</v>
      </c>
      <c r="W256" s="34">
        <v>0</v>
      </c>
      <c r="X256" s="34">
        <v>0</v>
      </c>
      <c r="Y256" s="34">
        <v>0</v>
      </c>
      <c r="Z256" s="34">
        <v>0</v>
      </c>
      <c r="AA256" s="34">
        <v>0</v>
      </c>
      <c r="AB256" s="34">
        <v>0</v>
      </c>
      <c r="AC256" s="34">
        <v>0</v>
      </c>
      <c r="AD256" s="34">
        <v>338.47335599999997</v>
      </c>
      <c r="AE256" s="34">
        <f t="shared" si="42"/>
        <v>338.47335599999997</v>
      </c>
      <c r="AF256" s="34">
        <f t="shared" si="43"/>
        <v>0</v>
      </c>
      <c r="AG256" s="34">
        <v>0</v>
      </c>
      <c r="AH256" s="34">
        <v>0</v>
      </c>
      <c r="AI256" s="34">
        <v>0</v>
      </c>
      <c r="AJ256" s="34">
        <v>0</v>
      </c>
      <c r="AK256" s="34">
        <v>0</v>
      </c>
      <c r="AL256" s="34">
        <v>0</v>
      </c>
      <c r="AM256" s="34">
        <v>0</v>
      </c>
      <c r="AN256" s="34">
        <v>0</v>
      </c>
      <c r="AO256" s="34">
        <v>0</v>
      </c>
      <c r="AP256" s="34">
        <v>1674.4963039999998</v>
      </c>
      <c r="AQ256" s="34">
        <f t="shared" si="44"/>
        <v>1674.4963039999998</v>
      </c>
      <c r="AR256" s="34">
        <f t="shared" si="45"/>
        <v>0</v>
      </c>
      <c r="AS256" s="34">
        <f t="shared" si="46"/>
        <v>0</v>
      </c>
      <c r="AT256" t="str">
        <f t="shared" si="47"/>
        <v>SIN BONUS</v>
      </c>
    </row>
    <row r="257" spans="1:46" x14ac:dyDescent="0.25">
      <c r="A257" t="s">
        <v>136</v>
      </c>
      <c r="B257" t="s">
        <v>173</v>
      </c>
      <c r="C257" s="34">
        <v>0</v>
      </c>
      <c r="D257" s="34">
        <v>0</v>
      </c>
      <c r="E257" s="34">
        <v>1627.1033333333335</v>
      </c>
      <c r="F257" s="34">
        <f t="shared" si="36"/>
        <v>1627.1033333333335</v>
      </c>
      <c r="G257" s="34">
        <v>0</v>
      </c>
      <c r="H257" s="34">
        <v>1627.1033333333335</v>
      </c>
      <c r="I257" s="34">
        <v>1757.6760600000002</v>
      </c>
      <c r="J257" s="34">
        <f t="shared" si="37"/>
        <v>130.57272666666677</v>
      </c>
      <c r="K257" s="34">
        <v>1757.6760600000002</v>
      </c>
      <c r="L257" s="34">
        <v>1757.6760600000002</v>
      </c>
      <c r="M257" s="34">
        <f t="shared" si="38"/>
        <v>0</v>
      </c>
      <c r="N257" s="34">
        <v>0</v>
      </c>
      <c r="O257" s="34">
        <v>0</v>
      </c>
      <c r="P257" s="34">
        <f t="shared" si="39"/>
        <v>0</v>
      </c>
      <c r="Q257" s="34">
        <v>0</v>
      </c>
      <c r="R257" s="34">
        <v>0</v>
      </c>
      <c r="S257" s="34">
        <f t="shared" si="40"/>
        <v>0</v>
      </c>
      <c r="T257" s="34">
        <v>0</v>
      </c>
      <c r="U257" s="34">
        <v>0</v>
      </c>
      <c r="V257" s="34">
        <f t="shared" si="41"/>
        <v>0</v>
      </c>
      <c r="W257" s="34">
        <v>0</v>
      </c>
      <c r="X257" s="34">
        <v>0</v>
      </c>
      <c r="Y257" s="34">
        <v>0</v>
      </c>
      <c r="Z257" s="34">
        <v>0</v>
      </c>
      <c r="AA257" s="34">
        <v>0</v>
      </c>
      <c r="AB257" s="34">
        <v>0</v>
      </c>
      <c r="AC257" s="34">
        <v>0</v>
      </c>
      <c r="AD257" s="34">
        <v>114.24894390000001</v>
      </c>
      <c r="AE257" s="34">
        <f t="shared" si="42"/>
        <v>114.24894390000001</v>
      </c>
      <c r="AF257" s="34">
        <f t="shared" si="43"/>
        <v>0</v>
      </c>
      <c r="AG257" s="34">
        <v>0</v>
      </c>
      <c r="AH257" s="34">
        <v>0</v>
      </c>
      <c r="AI257" s="34">
        <v>0</v>
      </c>
      <c r="AJ257" s="34">
        <v>0</v>
      </c>
      <c r="AK257" s="34">
        <v>0</v>
      </c>
      <c r="AL257" s="34">
        <v>0</v>
      </c>
      <c r="AM257" s="34">
        <v>0</v>
      </c>
      <c r="AN257" s="34">
        <v>0</v>
      </c>
      <c r="AO257" s="34">
        <v>0</v>
      </c>
      <c r="AP257" s="34">
        <v>565.09285328999999</v>
      </c>
      <c r="AQ257" s="34">
        <f t="shared" si="44"/>
        <v>565.09285328999999</v>
      </c>
      <c r="AR257" s="34">
        <f t="shared" si="45"/>
        <v>0</v>
      </c>
      <c r="AS257" s="34">
        <f t="shared" si="46"/>
        <v>0</v>
      </c>
      <c r="AT257" t="str">
        <f t="shared" si="47"/>
        <v>SIN BONUS</v>
      </c>
    </row>
    <row r="258" spans="1:46" x14ac:dyDescent="0.25">
      <c r="A258" t="s">
        <v>136</v>
      </c>
      <c r="B258" t="s">
        <v>176</v>
      </c>
      <c r="C258" s="34">
        <v>0</v>
      </c>
      <c r="D258" s="34">
        <v>0</v>
      </c>
      <c r="E258" s="34">
        <v>1627.1033333333335</v>
      </c>
      <c r="F258" s="34">
        <f t="shared" si="36"/>
        <v>1627.1033333333335</v>
      </c>
      <c r="G258" s="34">
        <v>0</v>
      </c>
      <c r="H258" s="34">
        <v>1627.1033333333335</v>
      </c>
      <c r="I258" s="34">
        <v>1757.6760600000002</v>
      </c>
      <c r="J258" s="34">
        <f t="shared" si="37"/>
        <v>130.57272666666677</v>
      </c>
      <c r="K258" s="34">
        <v>1757.6760600000002</v>
      </c>
      <c r="L258" s="34">
        <v>1757.6760600000002</v>
      </c>
      <c r="M258" s="34">
        <f t="shared" si="38"/>
        <v>0</v>
      </c>
      <c r="N258" s="34">
        <v>0</v>
      </c>
      <c r="O258" s="34">
        <v>0</v>
      </c>
      <c r="P258" s="34">
        <f t="shared" si="39"/>
        <v>0</v>
      </c>
      <c r="Q258" s="34">
        <v>0</v>
      </c>
      <c r="R258" s="34">
        <v>0</v>
      </c>
      <c r="S258" s="34">
        <f t="shared" si="40"/>
        <v>0</v>
      </c>
      <c r="T258" s="34">
        <v>0</v>
      </c>
      <c r="U258" s="34">
        <v>0</v>
      </c>
      <c r="V258" s="34">
        <f t="shared" si="41"/>
        <v>0</v>
      </c>
      <c r="W258" s="34">
        <v>0</v>
      </c>
      <c r="X258" s="34">
        <v>0</v>
      </c>
      <c r="Y258" s="34">
        <v>0</v>
      </c>
      <c r="Z258" s="34">
        <v>0</v>
      </c>
      <c r="AA258" s="34">
        <v>0</v>
      </c>
      <c r="AB258" s="34">
        <v>0</v>
      </c>
      <c r="AC258" s="34">
        <v>0</v>
      </c>
      <c r="AD258" s="34">
        <v>114.24894390000001</v>
      </c>
      <c r="AE258" s="34">
        <f t="shared" si="42"/>
        <v>114.24894390000001</v>
      </c>
      <c r="AF258" s="34">
        <f t="shared" si="43"/>
        <v>0</v>
      </c>
      <c r="AG258" s="34">
        <v>0</v>
      </c>
      <c r="AH258" s="34">
        <v>0</v>
      </c>
      <c r="AI258" s="34">
        <v>0</v>
      </c>
      <c r="AJ258" s="34">
        <v>0</v>
      </c>
      <c r="AK258" s="34">
        <v>0</v>
      </c>
      <c r="AL258" s="34">
        <v>0</v>
      </c>
      <c r="AM258" s="34">
        <v>0</v>
      </c>
      <c r="AN258" s="34">
        <v>0</v>
      </c>
      <c r="AO258" s="34">
        <v>0</v>
      </c>
      <c r="AP258" s="34">
        <v>565.09285328999999</v>
      </c>
      <c r="AQ258" s="34">
        <f t="shared" si="44"/>
        <v>565.09285328999999</v>
      </c>
      <c r="AR258" s="34">
        <f t="shared" si="45"/>
        <v>0</v>
      </c>
      <c r="AS258" s="34">
        <f t="shared" si="46"/>
        <v>0</v>
      </c>
      <c r="AT258" t="str">
        <f t="shared" si="47"/>
        <v>SIN BONUS</v>
      </c>
    </row>
    <row r="259" spans="1:46" x14ac:dyDescent="0.25">
      <c r="A259" t="s">
        <v>136</v>
      </c>
      <c r="B259" t="s">
        <v>177</v>
      </c>
      <c r="C259" s="34">
        <v>0</v>
      </c>
      <c r="D259" s="34">
        <v>0</v>
      </c>
      <c r="E259" s="34">
        <v>1627.1033333333335</v>
      </c>
      <c r="F259" s="34">
        <f t="shared" si="36"/>
        <v>1627.1033333333335</v>
      </c>
      <c r="G259" s="34">
        <v>0</v>
      </c>
      <c r="H259" s="34">
        <v>1627.1033333333335</v>
      </c>
      <c r="I259" s="34">
        <v>1757.6760600000002</v>
      </c>
      <c r="J259" s="34">
        <f t="shared" si="37"/>
        <v>130.57272666666677</v>
      </c>
      <c r="K259" s="34">
        <v>1757.6760600000002</v>
      </c>
      <c r="L259" s="34">
        <v>1757.6760600000002</v>
      </c>
      <c r="M259" s="34">
        <f t="shared" si="38"/>
        <v>0</v>
      </c>
      <c r="N259" s="34">
        <v>0</v>
      </c>
      <c r="O259" s="34">
        <v>0</v>
      </c>
      <c r="P259" s="34">
        <f t="shared" si="39"/>
        <v>0</v>
      </c>
      <c r="Q259" s="34">
        <v>0</v>
      </c>
      <c r="R259" s="34">
        <v>0</v>
      </c>
      <c r="S259" s="34">
        <f t="shared" si="40"/>
        <v>0</v>
      </c>
      <c r="T259" s="34">
        <v>0</v>
      </c>
      <c r="U259" s="34">
        <v>0</v>
      </c>
      <c r="V259" s="34">
        <f t="shared" si="41"/>
        <v>0</v>
      </c>
      <c r="W259" s="34">
        <v>0</v>
      </c>
      <c r="X259" s="34">
        <v>0</v>
      </c>
      <c r="Y259" s="34">
        <v>0</v>
      </c>
      <c r="Z259" s="34">
        <v>0</v>
      </c>
      <c r="AA259" s="34">
        <v>0</v>
      </c>
      <c r="AB259" s="34">
        <v>0</v>
      </c>
      <c r="AC259" s="34">
        <v>0</v>
      </c>
      <c r="AD259" s="34">
        <v>114.24894390000001</v>
      </c>
      <c r="AE259" s="34">
        <f t="shared" si="42"/>
        <v>114.24894390000001</v>
      </c>
      <c r="AF259" s="34">
        <f t="shared" si="43"/>
        <v>0</v>
      </c>
      <c r="AG259" s="34">
        <v>0</v>
      </c>
      <c r="AH259" s="34">
        <v>0</v>
      </c>
      <c r="AI259" s="34">
        <v>0</v>
      </c>
      <c r="AJ259" s="34">
        <v>0</v>
      </c>
      <c r="AK259" s="34">
        <v>0</v>
      </c>
      <c r="AL259" s="34">
        <v>0</v>
      </c>
      <c r="AM259" s="34">
        <v>0</v>
      </c>
      <c r="AN259" s="34">
        <v>0</v>
      </c>
      <c r="AO259" s="34">
        <v>0</v>
      </c>
      <c r="AP259" s="34">
        <v>565.09285328999999</v>
      </c>
      <c r="AQ259" s="34">
        <f t="shared" si="44"/>
        <v>565.09285328999999</v>
      </c>
      <c r="AR259" s="34">
        <f t="shared" si="45"/>
        <v>0</v>
      </c>
      <c r="AS259" s="34">
        <f t="shared" si="46"/>
        <v>0</v>
      </c>
      <c r="AT259" t="str">
        <f t="shared" si="47"/>
        <v>SIN BONUS</v>
      </c>
    </row>
    <row r="260" spans="1:46" x14ac:dyDescent="0.25">
      <c r="A260" t="s">
        <v>136</v>
      </c>
      <c r="B260" t="s">
        <v>178</v>
      </c>
      <c r="C260" s="34">
        <v>0</v>
      </c>
      <c r="D260" s="34">
        <v>0</v>
      </c>
      <c r="E260" s="34">
        <v>1708.4585000000002</v>
      </c>
      <c r="F260" s="34">
        <f t="shared" si="36"/>
        <v>1708.4585000000002</v>
      </c>
      <c r="G260" s="34">
        <v>0</v>
      </c>
      <c r="H260" s="34">
        <v>1708.4585000000002</v>
      </c>
      <c r="I260" s="34">
        <v>1757.6760600000002</v>
      </c>
      <c r="J260" s="34">
        <f t="shared" si="37"/>
        <v>49.217560000000049</v>
      </c>
      <c r="K260" s="34">
        <v>1757.6760600000002</v>
      </c>
      <c r="L260" s="34">
        <v>1757.6760600000002</v>
      </c>
      <c r="M260" s="34">
        <f t="shared" si="38"/>
        <v>0</v>
      </c>
      <c r="N260" s="34">
        <v>0</v>
      </c>
      <c r="O260" s="34">
        <v>0</v>
      </c>
      <c r="P260" s="34">
        <f t="shared" si="39"/>
        <v>0</v>
      </c>
      <c r="Q260" s="34">
        <v>0</v>
      </c>
      <c r="R260" s="34">
        <v>0</v>
      </c>
      <c r="S260" s="34">
        <f t="shared" si="40"/>
        <v>0</v>
      </c>
      <c r="T260" s="34">
        <v>0</v>
      </c>
      <c r="U260" s="34">
        <v>0</v>
      </c>
      <c r="V260" s="34">
        <f t="shared" si="41"/>
        <v>0</v>
      </c>
      <c r="W260" s="34">
        <v>0</v>
      </c>
      <c r="X260" s="34">
        <v>0</v>
      </c>
      <c r="Y260" s="34">
        <v>0</v>
      </c>
      <c r="Z260" s="34">
        <v>0</v>
      </c>
      <c r="AA260" s="34">
        <v>0</v>
      </c>
      <c r="AB260" s="34">
        <v>0</v>
      </c>
      <c r="AC260" s="34">
        <v>0</v>
      </c>
      <c r="AD260" s="34">
        <v>114.24894390000001</v>
      </c>
      <c r="AE260" s="34">
        <f t="shared" si="42"/>
        <v>114.24894390000001</v>
      </c>
      <c r="AF260" s="34">
        <f t="shared" si="43"/>
        <v>0</v>
      </c>
      <c r="AG260" s="34">
        <v>0</v>
      </c>
      <c r="AH260" s="34">
        <v>0</v>
      </c>
      <c r="AI260" s="34">
        <v>0</v>
      </c>
      <c r="AJ260" s="34">
        <v>0</v>
      </c>
      <c r="AK260" s="34">
        <v>0</v>
      </c>
      <c r="AL260" s="34">
        <v>0</v>
      </c>
      <c r="AM260" s="34">
        <v>0</v>
      </c>
      <c r="AN260" s="34">
        <v>0</v>
      </c>
      <c r="AO260" s="34">
        <v>0</v>
      </c>
      <c r="AP260" s="34">
        <v>565.09285328999999</v>
      </c>
      <c r="AQ260" s="34">
        <f t="shared" si="44"/>
        <v>565.09285328999999</v>
      </c>
      <c r="AR260" s="34">
        <f t="shared" si="45"/>
        <v>0</v>
      </c>
      <c r="AS260" s="34">
        <f t="shared" si="46"/>
        <v>0</v>
      </c>
      <c r="AT260" t="str">
        <f t="shared" si="47"/>
        <v>SIN BONUS</v>
      </c>
    </row>
    <row r="261" spans="1:46" x14ac:dyDescent="0.25">
      <c r="A261" t="s">
        <v>136</v>
      </c>
      <c r="B261" t="s">
        <v>179</v>
      </c>
      <c r="C261" s="34">
        <v>0</v>
      </c>
      <c r="D261" s="34">
        <v>0</v>
      </c>
      <c r="E261" s="34">
        <v>1708.4585000000002</v>
      </c>
      <c r="F261" s="34">
        <f t="shared" ref="F261:F292" si="48">$E261+$D261</f>
        <v>1708.4585000000002</v>
      </c>
      <c r="G261" s="34">
        <v>0</v>
      </c>
      <c r="H261" s="34">
        <v>1708.4585000000002</v>
      </c>
      <c r="I261" s="34">
        <v>1708.4585000000002</v>
      </c>
      <c r="J261" s="34">
        <f t="shared" ref="J261:J292" si="49">MAX(0,$I261-$H261)</f>
        <v>0</v>
      </c>
      <c r="K261" s="34">
        <v>1757.6760600000002</v>
      </c>
      <c r="L261" s="34">
        <v>1757.6760600000002</v>
      </c>
      <c r="M261" s="34">
        <f t="shared" ref="M261:M292" si="50">MAX(0,$L261-$K261)</f>
        <v>0</v>
      </c>
      <c r="N261" s="34">
        <v>0</v>
      </c>
      <c r="O261" s="34">
        <v>0</v>
      </c>
      <c r="P261" s="34">
        <f t="shared" ref="P261:P292" si="51">MAX(0,$O261-$N261)</f>
        <v>0</v>
      </c>
      <c r="Q261" s="34">
        <v>0</v>
      </c>
      <c r="R261" s="34">
        <v>0</v>
      </c>
      <c r="S261" s="34">
        <f t="shared" ref="S261:S292" si="52">MAX(0,$R261-$Q261)</f>
        <v>0</v>
      </c>
      <c r="T261" s="34">
        <v>0</v>
      </c>
      <c r="U261" s="34">
        <v>0</v>
      </c>
      <c r="V261" s="34">
        <f t="shared" ref="V261:V292" si="53">MAX(0,$U261-$T261)</f>
        <v>0</v>
      </c>
      <c r="W261" s="34">
        <v>0</v>
      </c>
      <c r="X261" s="34">
        <v>0</v>
      </c>
      <c r="Y261" s="34">
        <v>0</v>
      </c>
      <c r="Z261" s="34">
        <v>0</v>
      </c>
      <c r="AA261" s="34">
        <v>0</v>
      </c>
      <c r="AB261" s="34">
        <v>0</v>
      </c>
      <c r="AC261" s="34">
        <v>0</v>
      </c>
      <c r="AD261" s="34">
        <v>114.24894390000001</v>
      </c>
      <c r="AE261" s="34">
        <f t="shared" ref="AE261:AE292" si="54">$AD261+SUM($W261:$AC261)</f>
        <v>114.24894390000001</v>
      </c>
      <c r="AF261" s="34">
        <f t="shared" ref="AF261:AF292" si="55">$AE261-$AD261</f>
        <v>0</v>
      </c>
      <c r="AG261" s="34">
        <v>0</v>
      </c>
      <c r="AH261" s="34">
        <v>0</v>
      </c>
      <c r="AI261" s="34">
        <v>0</v>
      </c>
      <c r="AJ261" s="34">
        <v>0</v>
      </c>
      <c r="AK261" s="34">
        <v>0</v>
      </c>
      <c r="AL261" s="34">
        <v>0</v>
      </c>
      <c r="AM261" s="34">
        <v>0</v>
      </c>
      <c r="AN261" s="34">
        <v>0</v>
      </c>
      <c r="AO261" s="34">
        <v>0</v>
      </c>
      <c r="AP261" s="34">
        <v>565.09285328999999</v>
      </c>
      <c r="AQ261" s="34">
        <f t="shared" ref="AQ261:AQ292" si="56">$AP261+SUM($AG261:$AO261)</f>
        <v>565.09285328999999</v>
      </c>
      <c r="AR261" s="34">
        <f t="shared" ref="AR261:AR292" si="57">$AQ261-$AP261</f>
        <v>0</v>
      </c>
      <c r="AS261" s="34">
        <f t="shared" ref="AS261:AS292" si="58">$AF261+$AR261</f>
        <v>0</v>
      </c>
      <c r="AT261" t="str">
        <f t="shared" ref="AT261:AT292" si="59">IF($C261=0,"SIN BONUS",IF(AND($J261&gt;=0,$M261&gt;=0,$P261&gt;=0,$S261&gt;=0,$V261&gt;=0),"OK","REVISAR"))</f>
        <v>SIN BONUS</v>
      </c>
    </row>
    <row r="262" spans="1:46" x14ac:dyDescent="0.25">
      <c r="A262" t="s">
        <v>136</v>
      </c>
      <c r="B262" t="s">
        <v>180</v>
      </c>
      <c r="C262" s="34">
        <v>0</v>
      </c>
      <c r="D262" s="34">
        <v>0</v>
      </c>
      <c r="E262" s="34">
        <v>1708.4585000000002</v>
      </c>
      <c r="F262" s="34">
        <f t="shared" si="48"/>
        <v>1708.4585000000002</v>
      </c>
      <c r="G262" s="34">
        <v>0</v>
      </c>
      <c r="H262" s="34">
        <v>1708.4585000000002</v>
      </c>
      <c r="I262" s="34">
        <v>1757.6760600000002</v>
      </c>
      <c r="J262" s="34">
        <f t="shared" si="49"/>
        <v>49.217560000000049</v>
      </c>
      <c r="K262" s="34">
        <v>1757.6760600000002</v>
      </c>
      <c r="L262" s="34">
        <v>1757.6760600000002</v>
      </c>
      <c r="M262" s="34">
        <f t="shared" si="50"/>
        <v>0</v>
      </c>
      <c r="N262" s="34">
        <v>0</v>
      </c>
      <c r="O262" s="34">
        <v>0</v>
      </c>
      <c r="P262" s="34">
        <f t="shared" si="51"/>
        <v>0</v>
      </c>
      <c r="Q262" s="34">
        <v>0</v>
      </c>
      <c r="R262" s="34">
        <v>0</v>
      </c>
      <c r="S262" s="34">
        <f t="shared" si="52"/>
        <v>0</v>
      </c>
      <c r="T262" s="34">
        <v>0</v>
      </c>
      <c r="U262" s="34">
        <v>0</v>
      </c>
      <c r="V262" s="34">
        <f t="shared" si="53"/>
        <v>0</v>
      </c>
      <c r="W262" s="34">
        <v>0</v>
      </c>
      <c r="X262" s="34">
        <v>0</v>
      </c>
      <c r="Y262" s="34">
        <v>0</v>
      </c>
      <c r="Z262" s="34">
        <v>0</v>
      </c>
      <c r="AA262" s="34">
        <v>0</v>
      </c>
      <c r="AB262" s="34">
        <v>0</v>
      </c>
      <c r="AC262" s="34">
        <v>0</v>
      </c>
      <c r="AD262" s="34">
        <v>114.24894390000001</v>
      </c>
      <c r="AE262" s="34">
        <f t="shared" si="54"/>
        <v>114.24894390000001</v>
      </c>
      <c r="AF262" s="34">
        <f t="shared" si="55"/>
        <v>0</v>
      </c>
      <c r="AG262" s="34">
        <v>0</v>
      </c>
      <c r="AH262" s="34">
        <v>0</v>
      </c>
      <c r="AI262" s="34">
        <v>0</v>
      </c>
      <c r="AJ262" s="34">
        <v>0</v>
      </c>
      <c r="AK262" s="34">
        <v>0</v>
      </c>
      <c r="AL262" s="34">
        <v>0</v>
      </c>
      <c r="AM262" s="34">
        <v>0</v>
      </c>
      <c r="AN262" s="34">
        <v>0</v>
      </c>
      <c r="AO262" s="34">
        <v>0</v>
      </c>
      <c r="AP262" s="34">
        <v>565.09285328999999</v>
      </c>
      <c r="AQ262" s="34">
        <f t="shared" si="56"/>
        <v>565.09285328999999</v>
      </c>
      <c r="AR262" s="34">
        <f t="shared" si="57"/>
        <v>0</v>
      </c>
      <c r="AS262" s="34">
        <f t="shared" si="58"/>
        <v>0</v>
      </c>
      <c r="AT262" t="str">
        <f t="shared" si="59"/>
        <v>SIN BONUS</v>
      </c>
    </row>
    <row r="263" spans="1:46" x14ac:dyDescent="0.25">
      <c r="A263" t="s">
        <v>136</v>
      </c>
      <c r="B263" t="s">
        <v>183</v>
      </c>
      <c r="C263" s="34">
        <v>0</v>
      </c>
      <c r="D263" s="34">
        <v>0</v>
      </c>
      <c r="E263" s="34">
        <v>1708.4585000000002</v>
      </c>
      <c r="F263" s="34">
        <f t="shared" si="48"/>
        <v>1708.4585000000002</v>
      </c>
      <c r="G263" s="34">
        <v>0</v>
      </c>
      <c r="H263" s="34">
        <v>1708.4585000000002</v>
      </c>
      <c r="I263" s="34">
        <v>1757.6760600000002</v>
      </c>
      <c r="J263" s="34">
        <f t="shared" si="49"/>
        <v>49.217560000000049</v>
      </c>
      <c r="K263" s="34">
        <v>1757.6760600000002</v>
      </c>
      <c r="L263" s="34">
        <v>1757.6760600000002</v>
      </c>
      <c r="M263" s="34">
        <f t="shared" si="50"/>
        <v>0</v>
      </c>
      <c r="N263" s="34">
        <v>0</v>
      </c>
      <c r="O263" s="34">
        <v>0</v>
      </c>
      <c r="P263" s="34">
        <f t="shared" si="51"/>
        <v>0</v>
      </c>
      <c r="Q263" s="34">
        <v>0</v>
      </c>
      <c r="R263" s="34">
        <v>0</v>
      </c>
      <c r="S263" s="34">
        <f t="shared" si="52"/>
        <v>0</v>
      </c>
      <c r="T263" s="34">
        <v>0</v>
      </c>
      <c r="U263" s="34">
        <v>0</v>
      </c>
      <c r="V263" s="34">
        <f t="shared" si="53"/>
        <v>0</v>
      </c>
      <c r="W263" s="34">
        <v>0</v>
      </c>
      <c r="X263" s="34">
        <v>0</v>
      </c>
      <c r="Y263" s="34">
        <v>0</v>
      </c>
      <c r="Z263" s="34">
        <v>0</v>
      </c>
      <c r="AA263" s="34">
        <v>0</v>
      </c>
      <c r="AB263" s="34">
        <v>0</v>
      </c>
      <c r="AC263" s="34">
        <v>0</v>
      </c>
      <c r="AD263" s="34">
        <v>114.24894390000001</v>
      </c>
      <c r="AE263" s="34">
        <f t="shared" si="54"/>
        <v>114.24894390000001</v>
      </c>
      <c r="AF263" s="34">
        <f t="shared" si="55"/>
        <v>0</v>
      </c>
      <c r="AG263" s="34">
        <v>0</v>
      </c>
      <c r="AH263" s="34">
        <v>0</v>
      </c>
      <c r="AI263" s="34">
        <v>0</v>
      </c>
      <c r="AJ263" s="34">
        <v>0</v>
      </c>
      <c r="AK263" s="34">
        <v>0</v>
      </c>
      <c r="AL263" s="34">
        <v>0</v>
      </c>
      <c r="AM263" s="34">
        <v>0</v>
      </c>
      <c r="AN263" s="34">
        <v>0</v>
      </c>
      <c r="AO263" s="34">
        <v>0</v>
      </c>
      <c r="AP263" s="34">
        <v>565.09285328999999</v>
      </c>
      <c r="AQ263" s="34">
        <f t="shared" si="56"/>
        <v>565.09285328999999</v>
      </c>
      <c r="AR263" s="34">
        <f t="shared" si="57"/>
        <v>0</v>
      </c>
      <c r="AS263" s="34">
        <f t="shared" si="58"/>
        <v>0</v>
      </c>
      <c r="AT263" t="str">
        <f t="shared" si="59"/>
        <v>SIN BONUS</v>
      </c>
    </row>
    <row r="264" spans="1:46" x14ac:dyDescent="0.25">
      <c r="A264" t="s">
        <v>136</v>
      </c>
      <c r="B264" t="s">
        <v>184</v>
      </c>
      <c r="C264" s="34">
        <v>0</v>
      </c>
      <c r="D264" s="34">
        <v>0</v>
      </c>
      <c r="E264" s="34">
        <v>1708.4585000000002</v>
      </c>
      <c r="F264" s="34">
        <f t="shared" si="48"/>
        <v>1708.4585000000002</v>
      </c>
      <c r="G264" s="34">
        <v>0</v>
      </c>
      <c r="H264" s="34">
        <v>1708.4585000000002</v>
      </c>
      <c r="I264" s="34">
        <v>1757.6760600000002</v>
      </c>
      <c r="J264" s="34">
        <f t="shared" si="49"/>
        <v>49.217560000000049</v>
      </c>
      <c r="K264" s="34">
        <v>1757.6760600000002</v>
      </c>
      <c r="L264" s="34">
        <v>1757.6760600000002</v>
      </c>
      <c r="M264" s="34">
        <f t="shared" si="50"/>
        <v>0</v>
      </c>
      <c r="N264" s="34">
        <v>0</v>
      </c>
      <c r="O264" s="34">
        <v>0</v>
      </c>
      <c r="P264" s="34">
        <f t="shared" si="51"/>
        <v>0</v>
      </c>
      <c r="Q264" s="34">
        <v>0</v>
      </c>
      <c r="R264" s="34">
        <v>0</v>
      </c>
      <c r="S264" s="34">
        <f t="shared" si="52"/>
        <v>0</v>
      </c>
      <c r="T264" s="34">
        <v>0</v>
      </c>
      <c r="U264" s="34">
        <v>0</v>
      </c>
      <c r="V264" s="34">
        <f t="shared" si="53"/>
        <v>0</v>
      </c>
      <c r="W264" s="34">
        <v>0</v>
      </c>
      <c r="X264" s="34">
        <v>0</v>
      </c>
      <c r="Y264" s="34">
        <v>0</v>
      </c>
      <c r="Z264" s="34">
        <v>0</v>
      </c>
      <c r="AA264" s="34">
        <v>0</v>
      </c>
      <c r="AB264" s="34">
        <v>0</v>
      </c>
      <c r="AC264" s="34">
        <v>0</v>
      </c>
      <c r="AD264" s="34">
        <v>114.24894390000001</v>
      </c>
      <c r="AE264" s="34">
        <f t="shared" si="54"/>
        <v>114.24894390000001</v>
      </c>
      <c r="AF264" s="34">
        <f t="shared" si="55"/>
        <v>0</v>
      </c>
      <c r="AG264" s="34">
        <v>0</v>
      </c>
      <c r="AH264" s="34">
        <v>0</v>
      </c>
      <c r="AI264" s="34">
        <v>0</v>
      </c>
      <c r="AJ264" s="34">
        <v>0</v>
      </c>
      <c r="AK264" s="34">
        <v>0</v>
      </c>
      <c r="AL264" s="34">
        <v>0</v>
      </c>
      <c r="AM264" s="34">
        <v>0</v>
      </c>
      <c r="AN264" s="34">
        <v>0</v>
      </c>
      <c r="AO264" s="34">
        <v>0</v>
      </c>
      <c r="AP264" s="34">
        <v>565.09285328999999</v>
      </c>
      <c r="AQ264" s="34">
        <f t="shared" si="56"/>
        <v>565.09285328999999</v>
      </c>
      <c r="AR264" s="34">
        <f t="shared" si="57"/>
        <v>0</v>
      </c>
      <c r="AS264" s="34">
        <f t="shared" si="58"/>
        <v>0</v>
      </c>
      <c r="AT264" t="str">
        <f t="shared" si="59"/>
        <v>SIN BONUS</v>
      </c>
    </row>
    <row r="265" spans="1:46" x14ac:dyDescent="0.25">
      <c r="A265" t="s">
        <v>136</v>
      </c>
      <c r="B265" t="s">
        <v>185</v>
      </c>
      <c r="C265" s="34">
        <v>0</v>
      </c>
      <c r="D265" s="34">
        <v>0</v>
      </c>
      <c r="E265" s="34">
        <v>1708.4585000000002</v>
      </c>
      <c r="F265" s="34">
        <f t="shared" si="48"/>
        <v>1708.4585000000002</v>
      </c>
      <c r="G265" s="34">
        <v>0</v>
      </c>
      <c r="H265" s="34">
        <v>1708.4585000000002</v>
      </c>
      <c r="I265" s="34">
        <v>1757.6760600000002</v>
      </c>
      <c r="J265" s="34">
        <f t="shared" si="49"/>
        <v>49.217560000000049</v>
      </c>
      <c r="K265" s="34">
        <v>1757.6760600000002</v>
      </c>
      <c r="L265" s="34">
        <v>1757.6760600000002</v>
      </c>
      <c r="M265" s="34">
        <f t="shared" si="50"/>
        <v>0</v>
      </c>
      <c r="N265" s="34">
        <v>0</v>
      </c>
      <c r="O265" s="34">
        <v>0</v>
      </c>
      <c r="P265" s="34">
        <f t="shared" si="51"/>
        <v>0</v>
      </c>
      <c r="Q265" s="34">
        <v>0</v>
      </c>
      <c r="R265" s="34">
        <v>0</v>
      </c>
      <c r="S265" s="34">
        <f t="shared" si="52"/>
        <v>0</v>
      </c>
      <c r="T265" s="34">
        <v>0</v>
      </c>
      <c r="U265" s="34">
        <v>0</v>
      </c>
      <c r="V265" s="34">
        <f t="shared" si="53"/>
        <v>0</v>
      </c>
      <c r="W265" s="34">
        <v>0</v>
      </c>
      <c r="X265" s="34">
        <v>0</v>
      </c>
      <c r="Y265" s="34">
        <v>0</v>
      </c>
      <c r="Z265" s="34">
        <v>0</v>
      </c>
      <c r="AA265" s="34">
        <v>0</v>
      </c>
      <c r="AB265" s="34">
        <v>0</v>
      </c>
      <c r="AC265" s="34">
        <v>0</v>
      </c>
      <c r="AD265" s="34">
        <v>114.24894390000001</v>
      </c>
      <c r="AE265" s="34">
        <f t="shared" si="54"/>
        <v>114.24894390000001</v>
      </c>
      <c r="AF265" s="34">
        <f t="shared" si="55"/>
        <v>0</v>
      </c>
      <c r="AG265" s="34">
        <v>0</v>
      </c>
      <c r="AH265" s="34">
        <v>0</v>
      </c>
      <c r="AI265" s="34">
        <v>0</v>
      </c>
      <c r="AJ265" s="34">
        <v>0</v>
      </c>
      <c r="AK265" s="34">
        <v>0</v>
      </c>
      <c r="AL265" s="34">
        <v>0</v>
      </c>
      <c r="AM265" s="34">
        <v>0</v>
      </c>
      <c r="AN265" s="34">
        <v>0</v>
      </c>
      <c r="AO265" s="34">
        <v>0</v>
      </c>
      <c r="AP265" s="34">
        <v>565.09285328999999</v>
      </c>
      <c r="AQ265" s="34">
        <f t="shared" si="56"/>
        <v>565.09285328999999</v>
      </c>
      <c r="AR265" s="34">
        <f t="shared" si="57"/>
        <v>0</v>
      </c>
      <c r="AS265" s="34">
        <f t="shared" si="58"/>
        <v>0</v>
      </c>
      <c r="AT265" t="str">
        <f t="shared" si="59"/>
        <v>SIN BONUS</v>
      </c>
    </row>
    <row r="266" spans="1:46" x14ac:dyDescent="0.25">
      <c r="A266" t="s">
        <v>136</v>
      </c>
      <c r="B266" t="s">
        <v>186</v>
      </c>
      <c r="C266" s="34">
        <v>0</v>
      </c>
      <c r="D266" s="34">
        <v>0</v>
      </c>
      <c r="E266" s="34">
        <v>1708.4585000000002</v>
      </c>
      <c r="F266" s="34">
        <f t="shared" si="48"/>
        <v>1708.4585000000002</v>
      </c>
      <c r="G266" s="34">
        <v>0</v>
      </c>
      <c r="H266" s="34">
        <v>1708.4585000000002</v>
      </c>
      <c r="I266" s="34">
        <v>1757.6760600000002</v>
      </c>
      <c r="J266" s="34">
        <f t="shared" si="49"/>
        <v>49.217560000000049</v>
      </c>
      <c r="K266" s="34">
        <v>1757.6760600000002</v>
      </c>
      <c r="L266" s="34">
        <v>1757.6760600000002</v>
      </c>
      <c r="M266" s="34">
        <f t="shared" si="50"/>
        <v>0</v>
      </c>
      <c r="N266" s="34">
        <v>0</v>
      </c>
      <c r="O266" s="34">
        <v>0</v>
      </c>
      <c r="P266" s="34">
        <f t="shared" si="51"/>
        <v>0</v>
      </c>
      <c r="Q266" s="34">
        <v>0</v>
      </c>
      <c r="R266" s="34">
        <v>0</v>
      </c>
      <c r="S266" s="34">
        <f t="shared" si="52"/>
        <v>0</v>
      </c>
      <c r="T266" s="34">
        <v>0</v>
      </c>
      <c r="U266" s="34">
        <v>0</v>
      </c>
      <c r="V266" s="34">
        <f t="shared" si="53"/>
        <v>0</v>
      </c>
      <c r="W266" s="34">
        <v>0</v>
      </c>
      <c r="X266" s="34">
        <v>0</v>
      </c>
      <c r="Y266" s="34">
        <v>0</v>
      </c>
      <c r="Z266" s="34">
        <v>0</v>
      </c>
      <c r="AA266" s="34">
        <v>0</v>
      </c>
      <c r="AB266" s="34">
        <v>0</v>
      </c>
      <c r="AC266" s="34">
        <v>0</v>
      </c>
      <c r="AD266" s="34">
        <v>114.24894390000001</v>
      </c>
      <c r="AE266" s="34">
        <f t="shared" si="54"/>
        <v>114.24894390000001</v>
      </c>
      <c r="AF266" s="34">
        <f t="shared" si="55"/>
        <v>0</v>
      </c>
      <c r="AG266" s="34">
        <v>0</v>
      </c>
      <c r="AH266" s="34">
        <v>0</v>
      </c>
      <c r="AI266" s="34">
        <v>0</v>
      </c>
      <c r="AJ266" s="34">
        <v>0</v>
      </c>
      <c r="AK266" s="34">
        <v>0</v>
      </c>
      <c r="AL266" s="34">
        <v>0</v>
      </c>
      <c r="AM266" s="34">
        <v>0</v>
      </c>
      <c r="AN266" s="34">
        <v>0</v>
      </c>
      <c r="AO266" s="34">
        <v>0</v>
      </c>
      <c r="AP266" s="34">
        <v>565.09285328999999</v>
      </c>
      <c r="AQ266" s="34">
        <f t="shared" si="56"/>
        <v>565.09285328999999</v>
      </c>
      <c r="AR266" s="34">
        <f t="shared" si="57"/>
        <v>0</v>
      </c>
      <c r="AS266" s="34">
        <f t="shared" si="58"/>
        <v>0</v>
      </c>
      <c r="AT266" t="str">
        <f t="shared" si="59"/>
        <v>SIN BONUS</v>
      </c>
    </row>
    <row r="267" spans="1:46" x14ac:dyDescent="0.25">
      <c r="A267" t="s">
        <v>136</v>
      </c>
      <c r="B267" t="s">
        <v>187</v>
      </c>
      <c r="C267" s="34">
        <v>0</v>
      </c>
      <c r="D267" s="34">
        <v>0</v>
      </c>
      <c r="E267" s="34">
        <v>1708.4585000000002</v>
      </c>
      <c r="F267" s="34">
        <f t="shared" si="48"/>
        <v>1708.4585000000002</v>
      </c>
      <c r="G267" s="34">
        <v>0</v>
      </c>
      <c r="H267" s="34">
        <v>1708.4585000000002</v>
      </c>
      <c r="I267" s="34">
        <v>1757.6760600000002</v>
      </c>
      <c r="J267" s="34">
        <f t="shared" si="49"/>
        <v>49.217560000000049</v>
      </c>
      <c r="K267" s="34">
        <v>1757.6760600000002</v>
      </c>
      <c r="L267" s="34">
        <v>1757.6760600000002</v>
      </c>
      <c r="M267" s="34">
        <f t="shared" si="50"/>
        <v>0</v>
      </c>
      <c r="N267" s="34">
        <v>0</v>
      </c>
      <c r="O267" s="34">
        <v>0</v>
      </c>
      <c r="P267" s="34">
        <f t="shared" si="51"/>
        <v>0</v>
      </c>
      <c r="Q267" s="34">
        <v>0</v>
      </c>
      <c r="R267" s="34">
        <v>0</v>
      </c>
      <c r="S267" s="34">
        <f t="shared" si="52"/>
        <v>0</v>
      </c>
      <c r="T267" s="34">
        <v>0</v>
      </c>
      <c r="U267" s="34">
        <v>0</v>
      </c>
      <c r="V267" s="34">
        <f t="shared" si="53"/>
        <v>0</v>
      </c>
      <c r="W267" s="34">
        <v>0</v>
      </c>
      <c r="X267" s="34">
        <v>0</v>
      </c>
      <c r="Y267" s="34">
        <v>0</v>
      </c>
      <c r="Z267" s="34">
        <v>0</v>
      </c>
      <c r="AA267" s="34">
        <v>0</v>
      </c>
      <c r="AB267" s="34">
        <v>0</v>
      </c>
      <c r="AC267" s="34">
        <v>0</v>
      </c>
      <c r="AD267" s="34">
        <v>114.24894390000001</v>
      </c>
      <c r="AE267" s="34">
        <f t="shared" si="54"/>
        <v>114.24894390000001</v>
      </c>
      <c r="AF267" s="34">
        <f t="shared" si="55"/>
        <v>0</v>
      </c>
      <c r="AG267" s="34">
        <v>0</v>
      </c>
      <c r="AH267" s="34">
        <v>0</v>
      </c>
      <c r="AI267" s="34">
        <v>0</v>
      </c>
      <c r="AJ267" s="34">
        <v>0</v>
      </c>
      <c r="AK267" s="34">
        <v>0</v>
      </c>
      <c r="AL267" s="34">
        <v>0</v>
      </c>
      <c r="AM267" s="34">
        <v>0</v>
      </c>
      <c r="AN267" s="34">
        <v>0</v>
      </c>
      <c r="AO267" s="34">
        <v>0</v>
      </c>
      <c r="AP267" s="34">
        <v>565.09285328999999</v>
      </c>
      <c r="AQ267" s="34">
        <f t="shared" si="56"/>
        <v>565.09285328999999</v>
      </c>
      <c r="AR267" s="34">
        <f t="shared" si="57"/>
        <v>0</v>
      </c>
      <c r="AS267" s="34">
        <f t="shared" si="58"/>
        <v>0</v>
      </c>
      <c r="AT267" t="str">
        <f t="shared" si="59"/>
        <v>SIN BONUS</v>
      </c>
    </row>
    <row r="268" spans="1:46" x14ac:dyDescent="0.25">
      <c r="A268" t="s">
        <v>136</v>
      </c>
      <c r="B268" t="s">
        <v>189</v>
      </c>
      <c r="C268" s="34">
        <v>0</v>
      </c>
      <c r="D268" s="34">
        <v>0</v>
      </c>
      <c r="E268" s="34">
        <v>1708.4585000000002</v>
      </c>
      <c r="F268" s="34">
        <f t="shared" si="48"/>
        <v>1708.4585000000002</v>
      </c>
      <c r="G268" s="34">
        <v>0</v>
      </c>
      <c r="H268" s="34">
        <v>1708.4585000000002</v>
      </c>
      <c r="I268" s="34">
        <v>1757.6760600000002</v>
      </c>
      <c r="J268" s="34">
        <f t="shared" si="49"/>
        <v>49.217560000000049</v>
      </c>
      <c r="K268" s="34">
        <v>1757.6760600000002</v>
      </c>
      <c r="L268" s="34">
        <v>1757.6760600000002</v>
      </c>
      <c r="M268" s="34">
        <f t="shared" si="50"/>
        <v>0</v>
      </c>
      <c r="N268" s="34">
        <v>0</v>
      </c>
      <c r="O268" s="34">
        <v>0</v>
      </c>
      <c r="P268" s="34">
        <f t="shared" si="51"/>
        <v>0</v>
      </c>
      <c r="Q268" s="34">
        <v>0</v>
      </c>
      <c r="R268" s="34">
        <v>0</v>
      </c>
      <c r="S268" s="34">
        <f t="shared" si="52"/>
        <v>0</v>
      </c>
      <c r="T268" s="34">
        <v>0</v>
      </c>
      <c r="U268" s="34">
        <v>0</v>
      </c>
      <c r="V268" s="34">
        <f t="shared" si="53"/>
        <v>0</v>
      </c>
      <c r="W268" s="34">
        <v>0</v>
      </c>
      <c r="X268" s="34">
        <v>0</v>
      </c>
      <c r="Y268" s="34">
        <v>0</v>
      </c>
      <c r="Z268" s="34">
        <v>0</v>
      </c>
      <c r="AA268" s="34">
        <v>0</v>
      </c>
      <c r="AB268" s="34">
        <v>0</v>
      </c>
      <c r="AC268" s="34">
        <v>0</v>
      </c>
      <c r="AD268" s="34">
        <v>114.24894390000001</v>
      </c>
      <c r="AE268" s="34">
        <f t="shared" si="54"/>
        <v>114.24894390000001</v>
      </c>
      <c r="AF268" s="34">
        <f t="shared" si="55"/>
        <v>0</v>
      </c>
      <c r="AG268" s="34">
        <v>0</v>
      </c>
      <c r="AH268" s="34">
        <v>0</v>
      </c>
      <c r="AI268" s="34">
        <v>0</v>
      </c>
      <c r="AJ268" s="34">
        <v>0</v>
      </c>
      <c r="AK268" s="34">
        <v>0</v>
      </c>
      <c r="AL268" s="34">
        <v>0</v>
      </c>
      <c r="AM268" s="34">
        <v>0</v>
      </c>
      <c r="AN268" s="34">
        <v>0</v>
      </c>
      <c r="AO268" s="34">
        <v>0</v>
      </c>
      <c r="AP268" s="34">
        <v>565.09285328999999</v>
      </c>
      <c r="AQ268" s="34">
        <f t="shared" si="56"/>
        <v>565.09285328999999</v>
      </c>
      <c r="AR268" s="34">
        <f t="shared" si="57"/>
        <v>0</v>
      </c>
      <c r="AS268" s="34">
        <f t="shared" si="58"/>
        <v>0</v>
      </c>
      <c r="AT268" t="str">
        <f t="shared" si="59"/>
        <v>SIN BONUS</v>
      </c>
    </row>
    <row r="269" spans="1:46" x14ac:dyDescent="0.25">
      <c r="A269" t="s">
        <v>138</v>
      </c>
      <c r="B269" t="s">
        <v>173</v>
      </c>
      <c r="C269" s="34">
        <v>9506</v>
      </c>
      <c r="D269" s="34">
        <v>792.16666666666663</v>
      </c>
      <c r="E269" s="34">
        <v>3009.0229166666668</v>
      </c>
      <c r="F269" s="34">
        <f t="shared" si="48"/>
        <v>3801.1895833333333</v>
      </c>
      <c r="G269" s="34">
        <v>0</v>
      </c>
      <c r="H269" s="34">
        <v>3009.0229166666668</v>
      </c>
      <c r="I269" s="34">
        <v>3763.8027291666667</v>
      </c>
      <c r="J269" s="34">
        <f t="shared" si="49"/>
        <v>754.77981249999993</v>
      </c>
      <c r="K269" s="34">
        <v>2947.1360625000002</v>
      </c>
      <c r="L269" s="34">
        <v>3739.3027291666667</v>
      </c>
      <c r="M269" s="34">
        <f t="shared" si="50"/>
        <v>792.16666666666652</v>
      </c>
      <c r="N269" s="34">
        <v>0</v>
      </c>
      <c r="O269" s="34">
        <v>0</v>
      </c>
      <c r="P269" s="34">
        <f t="shared" si="51"/>
        <v>0</v>
      </c>
      <c r="Q269" s="34">
        <v>0</v>
      </c>
      <c r="R269" s="34">
        <v>0</v>
      </c>
      <c r="S269" s="34">
        <f t="shared" si="52"/>
        <v>0</v>
      </c>
      <c r="T269" s="34">
        <v>0</v>
      </c>
      <c r="U269" s="34">
        <v>0</v>
      </c>
      <c r="V269" s="34">
        <f t="shared" si="53"/>
        <v>0</v>
      </c>
      <c r="W269" s="34">
        <v>38.383333333333326</v>
      </c>
      <c r="X269" s="34">
        <v>12.658333333333331</v>
      </c>
      <c r="Y269" s="34">
        <v>0.81666666666666654</v>
      </c>
      <c r="Z269" s="34">
        <v>1.2249999999999999</v>
      </c>
      <c r="AA269" s="34">
        <v>0</v>
      </c>
      <c r="AB269" s="34">
        <v>0</v>
      </c>
      <c r="AC269" s="34">
        <v>0</v>
      </c>
      <c r="AD269" s="34">
        <v>191.56384406250001</v>
      </c>
      <c r="AE269" s="34">
        <f t="shared" si="54"/>
        <v>244.64717739583335</v>
      </c>
      <c r="AF269" s="34">
        <f t="shared" si="55"/>
        <v>53.083333333333343</v>
      </c>
      <c r="AG269" s="34">
        <v>192.73333333333329</v>
      </c>
      <c r="AH269" s="34">
        <v>44.916666666666657</v>
      </c>
      <c r="AI269" s="34">
        <v>1.6333333333333331</v>
      </c>
      <c r="AJ269" s="34">
        <v>4.8999999999999995</v>
      </c>
      <c r="AK269" s="34">
        <v>6.1249999999999982</v>
      </c>
      <c r="AL269" s="34">
        <v>12.249999999999996</v>
      </c>
      <c r="AM269" s="34">
        <v>0</v>
      </c>
      <c r="AN269" s="34">
        <v>0</v>
      </c>
      <c r="AO269" s="34">
        <v>0</v>
      </c>
      <c r="AP269" s="34">
        <v>947.50424409375012</v>
      </c>
      <c r="AQ269" s="34">
        <f t="shared" si="56"/>
        <v>1210.0625774270834</v>
      </c>
      <c r="AR269" s="34">
        <f t="shared" si="57"/>
        <v>262.55833333333328</v>
      </c>
      <c r="AS269" s="34">
        <f t="shared" si="58"/>
        <v>315.64166666666665</v>
      </c>
      <c r="AT269" t="str">
        <f t="shared" si="59"/>
        <v>OK</v>
      </c>
    </row>
    <row r="270" spans="1:46" x14ac:dyDescent="0.25">
      <c r="A270" t="s">
        <v>138</v>
      </c>
      <c r="B270" t="s">
        <v>176</v>
      </c>
      <c r="C270" s="34">
        <v>9506</v>
      </c>
      <c r="D270" s="34">
        <v>792.16666666666663</v>
      </c>
      <c r="E270" s="34">
        <v>3009.0229166666668</v>
      </c>
      <c r="F270" s="34">
        <f t="shared" si="48"/>
        <v>3801.1895833333333</v>
      </c>
      <c r="G270" s="34">
        <v>0</v>
      </c>
      <c r="H270" s="34">
        <v>3009.0229166666668</v>
      </c>
      <c r="I270" s="34">
        <v>3763.8027291666667</v>
      </c>
      <c r="J270" s="34">
        <f t="shared" si="49"/>
        <v>754.77981249999993</v>
      </c>
      <c r="K270" s="34">
        <v>2947.1360625000002</v>
      </c>
      <c r="L270" s="34">
        <v>3739.3027291666667</v>
      </c>
      <c r="M270" s="34">
        <f t="shared" si="50"/>
        <v>792.16666666666652</v>
      </c>
      <c r="N270" s="34">
        <v>0</v>
      </c>
      <c r="O270" s="34">
        <v>0</v>
      </c>
      <c r="P270" s="34">
        <f t="shared" si="51"/>
        <v>0</v>
      </c>
      <c r="Q270" s="34">
        <v>0</v>
      </c>
      <c r="R270" s="34">
        <v>0</v>
      </c>
      <c r="S270" s="34">
        <f t="shared" si="52"/>
        <v>0</v>
      </c>
      <c r="T270" s="34">
        <v>0</v>
      </c>
      <c r="U270" s="34">
        <v>0</v>
      </c>
      <c r="V270" s="34">
        <f t="shared" si="53"/>
        <v>0</v>
      </c>
      <c r="W270" s="34">
        <v>38.383333333333326</v>
      </c>
      <c r="X270" s="34">
        <v>12.658333333333331</v>
      </c>
      <c r="Y270" s="34">
        <v>0.81666666666666654</v>
      </c>
      <c r="Z270" s="34">
        <v>1.2249999999999999</v>
      </c>
      <c r="AA270" s="34">
        <v>0</v>
      </c>
      <c r="AB270" s="34">
        <v>0</v>
      </c>
      <c r="AC270" s="34">
        <v>0</v>
      </c>
      <c r="AD270" s="34">
        <v>191.56384406250001</v>
      </c>
      <c r="AE270" s="34">
        <f t="shared" si="54"/>
        <v>244.64717739583335</v>
      </c>
      <c r="AF270" s="34">
        <f t="shared" si="55"/>
        <v>53.083333333333343</v>
      </c>
      <c r="AG270" s="34">
        <v>192.73333333333329</v>
      </c>
      <c r="AH270" s="34">
        <v>44.916666666666657</v>
      </c>
      <c r="AI270" s="34">
        <v>1.6333333333333331</v>
      </c>
      <c r="AJ270" s="34">
        <v>4.8999999999999995</v>
      </c>
      <c r="AK270" s="34">
        <v>6.1249999999999982</v>
      </c>
      <c r="AL270" s="34">
        <v>12.249999999999996</v>
      </c>
      <c r="AM270" s="34">
        <v>0</v>
      </c>
      <c r="AN270" s="34">
        <v>0</v>
      </c>
      <c r="AO270" s="34">
        <v>0</v>
      </c>
      <c r="AP270" s="34">
        <v>947.50424409375012</v>
      </c>
      <c r="AQ270" s="34">
        <f t="shared" si="56"/>
        <v>1210.0625774270834</v>
      </c>
      <c r="AR270" s="34">
        <f t="shared" si="57"/>
        <v>262.55833333333328</v>
      </c>
      <c r="AS270" s="34">
        <f t="shared" si="58"/>
        <v>315.64166666666665</v>
      </c>
      <c r="AT270" t="str">
        <f t="shared" si="59"/>
        <v>OK</v>
      </c>
    </row>
    <row r="271" spans="1:46" x14ac:dyDescent="0.25">
      <c r="A271" t="s">
        <v>138</v>
      </c>
      <c r="B271" t="s">
        <v>177</v>
      </c>
      <c r="C271" s="34">
        <v>9506</v>
      </c>
      <c r="D271" s="34">
        <v>792.16666666666663</v>
      </c>
      <c r="E271" s="34">
        <v>3009.0229166666668</v>
      </c>
      <c r="F271" s="34">
        <f t="shared" si="48"/>
        <v>3801.1895833333333</v>
      </c>
      <c r="G271" s="34">
        <v>0</v>
      </c>
      <c r="H271" s="34">
        <v>3009.0229166666668</v>
      </c>
      <c r="I271" s="34">
        <v>3763.8027291666667</v>
      </c>
      <c r="J271" s="34">
        <f t="shared" si="49"/>
        <v>754.77981249999993</v>
      </c>
      <c r="K271" s="34">
        <v>2947.1360625000002</v>
      </c>
      <c r="L271" s="34">
        <v>3739.3027291666667</v>
      </c>
      <c r="M271" s="34">
        <f t="shared" si="50"/>
        <v>792.16666666666652</v>
      </c>
      <c r="N271" s="34">
        <v>0</v>
      </c>
      <c r="O271" s="34">
        <v>0</v>
      </c>
      <c r="P271" s="34">
        <f t="shared" si="51"/>
        <v>0</v>
      </c>
      <c r="Q271" s="34">
        <v>0</v>
      </c>
      <c r="R271" s="34">
        <v>0</v>
      </c>
      <c r="S271" s="34">
        <f t="shared" si="52"/>
        <v>0</v>
      </c>
      <c r="T271" s="34">
        <v>0</v>
      </c>
      <c r="U271" s="34">
        <v>0</v>
      </c>
      <c r="V271" s="34">
        <f t="shared" si="53"/>
        <v>0</v>
      </c>
      <c r="W271" s="34">
        <v>38.383333333333326</v>
      </c>
      <c r="X271" s="34">
        <v>12.658333333333331</v>
      </c>
      <c r="Y271" s="34">
        <v>0.81666666666666654</v>
      </c>
      <c r="Z271" s="34">
        <v>1.2249999999999999</v>
      </c>
      <c r="AA271" s="34">
        <v>0</v>
      </c>
      <c r="AB271" s="34">
        <v>0</v>
      </c>
      <c r="AC271" s="34">
        <v>0</v>
      </c>
      <c r="AD271" s="34">
        <v>191.56384406250001</v>
      </c>
      <c r="AE271" s="34">
        <f t="shared" si="54"/>
        <v>244.64717739583335</v>
      </c>
      <c r="AF271" s="34">
        <f t="shared" si="55"/>
        <v>53.083333333333343</v>
      </c>
      <c r="AG271" s="34">
        <v>192.73333333333329</v>
      </c>
      <c r="AH271" s="34">
        <v>44.916666666666657</v>
      </c>
      <c r="AI271" s="34">
        <v>1.6333333333333331</v>
      </c>
      <c r="AJ271" s="34">
        <v>4.8999999999999995</v>
      </c>
      <c r="AK271" s="34">
        <v>6.1249999999999982</v>
      </c>
      <c r="AL271" s="34">
        <v>12.249999999999996</v>
      </c>
      <c r="AM271" s="34">
        <v>0</v>
      </c>
      <c r="AN271" s="34">
        <v>0</v>
      </c>
      <c r="AO271" s="34">
        <v>0</v>
      </c>
      <c r="AP271" s="34">
        <v>947.50424409375012</v>
      </c>
      <c r="AQ271" s="34">
        <f t="shared" si="56"/>
        <v>1210.0625774270834</v>
      </c>
      <c r="AR271" s="34">
        <f t="shared" si="57"/>
        <v>262.55833333333328</v>
      </c>
      <c r="AS271" s="34">
        <f t="shared" si="58"/>
        <v>315.64166666666665</v>
      </c>
      <c r="AT271" t="str">
        <f t="shared" si="59"/>
        <v>OK</v>
      </c>
    </row>
    <row r="272" spans="1:46" x14ac:dyDescent="0.25">
      <c r="A272" t="s">
        <v>138</v>
      </c>
      <c r="B272" t="s">
        <v>178</v>
      </c>
      <c r="C272" s="34">
        <v>9506</v>
      </c>
      <c r="D272" s="34">
        <v>792.16666666666663</v>
      </c>
      <c r="E272" s="34">
        <v>3009.0229166666668</v>
      </c>
      <c r="F272" s="34">
        <f t="shared" si="48"/>
        <v>3801.1895833333333</v>
      </c>
      <c r="G272" s="34">
        <v>0</v>
      </c>
      <c r="H272" s="34">
        <v>3009.0229166666668</v>
      </c>
      <c r="I272" s="34">
        <v>3763.8027291666667</v>
      </c>
      <c r="J272" s="34">
        <f t="shared" si="49"/>
        <v>754.77981249999993</v>
      </c>
      <c r="K272" s="34">
        <v>2947.1360625000002</v>
      </c>
      <c r="L272" s="34">
        <v>3739.3027291666667</v>
      </c>
      <c r="M272" s="34">
        <f t="shared" si="50"/>
        <v>792.16666666666652</v>
      </c>
      <c r="N272" s="34">
        <v>0</v>
      </c>
      <c r="O272" s="34">
        <v>0</v>
      </c>
      <c r="P272" s="34">
        <f t="shared" si="51"/>
        <v>0</v>
      </c>
      <c r="Q272" s="34">
        <v>0</v>
      </c>
      <c r="R272" s="34">
        <v>0</v>
      </c>
      <c r="S272" s="34">
        <f t="shared" si="52"/>
        <v>0</v>
      </c>
      <c r="T272" s="34">
        <v>0</v>
      </c>
      <c r="U272" s="34">
        <v>0</v>
      </c>
      <c r="V272" s="34">
        <f t="shared" si="53"/>
        <v>0</v>
      </c>
      <c r="W272" s="34">
        <v>38.383333333333326</v>
      </c>
      <c r="X272" s="34">
        <v>12.658333333333331</v>
      </c>
      <c r="Y272" s="34">
        <v>0.81666666666666654</v>
      </c>
      <c r="Z272" s="34">
        <v>1.2249999999999999</v>
      </c>
      <c r="AA272" s="34">
        <v>0</v>
      </c>
      <c r="AB272" s="34">
        <v>0</v>
      </c>
      <c r="AC272" s="34">
        <v>0</v>
      </c>
      <c r="AD272" s="34">
        <v>191.56384406250001</v>
      </c>
      <c r="AE272" s="34">
        <f t="shared" si="54"/>
        <v>244.64717739583335</v>
      </c>
      <c r="AF272" s="34">
        <f t="shared" si="55"/>
        <v>53.083333333333343</v>
      </c>
      <c r="AG272" s="34">
        <v>192.73333333333329</v>
      </c>
      <c r="AH272" s="34">
        <v>44.916666666666657</v>
      </c>
      <c r="AI272" s="34">
        <v>1.6333333333333331</v>
      </c>
      <c r="AJ272" s="34">
        <v>4.8999999999999995</v>
      </c>
      <c r="AK272" s="34">
        <v>6.1249999999999982</v>
      </c>
      <c r="AL272" s="34">
        <v>12.249999999999996</v>
      </c>
      <c r="AM272" s="34">
        <v>0</v>
      </c>
      <c r="AN272" s="34">
        <v>0</v>
      </c>
      <c r="AO272" s="34">
        <v>0</v>
      </c>
      <c r="AP272" s="34">
        <v>947.50424409375012</v>
      </c>
      <c r="AQ272" s="34">
        <f t="shared" si="56"/>
        <v>1210.0625774270834</v>
      </c>
      <c r="AR272" s="34">
        <f t="shared" si="57"/>
        <v>262.55833333333328</v>
      </c>
      <c r="AS272" s="34">
        <f t="shared" si="58"/>
        <v>315.64166666666665</v>
      </c>
      <c r="AT272" t="str">
        <f t="shared" si="59"/>
        <v>OK</v>
      </c>
    </row>
    <row r="273" spans="1:46" x14ac:dyDescent="0.25">
      <c r="A273" t="s">
        <v>138</v>
      </c>
      <c r="B273" t="s">
        <v>179</v>
      </c>
      <c r="C273" s="34">
        <v>9506</v>
      </c>
      <c r="D273" s="34">
        <v>792.16666666666663</v>
      </c>
      <c r="E273" s="34">
        <v>3009.0229166666668</v>
      </c>
      <c r="F273" s="34">
        <f t="shared" si="48"/>
        <v>3801.1895833333333</v>
      </c>
      <c r="G273" s="34">
        <v>0</v>
      </c>
      <c r="H273" s="34">
        <v>3009.0229166666668</v>
      </c>
      <c r="I273" s="34">
        <v>3763.8027291666667</v>
      </c>
      <c r="J273" s="34">
        <f t="shared" si="49"/>
        <v>754.77981249999993</v>
      </c>
      <c r="K273" s="34">
        <v>2947.1360625000002</v>
      </c>
      <c r="L273" s="34">
        <v>3739.3027291666667</v>
      </c>
      <c r="M273" s="34">
        <f t="shared" si="50"/>
        <v>792.16666666666652</v>
      </c>
      <c r="N273" s="34">
        <v>0</v>
      </c>
      <c r="O273" s="34">
        <v>0</v>
      </c>
      <c r="P273" s="34">
        <f t="shared" si="51"/>
        <v>0</v>
      </c>
      <c r="Q273" s="34">
        <v>0</v>
      </c>
      <c r="R273" s="34">
        <v>0</v>
      </c>
      <c r="S273" s="34">
        <f t="shared" si="52"/>
        <v>0</v>
      </c>
      <c r="T273" s="34">
        <v>0</v>
      </c>
      <c r="U273" s="34">
        <v>0</v>
      </c>
      <c r="V273" s="34">
        <f t="shared" si="53"/>
        <v>0</v>
      </c>
      <c r="W273" s="34">
        <v>38.383333333333326</v>
      </c>
      <c r="X273" s="34">
        <v>12.658333333333331</v>
      </c>
      <c r="Y273" s="34">
        <v>0.81666666666666654</v>
      </c>
      <c r="Z273" s="34">
        <v>1.2249999999999999</v>
      </c>
      <c r="AA273" s="34">
        <v>0</v>
      </c>
      <c r="AB273" s="34">
        <v>0</v>
      </c>
      <c r="AC273" s="34">
        <v>0</v>
      </c>
      <c r="AD273" s="34">
        <v>191.56384406250001</v>
      </c>
      <c r="AE273" s="34">
        <f t="shared" si="54"/>
        <v>244.64717739583335</v>
      </c>
      <c r="AF273" s="34">
        <f t="shared" si="55"/>
        <v>53.083333333333343</v>
      </c>
      <c r="AG273" s="34">
        <v>192.73333333333329</v>
      </c>
      <c r="AH273" s="34">
        <v>44.916666666666657</v>
      </c>
      <c r="AI273" s="34">
        <v>1.6333333333333331</v>
      </c>
      <c r="AJ273" s="34">
        <v>4.8999999999999995</v>
      </c>
      <c r="AK273" s="34">
        <v>6.1249999999999982</v>
      </c>
      <c r="AL273" s="34">
        <v>12.249999999999996</v>
      </c>
      <c r="AM273" s="34">
        <v>0</v>
      </c>
      <c r="AN273" s="34">
        <v>0</v>
      </c>
      <c r="AO273" s="34">
        <v>0</v>
      </c>
      <c r="AP273" s="34">
        <v>947.50424409375012</v>
      </c>
      <c r="AQ273" s="34">
        <f t="shared" si="56"/>
        <v>1210.0625774270834</v>
      </c>
      <c r="AR273" s="34">
        <f t="shared" si="57"/>
        <v>262.55833333333328</v>
      </c>
      <c r="AS273" s="34">
        <f t="shared" si="58"/>
        <v>315.64166666666665</v>
      </c>
      <c r="AT273" t="str">
        <f t="shared" si="59"/>
        <v>OK</v>
      </c>
    </row>
    <row r="274" spans="1:46" x14ac:dyDescent="0.25">
      <c r="A274" t="s">
        <v>138</v>
      </c>
      <c r="B274" t="s">
        <v>180</v>
      </c>
      <c r="C274" s="34">
        <v>9506</v>
      </c>
      <c r="D274" s="34">
        <v>792.16666666666663</v>
      </c>
      <c r="E274" s="34">
        <v>3009.0229166666668</v>
      </c>
      <c r="F274" s="34">
        <f t="shared" si="48"/>
        <v>3801.1895833333333</v>
      </c>
      <c r="G274" s="34">
        <v>0</v>
      </c>
      <c r="H274" s="34">
        <v>3009.0229166666668</v>
      </c>
      <c r="I274" s="34">
        <v>3763.8027291666667</v>
      </c>
      <c r="J274" s="34">
        <f t="shared" si="49"/>
        <v>754.77981249999993</v>
      </c>
      <c r="K274" s="34">
        <v>2947.1360625000002</v>
      </c>
      <c r="L274" s="34">
        <v>3739.3027291666667</v>
      </c>
      <c r="M274" s="34">
        <f t="shared" si="50"/>
        <v>792.16666666666652</v>
      </c>
      <c r="N274" s="34">
        <v>0</v>
      </c>
      <c r="O274" s="34">
        <v>0</v>
      </c>
      <c r="P274" s="34">
        <f t="shared" si="51"/>
        <v>0</v>
      </c>
      <c r="Q274" s="34">
        <v>0</v>
      </c>
      <c r="R274" s="34">
        <v>0</v>
      </c>
      <c r="S274" s="34">
        <f t="shared" si="52"/>
        <v>0</v>
      </c>
      <c r="T274" s="34">
        <v>0</v>
      </c>
      <c r="U274" s="34">
        <v>0</v>
      </c>
      <c r="V274" s="34">
        <f t="shared" si="53"/>
        <v>0</v>
      </c>
      <c r="W274" s="34">
        <v>38.383333333333326</v>
      </c>
      <c r="X274" s="34">
        <v>12.658333333333331</v>
      </c>
      <c r="Y274" s="34">
        <v>0.81666666666666654</v>
      </c>
      <c r="Z274" s="34">
        <v>1.2249999999999999</v>
      </c>
      <c r="AA274" s="34">
        <v>0</v>
      </c>
      <c r="AB274" s="34">
        <v>0</v>
      </c>
      <c r="AC274" s="34">
        <v>0</v>
      </c>
      <c r="AD274" s="34">
        <v>191.56384406250001</v>
      </c>
      <c r="AE274" s="34">
        <f t="shared" si="54"/>
        <v>244.64717739583335</v>
      </c>
      <c r="AF274" s="34">
        <f t="shared" si="55"/>
        <v>53.083333333333343</v>
      </c>
      <c r="AG274" s="34">
        <v>192.73333333333329</v>
      </c>
      <c r="AH274" s="34">
        <v>44.916666666666657</v>
      </c>
      <c r="AI274" s="34">
        <v>1.6333333333333331</v>
      </c>
      <c r="AJ274" s="34">
        <v>4.8999999999999995</v>
      </c>
      <c r="AK274" s="34">
        <v>6.1249999999999982</v>
      </c>
      <c r="AL274" s="34">
        <v>12.249999999999996</v>
      </c>
      <c r="AM274" s="34">
        <v>0</v>
      </c>
      <c r="AN274" s="34">
        <v>0</v>
      </c>
      <c r="AO274" s="34">
        <v>0</v>
      </c>
      <c r="AP274" s="34">
        <v>947.50424409375012</v>
      </c>
      <c r="AQ274" s="34">
        <f t="shared" si="56"/>
        <v>1210.0625774270834</v>
      </c>
      <c r="AR274" s="34">
        <f t="shared" si="57"/>
        <v>262.55833333333328</v>
      </c>
      <c r="AS274" s="34">
        <f t="shared" si="58"/>
        <v>315.64166666666665</v>
      </c>
      <c r="AT274" t="str">
        <f t="shared" si="59"/>
        <v>OK</v>
      </c>
    </row>
    <row r="275" spans="1:46" x14ac:dyDescent="0.25">
      <c r="A275" t="s">
        <v>138</v>
      </c>
      <c r="B275" t="s">
        <v>183</v>
      </c>
      <c r="C275" s="34">
        <v>9506</v>
      </c>
      <c r="D275" s="34">
        <v>792.16666666666663</v>
      </c>
      <c r="E275" s="34">
        <v>3009.0229166666668</v>
      </c>
      <c r="F275" s="34">
        <f t="shared" si="48"/>
        <v>3801.1895833333333</v>
      </c>
      <c r="G275" s="34">
        <v>0</v>
      </c>
      <c r="H275" s="34">
        <v>3009.0229166666668</v>
      </c>
      <c r="I275" s="34">
        <v>3763.8027291666667</v>
      </c>
      <c r="J275" s="34">
        <f t="shared" si="49"/>
        <v>754.77981249999993</v>
      </c>
      <c r="K275" s="34">
        <v>2947.1360625000002</v>
      </c>
      <c r="L275" s="34">
        <v>3739.3027291666667</v>
      </c>
      <c r="M275" s="34">
        <f t="shared" si="50"/>
        <v>792.16666666666652</v>
      </c>
      <c r="N275" s="34">
        <v>0</v>
      </c>
      <c r="O275" s="34">
        <v>0</v>
      </c>
      <c r="P275" s="34">
        <f t="shared" si="51"/>
        <v>0</v>
      </c>
      <c r="Q275" s="34">
        <v>0</v>
      </c>
      <c r="R275" s="34">
        <v>0</v>
      </c>
      <c r="S275" s="34">
        <f t="shared" si="52"/>
        <v>0</v>
      </c>
      <c r="T275" s="34">
        <v>0</v>
      </c>
      <c r="U275" s="34">
        <v>0</v>
      </c>
      <c r="V275" s="34">
        <f t="shared" si="53"/>
        <v>0</v>
      </c>
      <c r="W275" s="34">
        <v>38.383333333333326</v>
      </c>
      <c r="X275" s="34">
        <v>12.658333333333331</v>
      </c>
      <c r="Y275" s="34">
        <v>0.81666666666666654</v>
      </c>
      <c r="Z275" s="34">
        <v>1.2249999999999999</v>
      </c>
      <c r="AA275" s="34">
        <v>0</v>
      </c>
      <c r="AB275" s="34">
        <v>0</v>
      </c>
      <c r="AC275" s="34">
        <v>0</v>
      </c>
      <c r="AD275" s="34">
        <v>191.56384406250001</v>
      </c>
      <c r="AE275" s="34">
        <f t="shared" si="54"/>
        <v>244.64717739583335</v>
      </c>
      <c r="AF275" s="34">
        <f t="shared" si="55"/>
        <v>53.083333333333343</v>
      </c>
      <c r="AG275" s="34">
        <v>192.73333333333329</v>
      </c>
      <c r="AH275" s="34">
        <v>44.916666666666657</v>
      </c>
      <c r="AI275" s="34">
        <v>1.6333333333333331</v>
      </c>
      <c r="AJ275" s="34">
        <v>4.8999999999999995</v>
      </c>
      <c r="AK275" s="34">
        <v>6.1249999999999982</v>
      </c>
      <c r="AL275" s="34">
        <v>12.249999999999996</v>
      </c>
      <c r="AM275" s="34">
        <v>0</v>
      </c>
      <c r="AN275" s="34">
        <v>0</v>
      </c>
      <c r="AO275" s="34">
        <v>0</v>
      </c>
      <c r="AP275" s="34">
        <v>947.50424409375012</v>
      </c>
      <c r="AQ275" s="34">
        <f t="shared" si="56"/>
        <v>1210.0625774270834</v>
      </c>
      <c r="AR275" s="34">
        <f t="shared" si="57"/>
        <v>262.55833333333328</v>
      </c>
      <c r="AS275" s="34">
        <f t="shared" si="58"/>
        <v>315.64166666666665</v>
      </c>
      <c r="AT275" t="str">
        <f t="shared" si="59"/>
        <v>OK</v>
      </c>
    </row>
    <row r="276" spans="1:46" x14ac:dyDescent="0.25">
      <c r="A276" t="s">
        <v>138</v>
      </c>
      <c r="B276" t="s">
        <v>184</v>
      </c>
      <c r="C276" s="34">
        <v>9506</v>
      </c>
      <c r="D276" s="34">
        <v>792.16666666666663</v>
      </c>
      <c r="E276" s="34">
        <v>3009.0229166666668</v>
      </c>
      <c r="F276" s="34">
        <f t="shared" si="48"/>
        <v>3801.1895833333333</v>
      </c>
      <c r="G276" s="34">
        <v>0</v>
      </c>
      <c r="H276" s="34">
        <v>3009.0229166666668</v>
      </c>
      <c r="I276" s="34">
        <v>3763.8027291666667</v>
      </c>
      <c r="J276" s="34">
        <f t="shared" si="49"/>
        <v>754.77981249999993</v>
      </c>
      <c r="K276" s="34">
        <v>2947.1360625000002</v>
      </c>
      <c r="L276" s="34">
        <v>3739.3027291666667</v>
      </c>
      <c r="M276" s="34">
        <f t="shared" si="50"/>
        <v>792.16666666666652</v>
      </c>
      <c r="N276" s="34">
        <v>0</v>
      </c>
      <c r="O276" s="34">
        <v>0</v>
      </c>
      <c r="P276" s="34">
        <f t="shared" si="51"/>
        <v>0</v>
      </c>
      <c r="Q276" s="34">
        <v>0</v>
      </c>
      <c r="R276" s="34">
        <v>0</v>
      </c>
      <c r="S276" s="34">
        <f t="shared" si="52"/>
        <v>0</v>
      </c>
      <c r="T276" s="34">
        <v>0</v>
      </c>
      <c r="U276" s="34">
        <v>0</v>
      </c>
      <c r="V276" s="34">
        <f t="shared" si="53"/>
        <v>0</v>
      </c>
      <c r="W276" s="34">
        <v>38.383333333333326</v>
      </c>
      <c r="X276" s="34">
        <v>12.658333333333331</v>
      </c>
      <c r="Y276" s="34">
        <v>0.81666666666666654</v>
      </c>
      <c r="Z276" s="34">
        <v>1.2249999999999999</v>
      </c>
      <c r="AA276" s="34">
        <v>0</v>
      </c>
      <c r="AB276" s="34">
        <v>0</v>
      </c>
      <c r="AC276" s="34">
        <v>0</v>
      </c>
      <c r="AD276" s="34">
        <v>191.56384406250001</v>
      </c>
      <c r="AE276" s="34">
        <f t="shared" si="54"/>
        <v>244.64717739583335</v>
      </c>
      <c r="AF276" s="34">
        <f t="shared" si="55"/>
        <v>53.083333333333343</v>
      </c>
      <c r="AG276" s="34">
        <v>192.73333333333329</v>
      </c>
      <c r="AH276" s="34">
        <v>44.916666666666657</v>
      </c>
      <c r="AI276" s="34">
        <v>1.6333333333333331</v>
      </c>
      <c r="AJ276" s="34">
        <v>4.8999999999999995</v>
      </c>
      <c r="AK276" s="34">
        <v>6.1249999999999982</v>
      </c>
      <c r="AL276" s="34">
        <v>12.249999999999996</v>
      </c>
      <c r="AM276" s="34">
        <v>0</v>
      </c>
      <c r="AN276" s="34">
        <v>0</v>
      </c>
      <c r="AO276" s="34">
        <v>0</v>
      </c>
      <c r="AP276" s="34">
        <v>947.50424409375012</v>
      </c>
      <c r="AQ276" s="34">
        <f t="shared" si="56"/>
        <v>1210.0625774270834</v>
      </c>
      <c r="AR276" s="34">
        <f t="shared" si="57"/>
        <v>262.55833333333328</v>
      </c>
      <c r="AS276" s="34">
        <f t="shared" si="58"/>
        <v>315.64166666666665</v>
      </c>
      <c r="AT276" t="str">
        <f t="shared" si="59"/>
        <v>OK</v>
      </c>
    </row>
    <row r="277" spans="1:46" x14ac:dyDescent="0.25">
      <c r="A277" t="s">
        <v>138</v>
      </c>
      <c r="B277" t="s">
        <v>185</v>
      </c>
      <c r="C277" s="34">
        <v>9506</v>
      </c>
      <c r="D277" s="34">
        <v>792.16666666666663</v>
      </c>
      <c r="E277" s="34">
        <v>3009.0229166666668</v>
      </c>
      <c r="F277" s="34">
        <f t="shared" si="48"/>
        <v>3801.1895833333333</v>
      </c>
      <c r="G277" s="34">
        <v>0</v>
      </c>
      <c r="H277" s="34">
        <v>3009.0229166666668</v>
      </c>
      <c r="I277" s="34">
        <v>3763.8027291666667</v>
      </c>
      <c r="J277" s="34">
        <f t="shared" si="49"/>
        <v>754.77981249999993</v>
      </c>
      <c r="K277" s="34">
        <v>2947.1360625000002</v>
      </c>
      <c r="L277" s="34">
        <v>3739.3027291666667</v>
      </c>
      <c r="M277" s="34">
        <f t="shared" si="50"/>
        <v>792.16666666666652</v>
      </c>
      <c r="N277" s="34">
        <v>0</v>
      </c>
      <c r="O277" s="34">
        <v>0</v>
      </c>
      <c r="P277" s="34">
        <f t="shared" si="51"/>
        <v>0</v>
      </c>
      <c r="Q277" s="34">
        <v>0</v>
      </c>
      <c r="R277" s="34">
        <v>0</v>
      </c>
      <c r="S277" s="34">
        <f t="shared" si="52"/>
        <v>0</v>
      </c>
      <c r="T277" s="34">
        <v>0</v>
      </c>
      <c r="U277" s="34">
        <v>0</v>
      </c>
      <c r="V277" s="34">
        <f t="shared" si="53"/>
        <v>0</v>
      </c>
      <c r="W277" s="34">
        <v>38.383333333333326</v>
      </c>
      <c r="X277" s="34">
        <v>12.658333333333331</v>
      </c>
      <c r="Y277" s="34">
        <v>0.81666666666666654</v>
      </c>
      <c r="Z277" s="34">
        <v>1.2249999999999999</v>
      </c>
      <c r="AA277" s="34">
        <v>0</v>
      </c>
      <c r="AB277" s="34">
        <v>0</v>
      </c>
      <c r="AC277" s="34">
        <v>0</v>
      </c>
      <c r="AD277" s="34">
        <v>191.56384406250001</v>
      </c>
      <c r="AE277" s="34">
        <f t="shared" si="54"/>
        <v>244.64717739583335</v>
      </c>
      <c r="AF277" s="34">
        <f t="shared" si="55"/>
        <v>53.083333333333343</v>
      </c>
      <c r="AG277" s="34">
        <v>192.73333333333329</v>
      </c>
      <c r="AH277" s="34">
        <v>44.916666666666657</v>
      </c>
      <c r="AI277" s="34">
        <v>1.6333333333333331</v>
      </c>
      <c r="AJ277" s="34">
        <v>4.8999999999999995</v>
      </c>
      <c r="AK277" s="34">
        <v>6.1249999999999982</v>
      </c>
      <c r="AL277" s="34">
        <v>12.249999999999996</v>
      </c>
      <c r="AM277" s="34">
        <v>0</v>
      </c>
      <c r="AN277" s="34">
        <v>0</v>
      </c>
      <c r="AO277" s="34">
        <v>0</v>
      </c>
      <c r="AP277" s="34">
        <v>947.50424409375012</v>
      </c>
      <c r="AQ277" s="34">
        <f t="shared" si="56"/>
        <v>1210.0625774270834</v>
      </c>
      <c r="AR277" s="34">
        <f t="shared" si="57"/>
        <v>262.55833333333328</v>
      </c>
      <c r="AS277" s="34">
        <f t="shared" si="58"/>
        <v>315.64166666666665</v>
      </c>
      <c r="AT277" t="str">
        <f t="shared" si="59"/>
        <v>OK</v>
      </c>
    </row>
    <row r="278" spans="1:46" x14ac:dyDescent="0.25">
      <c r="A278" t="s">
        <v>138</v>
      </c>
      <c r="B278" t="s">
        <v>186</v>
      </c>
      <c r="C278" s="34">
        <v>9506</v>
      </c>
      <c r="D278" s="34">
        <v>792.16666666666663</v>
      </c>
      <c r="E278" s="34">
        <v>3009.0229166666668</v>
      </c>
      <c r="F278" s="34">
        <f t="shared" si="48"/>
        <v>3801.1895833333333</v>
      </c>
      <c r="G278" s="34">
        <v>0</v>
      </c>
      <c r="H278" s="34">
        <v>3009.0229166666668</v>
      </c>
      <c r="I278" s="34">
        <v>3763.8027291666667</v>
      </c>
      <c r="J278" s="34">
        <f t="shared" si="49"/>
        <v>754.77981249999993</v>
      </c>
      <c r="K278" s="34">
        <v>2947.1360625000002</v>
      </c>
      <c r="L278" s="34">
        <v>3739.3027291666667</v>
      </c>
      <c r="M278" s="34">
        <f t="shared" si="50"/>
        <v>792.16666666666652</v>
      </c>
      <c r="N278" s="34">
        <v>0</v>
      </c>
      <c r="O278" s="34">
        <v>0</v>
      </c>
      <c r="P278" s="34">
        <f t="shared" si="51"/>
        <v>0</v>
      </c>
      <c r="Q278" s="34">
        <v>0</v>
      </c>
      <c r="R278" s="34">
        <v>0</v>
      </c>
      <c r="S278" s="34">
        <f t="shared" si="52"/>
        <v>0</v>
      </c>
      <c r="T278" s="34">
        <v>0</v>
      </c>
      <c r="U278" s="34">
        <v>0</v>
      </c>
      <c r="V278" s="34">
        <f t="shared" si="53"/>
        <v>0</v>
      </c>
      <c r="W278" s="34">
        <v>38.383333333333326</v>
      </c>
      <c r="X278" s="34">
        <v>12.658333333333331</v>
      </c>
      <c r="Y278" s="34">
        <v>0.81666666666666654</v>
      </c>
      <c r="Z278" s="34">
        <v>1.2249999999999999</v>
      </c>
      <c r="AA278" s="34">
        <v>0</v>
      </c>
      <c r="AB278" s="34">
        <v>0</v>
      </c>
      <c r="AC278" s="34">
        <v>0</v>
      </c>
      <c r="AD278" s="34">
        <v>191.56384406250001</v>
      </c>
      <c r="AE278" s="34">
        <f t="shared" si="54"/>
        <v>244.64717739583335</v>
      </c>
      <c r="AF278" s="34">
        <f t="shared" si="55"/>
        <v>53.083333333333343</v>
      </c>
      <c r="AG278" s="34">
        <v>192.73333333333329</v>
      </c>
      <c r="AH278" s="34">
        <v>44.916666666666657</v>
      </c>
      <c r="AI278" s="34">
        <v>1.6333333333333331</v>
      </c>
      <c r="AJ278" s="34">
        <v>4.8999999999999995</v>
      </c>
      <c r="AK278" s="34">
        <v>6.1249999999999982</v>
      </c>
      <c r="AL278" s="34">
        <v>12.249999999999996</v>
      </c>
      <c r="AM278" s="34">
        <v>0</v>
      </c>
      <c r="AN278" s="34">
        <v>0</v>
      </c>
      <c r="AO278" s="34">
        <v>0</v>
      </c>
      <c r="AP278" s="34">
        <v>947.50424409375012</v>
      </c>
      <c r="AQ278" s="34">
        <f t="shared" si="56"/>
        <v>1210.0625774270834</v>
      </c>
      <c r="AR278" s="34">
        <f t="shared" si="57"/>
        <v>262.55833333333328</v>
      </c>
      <c r="AS278" s="34">
        <f t="shared" si="58"/>
        <v>315.64166666666665</v>
      </c>
      <c r="AT278" t="str">
        <f t="shared" si="59"/>
        <v>OK</v>
      </c>
    </row>
    <row r="279" spans="1:46" x14ac:dyDescent="0.25">
      <c r="A279" t="s">
        <v>138</v>
      </c>
      <c r="B279" t="s">
        <v>187</v>
      </c>
      <c r="C279" s="34">
        <v>9506</v>
      </c>
      <c r="D279" s="34">
        <v>792.16666666666663</v>
      </c>
      <c r="E279" s="34">
        <v>3009.0229166666668</v>
      </c>
      <c r="F279" s="34">
        <f t="shared" si="48"/>
        <v>3801.1895833333333</v>
      </c>
      <c r="G279" s="34">
        <v>0</v>
      </c>
      <c r="H279" s="34">
        <v>3009.0229166666668</v>
      </c>
      <c r="I279" s="34">
        <v>3763.8027291666667</v>
      </c>
      <c r="J279" s="34">
        <f t="shared" si="49"/>
        <v>754.77981249999993</v>
      </c>
      <c r="K279" s="34">
        <v>2947.1360625000002</v>
      </c>
      <c r="L279" s="34">
        <v>3739.3027291666667</v>
      </c>
      <c r="M279" s="34">
        <f t="shared" si="50"/>
        <v>792.16666666666652</v>
      </c>
      <c r="N279" s="34">
        <v>0</v>
      </c>
      <c r="O279" s="34">
        <v>0</v>
      </c>
      <c r="P279" s="34">
        <f t="shared" si="51"/>
        <v>0</v>
      </c>
      <c r="Q279" s="34">
        <v>0</v>
      </c>
      <c r="R279" s="34">
        <v>0</v>
      </c>
      <c r="S279" s="34">
        <f t="shared" si="52"/>
        <v>0</v>
      </c>
      <c r="T279" s="34">
        <v>0</v>
      </c>
      <c r="U279" s="34">
        <v>0</v>
      </c>
      <c r="V279" s="34">
        <f t="shared" si="53"/>
        <v>0</v>
      </c>
      <c r="W279" s="34">
        <v>38.383333333333326</v>
      </c>
      <c r="X279" s="34">
        <v>12.658333333333331</v>
      </c>
      <c r="Y279" s="34">
        <v>0.81666666666666654</v>
      </c>
      <c r="Z279" s="34">
        <v>1.2249999999999999</v>
      </c>
      <c r="AA279" s="34">
        <v>0</v>
      </c>
      <c r="AB279" s="34">
        <v>0</v>
      </c>
      <c r="AC279" s="34">
        <v>0</v>
      </c>
      <c r="AD279" s="34">
        <v>191.56384406250001</v>
      </c>
      <c r="AE279" s="34">
        <f t="shared" si="54"/>
        <v>244.64717739583335</v>
      </c>
      <c r="AF279" s="34">
        <f t="shared" si="55"/>
        <v>53.083333333333343</v>
      </c>
      <c r="AG279" s="34">
        <v>192.73333333333329</v>
      </c>
      <c r="AH279" s="34">
        <v>44.916666666666657</v>
      </c>
      <c r="AI279" s="34">
        <v>1.6333333333333331</v>
      </c>
      <c r="AJ279" s="34">
        <v>4.8999999999999995</v>
      </c>
      <c r="AK279" s="34">
        <v>6.1249999999999982</v>
      </c>
      <c r="AL279" s="34">
        <v>12.249999999999996</v>
      </c>
      <c r="AM279" s="34">
        <v>0</v>
      </c>
      <c r="AN279" s="34">
        <v>0</v>
      </c>
      <c r="AO279" s="34">
        <v>0</v>
      </c>
      <c r="AP279" s="34">
        <v>947.50424409375012</v>
      </c>
      <c r="AQ279" s="34">
        <f t="shared" si="56"/>
        <v>1210.0625774270834</v>
      </c>
      <c r="AR279" s="34">
        <f t="shared" si="57"/>
        <v>262.55833333333328</v>
      </c>
      <c r="AS279" s="34">
        <f t="shared" si="58"/>
        <v>315.64166666666665</v>
      </c>
      <c r="AT279" t="str">
        <f t="shared" si="59"/>
        <v>OK</v>
      </c>
    </row>
    <row r="280" spans="1:46" x14ac:dyDescent="0.25">
      <c r="A280" t="s">
        <v>138</v>
      </c>
      <c r="B280" t="s">
        <v>189</v>
      </c>
      <c r="C280" s="34">
        <v>9506</v>
      </c>
      <c r="D280" s="34">
        <v>792.16666666666663</v>
      </c>
      <c r="E280" s="34">
        <v>3009.0229166666668</v>
      </c>
      <c r="F280" s="34">
        <f t="shared" si="48"/>
        <v>3801.1895833333333</v>
      </c>
      <c r="G280" s="34">
        <v>0</v>
      </c>
      <c r="H280" s="34">
        <v>3009.0229166666668</v>
      </c>
      <c r="I280" s="34">
        <v>3763.8027291666667</v>
      </c>
      <c r="J280" s="34">
        <f t="shared" si="49"/>
        <v>754.77981249999993</v>
      </c>
      <c r="K280" s="34">
        <v>2947.1360625000002</v>
      </c>
      <c r="L280" s="34">
        <v>3739.3027291666667</v>
      </c>
      <c r="M280" s="34">
        <f t="shared" si="50"/>
        <v>792.16666666666652</v>
      </c>
      <c r="N280" s="34">
        <v>0</v>
      </c>
      <c r="O280" s="34">
        <v>0</v>
      </c>
      <c r="P280" s="34">
        <f t="shared" si="51"/>
        <v>0</v>
      </c>
      <c r="Q280" s="34">
        <v>0</v>
      </c>
      <c r="R280" s="34">
        <v>0</v>
      </c>
      <c r="S280" s="34">
        <f t="shared" si="52"/>
        <v>0</v>
      </c>
      <c r="T280" s="34">
        <v>0</v>
      </c>
      <c r="U280" s="34">
        <v>0</v>
      </c>
      <c r="V280" s="34">
        <f t="shared" si="53"/>
        <v>0</v>
      </c>
      <c r="W280" s="34">
        <v>38.383333333333326</v>
      </c>
      <c r="X280" s="34">
        <v>12.658333333333331</v>
      </c>
      <c r="Y280" s="34">
        <v>0.81666666666666654</v>
      </c>
      <c r="Z280" s="34">
        <v>1.2249999999999999</v>
      </c>
      <c r="AA280" s="34">
        <v>0</v>
      </c>
      <c r="AB280" s="34">
        <v>0</v>
      </c>
      <c r="AC280" s="34">
        <v>0</v>
      </c>
      <c r="AD280" s="34">
        <v>191.56384406250001</v>
      </c>
      <c r="AE280" s="34">
        <f t="shared" si="54"/>
        <v>244.64717739583335</v>
      </c>
      <c r="AF280" s="34">
        <f t="shared" si="55"/>
        <v>53.083333333333343</v>
      </c>
      <c r="AG280" s="34">
        <v>192.73333333333329</v>
      </c>
      <c r="AH280" s="34">
        <v>44.916666666666657</v>
      </c>
      <c r="AI280" s="34">
        <v>1.6333333333333331</v>
      </c>
      <c r="AJ280" s="34">
        <v>4.8999999999999995</v>
      </c>
      <c r="AK280" s="34">
        <v>6.1249999999999982</v>
      </c>
      <c r="AL280" s="34">
        <v>12.249999999999996</v>
      </c>
      <c r="AM280" s="34">
        <v>0</v>
      </c>
      <c r="AN280" s="34">
        <v>0</v>
      </c>
      <c r="AO280" s="34">
        <v>0</v>
      </c>
      <c r="AP280" s="34">
        <v>947.50424409375012</v>
      </c>
      <c r="AQ280" s="34">
        <f t="shared" si="56"/>
        <v>1210.0625774270834</v>
      </c>
      <c r="AR280" s="34">
        <f t="shared" si="57"/>
        <v>262.55833333333328</v>
      </c>
      <c r="AS280" s="34">
        <f t="shared" si="58"/>
        <v>315.64166666666665</v>
      </c>
      <c r="AT280" t="str">
        <f t="shared" si="59"/>
        <v>OK</v>
      </c>
    </row>
    <row r="281" spans="1:46" x14ac:dyDescent="0.25">
      <c r="A281" t="s">
        <v>140</v>
      </c>
      <c r="B281" t="s">
        <v>173</v>
      </c>
      <c r="C281" s="34">
        <v>0</v>
      </c>
      <c r="D281" s="34">
        <v>0</v>
      </c>
      <c r="E281" s="34">
        <v>1804.3538333333331</v>
      </c>
      <c r="F281" s="34">
        <f t="shared" si="48"/>
        <v>1804.3538333333331</v>
      </c>
      <c r="G281" s="34">
        <v>0</v>
      </c>
      <c r="H281" s="34">
        <v>1804.3538333333331</v>
      </c>
      <c r="I281" s="34">
        <v>1831.8258000000001</v>
      </c>
      <c r="J281" s="34">
        <f t="shared" si="49"/>
        <v>27.471966666666958</v>
      </c>
      <c r="K281" s="34">
        <v>1831.8258000000001</v>
      </c>
      <c r="L281" s="34">
        <v>1831.8258000000001</v>
      </c>
      <c r="M281" s="34">
        <f t="shared" si="50"/>
        <v>0</v>
      </c>
      <c r="N281" s="34">
        <v>0</v>
      </c>
      <c r="O281" s="34">
        <v>0</v>
      </c>
      <c r="P281" s="34">
        <f t="shared" si="51"/>
        <v>0</v>
      </c>
      <c r="Q281" s="34">
        <v>0</v>
      </c>
      <c r="R281" s="34">
        <v>0</v>
      </c>
      <c r="S281" s="34">
        <f t="shared" si="52"/>
        <v>0</v>
      </c>
      <c r="T281" s="34">
        <v>0</v>
      </c>
      <c r="U281" s="34">
        <v>0</v>
      </c>
      <c r="V281" s="34">
        <f t="shared" si="53"/>
        <v>0</v>
      </c>
      <c r="W281" s="34">
        <v>0</v>
      </c>
      <c r="X281" s="34">
        <v>0</v>
      </c>
      <c r="Y281" s="34">
        <v>0</v>
      </c>
      <c r="Z281" s="34">
        <v>0</v>
      </c>
      <c r="AA281" s="34">
        <v>0</v>
      </c>
      <c r="AB281" s="34">
        <v>0</v>
      </c>
      <c r="AC281" s="34">
        <v>0</v>
      </c>
      <c r="AD281" s="34">
        <v>119.06867700000001</v>
      </c>
      <c r="AE281" s="34">
        <f t="shared" si="54"/>
        <v>119.06867700000001</v>
      </c>
      <c r="AF281" s="34">
        <f t="shared" si="55"/>
        <v>0</v>
      </c>
      <c r="AG281" s="34">
        <v>0</v>
      </c>
      <c r="AH281" s="34">
        <v>0</v>
      </c>
      <c r="AI281" s="34">
        <v>0</v>
      </c>
      <c r="AJ281" s="34">
        <v>0</v>
      </c>
      <c r="AK281" s="34">
        <v>0</v>
      </c>
      <c r="AL281" s="34">
        <v>0</v>
      </c>
      <c r="AM281" s="34">
        <v>0</v>
      </c>
      <c r="AN281" s="34">
        <v>0</v>
      </c>
      <c r="AO281" s="34">
        <v>0</v>
      </c>
      <c r="AP281" s="34">
        <v>588.93199470000002</v>
      </c>
      <c r="AQ281" s="34">
        <f t="shared" si="56"/>
        <v>588.93199470000002</v>
      </c>
      <c r="AR281" s="34">
        <f t="shared" si="57"/>
        <v>0</v>
      </c>
      <c r="AS281" s="34">
        <f t="shared" si="58"/>
        <v>0</v>
      </c>
      <c r="AT281" t="str">
        <f t="shared" si="59"/>
        <v>SIN BONUS</v>
      </c>
    </row>
    <row r="282" spans="1:46" x14ac:dyDescent="0.25">
      <c r="A282" t="s">
        <v>140</v>
      </c>
      <c r="B282" t="s">
        <v>176</v>
      </c>
      <c r="C282" s="34">
        <v>0</v>
      </c>
      <c r="D282" s="34">
        <v>0</v>
      </c>
      <c r="E282" s="34">
        <v>1804.3538333333331</v>
      </c>
      <c r="F282" s="34">
        <f t="shared" si="48"/>
        <v>1804.3538333333331</v>
      </c>
      <c r="G282" s="34">
        <v>0</v>
      </c>
      <c r="H282" s="34">
        <v>1804.3538333333331</v>
      </c>
      <c r="I282" s="34">
        <v>1831.8258000000001</v>
      </c>
      <c r="J282" s="34">
        <f t="shared" si="49"/>
        <v>27.471966666666958</v>
      </c>
      <c r="K282" s="34">
        <v>1831.8258000000001</v>
      </c>
      <c r="L282" s="34">
        <v>1831.8258000000001</v>
      </c>
      <c r="M282" s="34">
        <f t="shared" si="50"/>
        <v>0</v>
      </c>
      <c r="N282" s="34">
        <v>0</v>
      </c>
      <c r="O282" s="34">
        <v>0</v>
      </c>
      <c r="P282" s="34">
        <f t="shared" si="51"/>
        <v>0</v>
      </c>
      <c r="Q282" s="34">
        <v>0</v>
      </c>
      <c r="R282" s="34">
        <v>0</v>
      </c>
      <c r="S282" s="34">
        <f t="shared" si="52"/>
        <v>0</v>
      </c>
      <c r="T282" s="34">
        <v>0</v>
      </c>
      <c r="U282" s="34">
        <v>0</v>
      </c>
      <c r="V282" s="34">
        <f t="shared" si="53"/>
        <v>0</v>
      </c>
      <c r="W282" s="34">
        <v>0</v>
      </c>
      <c r="X282" s="34">
        <v>0</v>
      </c>
      <c r="Y282" s="34">
        <v>0</v>
      </c>
      <c r="Z282" s="34">
        <v>0</v>
      </c>
      <c r="AA282" s="34">
        <v>0</v>
      </c>
      <c r="AB282" s="34">
        <v>0</v>
      </c>
      <c r="AC282" s="34">
        <v>0</v>
      </c>
      <c r="AD282" s="34">
        <v>119.06867700000001</v>
      </c>
      <c r="AE282" s="34">
        <f t="shared" si="54"/>
        <v>119.06867700000001</v>
      </c>
      <c r="AF282" s="34">
        <f t="shared" si="55"/>
        <v>0</v>
      </c>
      <c r="AG282" s="34">
        <v>0</v>
      </c>
      <c r="AH282" s="34">
        <v>0</v>
      </c>
      <c r="AI282" s="34">
        <v>0</v>
      </c>
      <c r="AJ282" s="34">
        <v>0</v>
      </c>
      <c r="AK282" s="34">
        <v>0</v>
      </c>
      <c r="AL282" s="34">
        <v>0</v>
      </c>
      <c r="AM282" s="34">
        <v>0</v>
      </c>
      <c r="AN282" s="34">
        <v>0</v>
      </c>
      <c r="AO282" s="34">
        <v>0</v>
      </c>
      <c r="AP282" s="34">
        <v>588.93199470000002</v>
      </c>
      <c r="AQ282" s="34">
        <f t="shared" si="56"/>
        <v>588.93199470000002</v>
      </c>
      <c r="AR282" s="34">
        <f t="shared" si="57"/>
        <v>0</v>
      </c>
      <c r="AS282" s="34">
        <f t="shared" si="58"/>
        <v>0</v>
      </c>
      <c r="AT282" t="str">
        <f t="shared" si="59"/>
        <v>SIN BONUS</v>
      </c>
    </row>
    <row r="283" spans="1:46" x14ac:dyDescent="0.25">
      <c r="A283" t="s">
        <v>140</v>
      </c>
      <c r="B283" t="s">
        <v>177</v>
      </c>
      <c r="C283" s="34">
        <v>0</v>
      </c>
      <c r="D283" s="34">
        <v>0</v>
      </c>
      <c r="E283" s="34">
        <v>1804.3538333333331</v>
      </c>
      <c r="F283" s="34">
        <f t="shared" si="48"/>
        <v>1804.3538333333331</v>
      </c>
      <c r="G283" s="34">
        <v>0</v>
      </c>
      <c r="H283" s="34">
        <v>1804.3538333333331</v>
      </c>
      <c r="I283" s="34">
        <v>1831.8258000000001</v>
      </c>
      <c r="J283" s="34">
        <f t="shared" si="49"/>
        <v>27.471966666666958</v>
      </c>
      <c r="K283" s="34">
        <v>1831.8258000000001</v>
      </c>
      <c r="L283" s="34">
        <v>1831.8258000000001</v>
      </c>
      <c r="M283" s="34">
        <f t="shared" si="50"/>
        <v>0</v>
      </c>
      <c r="N283" s="34">
        <v>0</v>
      </c>
      <c r="O283" s="34">
        <v>0</v>
      </c>
      <c r="P283" s="34">
        <f t="shared" si="51"/>
        <v>0</v>
      </c>
      <c r="Q283" s="34">
        <v>0</v>
      </c>
      <c r="R283" s="34">
        <v>0</v>
      </c>
      <c r="S283" s="34">
        <f t="shared" si="52"/>
        <v>0</v>
      </c>
      <c r="T283" s="34">
        <v>0</v>
      </c>
      <c r="U283" s="34">
        <v>0</v>
      </c>
      <c r="V283" s="34">
        <f t="shared" si="53"/>
        <v>0</v>
      </c>
      <c r="W283" s="34">
        <v>0</v>
      </c>
      <c r="X283" s="34">
        <v>0</v>
      </c>
      <c r="Y283" s="34">
        <v>0</v>
      </c>
      <c r="Z283" s="34">
        <v>0</v>
      </c>
      <c r="AA283" s="34">
        <v>0</v>
      </c>
      <c r="AB283" s="34">
        <v>0</v>
      </c>
      <c r="AC283" s="34">
        <v>0</v>
      </c>
      <c r="AD283" s="34">
        <v>119.06867700000001</v>
      </c>
      <c r="AE283" s="34">
        <f t="shared" si="54"/>
        <v>119.06867700000001</v>
      </c>
      <c r="AF283" s="34">
        <f t="shared" si="55"/>
        <v>0</v>
      </c>
      <c r="AG283" s="34">
        <v>0</v>
      </c>
      <c r="AH283" s="34">
        <v>0</v>
      </c>
      <c r="AI283" s="34">
        <v>0</v>
      </c>
      <c r="AJ283" s="34">
        <v>0</v>
      </c>
      <c r="AK283" s="34">
        <v>0</v>
      </c>
      <c r="AL283" s="34">
        <v>0</v>
      </c>
      <c r="AM283" s="34">
        <v>0</v>
      </c>
      <c r="AN283" s="34">
        <v>0</v>
      </c>
      <c r="AO283" s="34">
        <v>0</v>
      </c>
      <c r="AP283" s="34">
        <v>588.93199470000002</v>
      </c>
      <c r="AQ283" s="34">
        <f t="shared" si="56"/>
        <v>588.93199470000002</v>
      </c>
      <c r="AR283" s="34">
        <f t="shared" si="57"/>
        <v>0</v>
      </c>
      <c r="AS283" s="34">
        <f t="shared" si="58"/>
        <v>0</v>
      </c>
      <c r="AT283" t="str">
        <f t="shared" si="59"/>
        <v>SIN BONUS</v>
      </c>
    </row>
    <row r="284" spans="1:46" x14ac:dyDescent="0.25">
      <c r="A284" t="s">
        <v>140</v>
      </c>
      <c r="B284" t="s">
        <v>178</v>
      </c>
      <c r="C284" s="34">
        <v>0</v>
      </c>
      <c r="D284" s="34">
        <v>0</v>
      </c>
      <c r="E284" s="34">
        <v>1804.3538333333331</v>
      </c>
      <c r="F284" s="34">
        <f t="shared" si="48"/>
        <v>1804.3538333333331</v>
      </c>
      <c r="G284" s="34">
        <v>0</v>
      </c>
      <c r="H284" s="34">
        <v>1804.3538333333331</v>
      </c>
      <c r="I284" s="34">
        <v>1831.8258000000001</v>
      </c>
      <c r="J284" s="34">
        <f t="shared" si="49"/>
        <v>27.471966666666958</v>
      </c>
      <c r="K284" s="34">
        <v>1831.8258000000001</v>
      </c>
      <c r="L284" s="34">
        <v>1831.8258000000001</v>
      </c>
      <c r="M284" s="34">
        <f t="shared" si="50"/>
        <v>0</v>
      </c>
      <c r="N284" s="34">
        <v>0</v>
      </c>
      <c r="O284" s="34">
        <v>0</v>
      </c>
      <c r="P284" s="34">
        <f t="shared" si="51"/>
        <v>0</v>
      </c>
      <c r="Q284" s="34">
        <v>0</v>
      </c>
      <c r="R284" s="34">
        <v>0</v>
      </c>
      <c r="S284" s="34">
        <f t="shared" si="52"/>
        <v>0</v>
      </c>
      <c r="T284" s="34">
        <v>0</v>
      </c>
      <c r="U284" s="34">
        <v>0</v>
      </c>
      <c r="V284" s="34">
        <f t="shared" si="53"/>
        <v>0</v>
      </c>
      <c r="W284" s="34">
        <v>0</v>
      </c>
      <c r="X284" s="34">
        <v>0</v>
      </c>
      <c r="Y284" s="34">
        <v>0</v>
      </c>
      <c r="Z284" s="34">
        <v>0</v>
      </c>
      <c r="AA284" s="34">
        <v>0</v>
      </c>
      <c r="AB284" s="34">
        <v>0</v>
      </c>
      <c r="AC284" s="34">
        <v>0</v>
      </c>
      <c r="AD284" s="34">
        <v>119.06867700000001</v>
      </c>
      <c r="AE284" s="34">
        <f t="shared" si="54"/>
        <v>119.06867700000001</v>
      </c>
      <c r="AF284" s="34">
        <f t="shared" si="55"/>
        <v>0</v>
      </c>
      <c r="AG284" s="34">
        <v>0</v>
      </c>
      <c r="AH284" s="34">
        <v>0</v>
      </c>
      <c r="AI284" s="34">
        <v>0</v>
      </c>
      <c r="AJ284" s="34">
        <v>0</v>
      </c>
      <c r="AK284" s="34">
        <v>0</v>
      </c>
      <c r="AL284" s="34">
        <v>0</v>
      </c>
      <c r="AM284" s="34">
        <v>0</v>
      </c>
      <c r="AN284" s="34">
        <v>0</v>
      </c>
      <c r="AO284" s="34">
        <v>0</v>
      </c>
      <c r="AP284" s="34">
        <v>588.93199470000002</v>
      </c>
      <c r="AQ284" s="34">
        <f t="shared" si="56"/>
        <v>588.93199470000002</v>
      </c>
      <c r="AR284" s="34">
        <f t="shared" si="57"/>
        <v>0</v>
      </c>
      <c r="AS284" s="34">
        <f t="shared" si="58"/>
        <v>0</v>
      </c>
      <c r="AT284" t="str">
        <f t="shared" si="59"/>
        <v>SIN BONUS</v>
      </c>
    </row>
    <row r="285" spans="1:46" x14ac:dyDescent="0.25">
      <c r="A285" t="s">
        <v>140</v>
      </c>
      <c r="B285" t="s">
        <v>179</v>
      </c>
      <c r="C285" s="34">
        <v>0</v>
      </c>
      <c r="D285" s="34">
        <v>0</v>
      </c>
      <c r="E285" s="34">
        <v>1804.3538333333331</v>
      </c>
      <c r="F285" s="34">
        <f t="shared" si="48"/>
        <v>1804.3538333333331</v>
      </c>
      <c r="G285" s="34">
        <v>0</v>
      </c>
      <c r="H285" s="34">
        <v>1804.3538333333331</v>
      </c>
      <c r="I285" s="34">
        <v>1911.4703999999999</v>
      </c>
      <c r="J285" s="34">
        <f t="shared" si="49"/>
        <v>107.11656666666681</v>
      </c>
      <c r="K285" s="34">
        <v>1911.4703999999999</v>
      </c>
      <c r="L285" s="34">
        <v>1911.4703999999999</v>
      </c>
      <c r="M285" s="34">
        <f t="shared" si="50"/>
        <v>0</v>
      </c>
      <c r="N285" s="34">
        <v>0</v>
      </c>
      <c r="O285" s="34">
        <v>0</v>
      </c>
      <c r="P285" s="34">
        <f t="shared" si="51"/>
        <v>0</v>
      </c>
      <c r="Q285" s="34">
        <v>0</v>
      </c>
      <c r="R285" s="34">
        <v>0</v>
      </c>
      <c r="S285" s="34">
        <f t="shared" si="52"/>
        <v>0</v>
      </c>
      <c r="T285" s="34">
        <v>0</v>
      </c>
      <c r="U285" s="34">
        <v>0</v>
      </c>
      <c r="V285" s="34">
        <f t="shared" si="53"/>
        <v>0</v>
      </c>
      <c r="W285" s="34">
        <v>0</v>
      </c>
      <c r="X285" s="34">
        <v>0</v>
      </c>
      <c r="Y285" s="34">
        <v>0</v>
      </c>
      <c r="Z285" s="34">
        <v>0</v>
      </c>
      <c r="AA285" s="34">
        <v>0</v>
      </c>
      <c r="AB285" s="34">
        <v>0</v>
      </c>
      <c r="AC285" s="34">
        <v>0</v>
      </c>
      <c r="AD285" s="34">
        <v>124.24557599999999</v>
      </c>
      <c r="AE285" s="34">
        <f t="shared" si="54"/>
        <v>124.24557599999999</v>
      </c>
      <c r="AF285" s="34">
        <f t="shared" si="55"/>
        <v>0</v>
      </c>
      <c r="AG285" s="34">
        <v>0</v>
      </c>
      <c r="AH285" s="34">
        <v>0</v>
      </c>
      <c r="AI285" s="34">
        <v>0</v>
      </c>
      <c r="AJ285" s="34">
        <v>0</v>
      </c>
      <c r="AK285" s="34">
        <v>0</v>
      </c>
      <c r="AL285" s="34">
        <v>0</v>
      </c>
      <c r="AM285" s="34">
        <v>0</v>
      </c>
      <c r="AN285" s="34">
        <v>0</v>
      </c>
      <c r="AO285" s="34">
        <v>0</v>
      </c>
      <c r="AP285" s="34">
        <v>614.53773360000002</v>
      </c>
      <c r="AQ285" s="34">
        <f t="shared" si="56"/>
        <v>614.53773360000002</v>
      </c>
      <c r="AR285" s="34">
        <f t="shared" si="57"/>
        <v>0</v>
      </c>
      <c r="AS285" s="34">
        <f t="shared" si="58"/>
        <v>0</v>
      </c>
      <c r="AT285" t="str">
        <f t="shared" si="59"/>
        <v>SIN BONUS</v>
      </c>
    </row>
    <row r="286" spans="1:46" x14ac:dyDescent="0.25">
      <c r="A286" t="s">
        <v>140</v>
      </c>
      <c r="B286" t="s">
        <v>180</v>
      </c>
      <c r="C286" s="34">
        <v>0</v>
      </c>
      <c r="D286" s="34">
        <v>0</v>
      </c>
      <c r="E286" s="34">
        <v>1804.3538333333331</v>
      </c>
      <c r="F286" s="34">
        <f t="shared" si="48"/>
        <v>1804.3538333333331</v>
      </c>
      <c r="G286" s="34">
        <v>0</v>
      </c>
      <c r="H286" s="34">
        <v>1804.3538333333331</v>
      </c>
      <c r="I286" s="34">
        <v>1911.4703999999999</v>
      </c>
      <c r="J286" s="34">
        <f t="shared" si="49"/>
        <v>107.11656666666681</v>
      </c>
      <c r="K286" s="34">
        <v>1911.4703999999999</v>
      </c>
      <c r="L286" s="34">
        <v>1911.4703999999999</v>
      </c>
      <c r="M286" s="34">
        <f t="shared" si="50"/>
        <v>0</v>
      </c>
      <c r="N286" s="34">
        <v>0</v>
      </c>
      <c r="O286" s="34">
        <v>0</v>
      </c>
      <c r="P286" s="34">
        <f t="shared" si="51"/>
        <v>0</v>
      </c>
      <c r="Q286" s="34">
        <v>0</v>
      </c>
      <c r="R286" s="34">
        <v>0</v>
      </c>
      <c r="S286" s="34">
        <f t="shared" si="52"/>
        <v>0</v>
      </c>
      <c r="T286" s="34">
        <v>0</v>
      </c>
      <c r="U286" s="34">
        <v>0</v>
      </c>
      <c r="V286" s="34">
        <f t="shared" si="53"/>
        <v>0</v>
      </c>
      <c r="W286" s="34">
        <v>0</v>
      </c>
      <c r="X286" s="34">
        <v>0</v>
      </c>
      <c r="Y286" s="34">
        <v>0</v>
      </c>
      <c r="Z286" s="34">
        <v>0</v>
      </c>
      <c r="AA286" s="34">
        <v>0</v>
      </c>
      <c r="AB286" s="34">
        <v>0</v>
      </c>
      <c r="AC286" s="34">
        <v>0</v>
      </c>
      <c r="AD286" s="34">
        <v>124.24557599999999</v>
      </c>
      <c r="AE286" s="34">
        <f t="shared" si="54"/>
        <v>124.24557599999999</v>
      </c>
      <c r="AF286" s="34">
        <f t="shared" si="55"/>
        <v>0</v>
      </c>
      <c r="AG286" s="34">
        <v>0</v>
      </c>
      <c r="AH286" s="34">
        <v>0</v>
      </c>
      <c r="AI286" s="34">
        <v>0</v>
      </c>
      <c r="AJ286" s="34">
        <v>0</v>
      </c>
      <c r="AK286" s="34">
        <v>0</v>
      </c>
      <c r="AL286" s="34">
        <v>0</v>
      </c>
      <c r="AM286" s="34">
        <v>0</v>
      </c>
      <c r="AN286" s="34">
        <v>0</v>
      </c>
      <c r="AO286" s="34">
        <v>0</v>
      </c>
      <c r="AP286" s="34">
        <v>614.53773360000002</v>
      </c>
      <c r="AQ286" s="34">
        <f t="shared" si="56"/>
        <v>614.53773360000002</v>
      </c>
      <c r="AR286" s="34">
        <f t="shared" si="57"/>
        <v>0</v>
      </c>
      <c r="AS286" s="34">
        <f t="shared" si="58"/>
        <v>0</v>
      </c>
      <c r="AT286" t="str">
        <f t="shared" si="59"/>
        <v>SIN BONUS</v>
      </c>
    </row>
    <row r="287" spans="1:46" x14ac:dyDescent="0.25">
      <c r="A287" t="s">
        <v>140</v>
      </c>
      <c r="B287" t="s">
        <v>183</v>
      </c>
      <c r="C287" s="34">
        <v>0</v>
      </c>
      <c r="D287" s="34">
        <v>0</v>
      </c>
      <c r="E287" s="34">
        <v>1804.3538333333331</v>
      </c>
      <c r="F287" s="34">
        <f t="shared" si="48"/>
        <v>1804.3538333333331</v>
      </c>
      <c r="G287" s="34">
        <v>0</v>
      </c>
      <c r="H287" s="34">
        <v>1804.3538333333331</v>
      </c>
      <c r="I287" s="34">
        <v>1911.4703999999999</v>
      </c>
      <c r="J287" s="34">
        <f t="shared" si="49"/>
        <v>107.11656666666681</v>
      </c>
      <c r="K287" s="34">
        <v>1911.4703999999999</v>
      </c>
      <c r="L287" s="34">
        <v>1911.4703999999999</v>
      </c>
      <c r="M287" s="34">
        <f t="shared" si="50"/>
        <v>0</v>
      </c>
      <c r="N287" s="34">
        <v>0</v>
      </c>
      <c r="O287" s="34">
        <v>0</v>
      </c>
      <c r="P287" s="34">
        <f t="shared" si="51"/>
        <v>0</v>
      </c>
      <c r="Q287" s="34">
        <v>0</v>
      </c>
      <c r="R287" s="34">
        <v>0</v>
      </c>
      <c r="S287" s="34">
        <f t="shared" si="52"/>
        <v>0</v>
      </c>
      <c r="T287" s="34">
        <v>0</v>
      </c>
      <c r="U287" s="34">
        <v>0</v>
      </c>
      <c r="V287" s="34">
        <f t="shared" si="53"/>
        <v>0</v>
      </c>
      <c r="W287" s="34">
        <v>0</v>
      </c>
      <c r="X287" s="34">
        <v>0</v>
      </c>
      <c r="Y287" s="34">
        <v>0</v>
      </c>
      <c r="Z287" s="34">
        <v>0</v>
      </c>
      <c r="AA287" s="34">
        <v>0</v>
      </c>
      <c r="AB287" s="34">
        <v>0</v>
      </c>
      <c r="AC287" s="34">
        <v>0</v>
      </c>
      <c r="AD287" s="34">
        <v>124.24557599999999</v>
      </c>
      <c r="AE287" s="34">
        <f t="shared" si="54"/>
        <v>124.24557599999999</v>
      </c>
      <c r="AF287" s="34">
        <f t="shared" si="55"/>
        <v>0</v>
      </c>
      <c r="AG287" s="34">
        <v>0</v>
      </c>
      <c r="AH287" s="34">
        <v>0</v>
      </c>
      <c r="AI287" s="34">
        <v>0</v>
      </c>
      <c r="AJ287" s="34">
        <v>0</v>
      </c>
      <c r="AK287" s="34">
        <v>0</v>
      </c>
      <c r="AL287" s="34">
        <v>0</v>
      </c>
      <c r="AM287" s="34">
        <v>0</v>
      </c>
      <c r="AN287" s="34">
        <v>0</v>
      </c>
      <c r="AO287" s="34">
        <v>0</v>
      </c>
      <c r="AP287" s="34">
        <v>614.53773360000002</v>
      </c>
      <c r="AQ287" s="34">
        <f t="shared" si="56"/>
        <v>614.53773360000002</v>
      </c>
      <c r="AR287" s="34">
        <f t="shared" si="57"/>
        <v>0</v>
      </c>
      <c r="AS287" s="34">
        <f t="shared" si="58"/>
        <v>0</v>
      </c>
      <c r="AT287" t="str">
        <f t="shared" si="59"/>
        <v>SIN BONUS</v>
      </c>
    </row>
    <row r="288" spans="1:46" x14ac:dyDescent="0.25">
      <c r="A288" t="s">
        <v>140</v>
      </c>
      <c r="B288" t="s">
        <v>184</v>
      </c>
      <c r="C288" s="34">
        <v>0</v>
      </c>
      <c r="D288" s="34">
        <v>0</v>
      </c>
      <c r="E288" s="34">
        <v>1804.3538333333331</v>
      </c>
      <c r="F288" s="34">
        <f t="shared" si="48"/>
        <v>1804.3538333333331</v>
      </c>
      <c r="G288" s="34">
        <v>0</v>
      </c>
      <c r="H288" s="34">
        <v>1804.3538333333331</v>
      </c>
      <c r="I288" s="34">
        <v>1911.4703999999999</v>
      </c>
      <c r="J288" s="34">
        <f t="shared" si="49"/>
        <v>107.11656666666681</v>
      </c>
      <c r="K288" s="34">
        <v>1911.4703999999999</v>
      </c>
      <c r="L288" s="34">
        <v>1911.4703999999999</v>
      </c>
      <c r="M288" s="34">
        <f t="shared" si="50"/>
        <v>0</v>
      </c>
      <c r="N288" s="34">
        <v>0</v>
      </c>
      <c r="O288" s="34">
        <v>0</v>
      </c>
      <c r="P288" s="34">
        <f t="shared" si="51"/>
        <v>0</v>
      </c>
      <c r="Q288" s="34">
        <v>0</v>
      </c>
      <c r="R288" s="34">
        <v>0</v>
      </c>
      <c r="S288" s="34">
        <f t="shared" si="52"/>
        <v>0</v>
      </c>
      <c r="T288" s="34">
        <v>0</v>
      </c>
      <c r="U288" s="34">
        <v>0</v>
      </c>
      <c r="V288" s="34">
        <f t="shared" si="53"/>
        <v>0</v>
      </c>
      <c r="W288" s="34">
        <v>0</v>
      </c>
      <c r="X288" s="34">
        <v>0</v>
      </c>
      <c r="Y288" s="34">
        <v>0</v>
      </c>
      <c r="Z288" s="34">
        <v>0</v>
      </c>
      <c r="AA288" s="34">
        <v>0</v>
      </c>
      <c r="AB288" s="34">
        <v>0</v>
      </c>
      <c r="AC288" s="34">
        <v>0</v>
      </c>
      <c r="AD288" s="34">
        <v>124.24557599999999</v>
      </c>
      <c r="AE288" s="34">
        <f t="shared" si="54"/>
        <v>124.24557599999999</v>
      </c>
      <c r="AF288" s="34">
        <f t="shared" si="55"/>
        <v>0</v>
      </c>
      <c r="AG288" s="34">
        <v>0</v>
      </c>
      <c r="AH288" s="34">
        <v>0</v>
      </c>
      <c r="AI288" s="34">
        <v>0</v>
      </c>
      <c r="AJ288" s="34">
        <v>0</v>
      </c>
      <c r="AK288" s="34">
        <v>0</v>
      </c>
      <c r="AL288" s="34">
        <v>0</v>
      </c>
      <c r="AM288" s="34">
        <v>0</v>
      </c>
      <c r="AN288" s="34">
        <v>0</v>
      </c>
      <c r="AO288" s="34">
        <v>0</v>
      </c>
      <c r="AP288" s="34">
        <v>614.53773360000002</v>
      </c>
      <c r="AQ288" s="34">
        <f t="shared" si="56"/>
        <v>614.53773360000002</v>
      </c>
      <c r="AR288" s="34">
        <f t="shared" si="57"/>
        <v>0</v>
      </c>
      <c r="AS288" s="34">
        <f t="shared" si="58"/>
        <v>0</v>
      </c>
      <c r="AT288" t="str">
        <f t="shared" si="59"/>
        <v>SIN BONUS</v>
      </c>
    </row>
    <row r="289" spans="1:46" x14ac:dyDescent="0.25">
      <c r="A289" t="s">
        <v>140</v>
      </c>
      <c r="B289" t="s">
        <v>185</v>
      </c>
      <c r="C289" s="34">
        <v>0</v>
      </c>
      <c r="D289" s="34">
        <v>0</v>
      </c>
      <c r="E289" s="34">
        <v>1882.8039999999999</v>
      </c>
      <c r="F289" s="34">
        <f t="shared" si="48"/>
        <v>1882.8039999999999</v>
      </c>
      <c r="G289" s="34">
        <v>0</v>
      </c>
      <c r="H289" s="34">
        <v>1882.8039999999999</v>
      </c>
      <c r="I289" s="34">
        <v>1911.4703999999999</v>
      </c>
      <c r="J289" s="34">
        <f t="shared" si="49"/>
        <v>28.666400000000067</v>
      </c>
      <c r="K289" s="34">
        <v>1911.4703999999999</v>
      </c>
      <c r="L289" s="34">
        <v>1911.4703999999999</v>
      </c>
      <c r="M289" s="34">
        <f t="shared" si="50"/>
        <v>0</v>
      </c>
      <c r="N289" s="34">
        <v>0</v>
      </c>
      <c r="O289" s="34">
        <v>0</v>
      </c>
      <c r="P289" s="34">
        <f t="shared" si="51"/>
        <v>0</v>
      </c>
      <c r="Q289" s="34">
        <v>0</v>
      </c>
      <c r="R289" s="34">
        <v>0</v>
      </c>
      <c r="S289" s="34">
        <f t="shared" si="52"/>
        <v>0</v>
      </c>
      <c r="T289" s="34">
        <v>0</v>
      </c>
      <c r="U289" s="34">
        <v>0</v>
      </c>
      <c r="V289" s="34">
        <f t="shared" si="53"/>
        <v>0</v>
      </c>
      <c r="W289" s="34">
        <v>0</v>
      </c>
      <c r="X289" s="34">
        <v>0</v>
      </c>
      <c r="Y289" s="34">
        <v>0</v>
      </c>
      <c r="Z289" s="34">
        <v>0</v>
      </c>
      <c r="AA289" s="34">
        <v>0</v>
      </c>
      <c r="AB289" s="34">
        <v>0</v>
      </c>
      <c r="AC289" s="34">
        <v>0</v>
      </c>
      <c r="AD289" s="34">
        <v>124.24557599999999</v>
      </c>
      <c r="AE289" s="34">
        <f t="shared" si="54"/>
        <v>124.24557599999999</v>
      </c>
      <c r="AF289" s="34">
        <f t="shared" si="55"/>
        <v>0</v>
      </c>
      <c r="AG289" s="34">
        <v>0</v>
      </c>
      <c r="AH289" s="34">
        <v>0</v>
      </c>
      <c r="AI289" s="34">
        <v>0</v>
      </c>
      <c r="AJ289" s="34">
        <v>0</v>
      </c>
      <c r="AK289" s="34">
        <v>0</v>
      </c>
      <c r="AL289" s="34">
        <v>0</v>
      </c>
      <c r="AM289" s="34">
        <v>0</v>
      </c>
      <c r="AN289" s="34">
        <v>0</v>
      </c>
      <c r="AO289" s="34">
        <v>0</v>
      </c>
      <c r="AP289" s="34">
        <v>614.53773360000002</v>
      </c>
      <c r="AQ289" s="34">
        <f t="shared" si="56"/>
        <v>614.53773360000002</v>
      </c>
      <c r="AR289" s="34">
        <f t="shared" si="57"/>
        <v>0</v>
      </c>
      <c r="AS289" s="34">
        <f t="shared" si="58"/>
        <v>0</v>
      </c>
      <c r="AT289" t="str">
        <f t="shared" si="59"/>
        <v>SIN BONUS</v>
      </c>
    </row>
    <row r="290" spans="1:46" x14ac:dyDescent="0.25">
      <c r="A290" t="s">
        <v>140</v>
      </c>
      <c r="B290" t="s">
        <v>186</v>
      </c>
      <c r="C290" s="34">
        <v>0</v>
      </c>
      <c r="D290" s="34">
        <v>0</v>
      </c>
      <c r="E290" s="34">
        <v>1882.8039999999999</v>
      </c>
      <c r="F290" s="34">
        <f t="shared" si="48"/>
        <v>1882.8039999999999</v>
      </c>
      <c r="G290" s="34">
        <v>0</v>
      </c>
      <c r="H290" s="34">
        <v>1882.8039999999999</v>
      </c>
      <c r="I290" s="34">
        <v>1911.4703999999999</v>
      </c>
      <c r="J290" s="34">
        <f t="shared" si="49"/>
        <v>28.666400000000067</v>
      </c>
      <c r="K290" s="34">
        <v>1911.4703999999999</v>
      </c>
      <c r="L290" s="34">
        <v>1911.4703999999999</v>
      </c>
      <c r="M290" s="34">
        <f t="shared" si="50"/>
        <v>0</v>
      </c>
      <c r="N290" s="34">
        <v>0</v>
      </c>
      <c r="O290" s="34">
        <v>0</v>
      </c>
      <c r="P290" s="34">
        <f t="shared" si="51"/>
        <v>0</v>
      </c>
      <c r="Q290" s="34">
        <v>0</v>
      </c>
      <c r="R290" s="34">
        <v>0</v>
      </c>
      <c r="S290" s="34">
        <f t="shared" si="52"/>
        <v>0</v>
      </c>
      <c r="T290" s="34">
        <v>0</v>
      </c>
      <c r="U290" s="34">
        <v>0</v>
      </c>
      <c r="V290" s="34">
        <f t="shared" si="53"/>
        <v>0</v>
      </c>
      <c r="W290" s="34">
        <v>0</v>
      </c>
      <c r="X290" s="34">
        <v>0</v>
      </c>
      <c r="Y290" s="34">
        <v>0</v>
      </c>
      <c r="Z290" s="34">
        <v>0</v>
      </c>
      <c r="AA290" s="34">
        <v>0</v>
      </c>
      <c r="AB290" s="34">
        <v>0</v>
      </c>
      <c r="AC290" s="34">
        <v>0</v>
      </c>
      <c r="AD290" s="34">
        <v>124.24557599999999</v>
      </c>
      <c r="AE290" s="34">
        <f t="shared" si="54"/>
        <v>124.24557599999999</v>
      </c>
      <c r="AF290" s="34">
        <f t="shared" si="55"/>
        <v>0</v>
      </c>
      <c r="AG290" s="34">
        <v>0</v>
      </c>
      <c r="AH290" s="34">
        <v>0</v>
      </c>
      <c r="AI290" s="34">
        <v>0</v>
      </c>
      <c r="AJ290" s="34">
        <v>0</v>
      </c>
      <c r="AK290" s="34">
        <v>0</v>
      </c>
      <c r="AL290" s="34">
        <v>0</v>
      </c>
      <c r="AM290" s="34">
        <v>0</v>
      </c>
      <c r="AN290" s="34">
        <v>0</v>
      </c>
      <c r="AO290" s="34">
        <v>0</v>
      </c>
      <c r="AP290" s="34">
        <v>614.53773360000002</v>
      </c>
      <c r="AQ290" s="34">
        <f t="shared" si="56"/>
        <v>614.53773360000002</v>
      </c>
      <c r="AR290" s="34">
        <f t="shared" si="57"/>
        <v>0</v>
      </c>
      <c r="AS290" s="34">
        <f t="shared" si="58"/>
        <v>0</v>
      </c>
      <c r="AT290" t="str">
        <f t="shared" si="59"/>
        <v>SIN BONUS</v>
      </c>
    </row>
    <row r="291" spans="1:46" x14ac:dyDescent="0.25">
      <c r="A291" t="s">
        <v>140</v>
      </c>
      <c r="B291" t="s">
        <v>187</v>
      </c>
      <c r="C291" s="34">
        <v>0</v>
      </c>
      <c r="D291" s="34">
        <v>0</v>
      </c>
      <c r="E291" s="34">
        <v>1882.8039999999999</v>
      </c>
      <c r="F291" s="34">
        <f t="shared" si="48"/>
        <v>1882.8039999999999</v>
      </c>
      <c r="G291" s="34">
        <v>0</v>
      </c>
      <c r="H291" s="34">
        <v>1882.8039999999999</v>
      </c>
      <c r="I291" s="34">
        <v>1911.4703999999999</v>
      </c>
      <c r="J291" s="34">
        <f t="shared" si="49"/>
        <v>28.666400000000067</v>
      </c>
      <c r="K291" s="34">
        <v>1911.4703999999999</v>
      </c>
      <c r="L291" s="34">
        <v>1911.4703999999999</v>
      </c>
      <c r="M291" s="34">
        <f t="shared" si="50"/>
        <v>0</v>
      </c>
      <c r="N291" s="34">
        <v>0</v>
      </c>
      <c r="O291" s="34">
        <v>0</v>
      </c>
      <c r="P291" s="34">
        <f t="shared" si="51"/>
        <v>0</v>
      </c>
      <c r="Q291" s="34">
        <v>0</v>
      </c>
      <c r="R291" s="34">
        <v>0</v>
      </c>
      <c r="S291" s="34">
        <f t="shared" si="52"/>
        <v>0</v>
      </c>
      <c r="T291" s="34">
        <v>0</v>
      </c>
      <c r="U291" s="34">
        <v>0</v>
      </c>
      <c r="V291" s="34">
        <f t="shared" si="53"/>
        <v>0</v>
      </c>
      <c r="W291" s="34">
        <v>0</v>
      </c>
      <c r="X291" s="34">
        <v>0</v>
      </c>
      <c r="Y291" s="34">
        <v>0</v>
      </c>
      <c r="Z291" s="34">
        <v>0</v>
      </c>
      <c r="AA291" s="34">
        <v>0</v>
      </c>
      <c r="AB291" s="34">
        <v>0</v>
      </c>
      <c r="AC291" s="34">
        <v>0</v>
      </c>
      <c r="AD291" s="34">
        <v>124.24557599999999</v>
      </c>
      <c r="AE291" s="34">
        <f t="shared" si="54"/>
        <v>124.24557599999999</v>
      </c>
      <c r="AF291" s="34">
        <f t="shared" si="55"/>
        <v>0</v>
      </c>
      <c r="AG291" s="34">
        <v>0</v>
      </c>
      <c r="AH291" s="34">
        <v>0</v>
      </c>
      <c r="AI291" s="34">
        <v>0</v>
      </c>
      <c r="AJ291" s="34">
        <v>0</v>
      </c>
      <c r="AK291" s="34">
        <v>0</v>
      </c>
      <c r="AL291" s="34">
        <v>0</v>
      </c>
      <c r="AM291" s="34">
        <v>0</v>
      </c>
      <c r="AN291" s="34">
        <v>0</v>
      </c>
      <c r="AO291" s="34">
        <v>0</v>
      </c>
      <c r="AP291" s="34">
        <v>614.53773360000002</v>
      </c>
      <c r="AQ291" s="34">
        <f t="shared" si="56"/>
        <v>614.53773360000002</v>
      </c>
      <c r="AR291" s="34">
        <f t="shared" si="57"/>
        <v>0</v>
      </c>
      <c r="AS291" s="34">
        <f t="shared" si="58"/>
        <v>0</v>
      </c>
      <c r="AT291" t="str">
        <f t="shared" si="59"/>
        <v>SIN BONUS</v>
      </c>
    </row>
    <row r="292" spans="1:46" x14ac:dyDescent="0.25">
      <c r="A292" t="s">
        <v>140</v>
      </c>
      <c r="B292" t="s">
        <v>189</v>
      </c>
      <c r="C292" s="34">
        <v>0</v>
      </c>
      <c r="D292" s="34">
        <v>0</v>
      </c>
      <c r="E292" s="34">
        <v>1882.8039999999999</v>
      </c>
      <c r="F292" s="34">
        <f t="shared" si="48"/>
        <v>1882.8039999999999</v>
      </c>
      <c r="G292" s="34">
        <v>0</v>
      </c>
      <c r="H292" s="34">
        <v>1882.8039999999999</v>
      </c>
      <c r="I292" s="34">
        <v>1911.4703999999999</v>
      </c>
      <c r="J292" s="34">
        <f t="shared" si="49"/>
        <v>28.666400000000067</v>
      </c>
      <c r="K292" s="34">
        <v>1911.4703999999999</v>
      </c>
      <c r="L292" s="34">
        <v>1911.4703999999999</v>
      </c>
      <c r="M292" s="34">
        <f t="shared" si="50"/>
        <v>0</v>
      </c>
      <c r="N292" s="34">
        <v>0</v>
      </c>
      <c r="O292" s="34">
        <v>0</v>
      </c>
      <c r="P292" s="34">
        <f t="shared" si="51"/>
        <v>0</v>
      </c>
      <c r="Q292" s="34">
        <v>0</v>
      </c>
      <c r="R292" s="34">
        <v>0</v>
      </c>
      <c r="S292" s="34">
        <f t="shared" si="52"/>
        <v>0</v>
      </c>
      <c r="T292" s="34">
        <v>0</v>
      </c>
      <c r="U292" s="34">
        <v>0</v>
      </c>
      <c r="V292" s="34">
        <f t="shared" si="53"/>
        <v>0</v>
      </c>
      <c r="W292" s="34">
        <v>0</v>
      </c>
      <c r="X292" s="34">
        <v>0</v>
      </c>
      <c r="Y292" s="34">
        <v>0</v>
      </c>
      <c r="Z292" s="34">
        <v>0</v>
      </c>
      <c r="AA292" s="34">
        <v>0</v>
      </c>
      <c r="AB292" s="34">
        <v>0</v>
      </c>
      <c r="AC292" s="34">
        <v>0</v>
      </c>
      <c r="AD292" s="34">
        <v>124.24557599999999</v>
      </c>
      <c r="AE292" s="34">
        <f t="shared" si="54"/>
        <v>124.24557599999999</v>
      </c>
      <c r="AF292" s="34">
        <f t="shared" si="55"/>
        <v>0</v>
      </c>
      <c r="AG292" s="34">
        <v>0</v>
      </c>
      <c r="AH292" s="34">
        <v>0</v>
      </c>
      <c r="AI292" s="34">
        <v>0</v>
      </c>
      <c r="AJ292" s="34">
        <v>0</v>
      </c>
      <c r="AK292" s="34">
        <v>0</v>
      </c>
      <c r="AL292" s="34">
        <v>0</v>
      </c>
      <c r="AM292" s="34">
        <v>0</v>
      </c>
      <c r="AN292" s="34">
        <v>0</v>
      </c>
      <c r="AO292" s="34">
        <v>0</v>
      </c>
      <c r="AP292" s="34">
        <v>614.53773360000002</v>
      </c>
      <c r="AQ292" s="34">
        <f t="shared" si="56"/>
        <v>614.53773360000002</v>
      </c>
      <c r="AR292" s="34">
        <f t="shared" si="57"/>
        <v>0</v>
      </c>
      <c r="AS292" s="34">
        <f t="shared" si="58"/>
        <v>0</v>
      </c>
      <c r="AT292" t="str">
        <f t="shared" si="59"/>
        <v>SIN BONUS</v>
      </c>
    </row>
  </sheetData>
  <mergeCells count="9">
    <mergeCell ref="A1:AT1"/>
    <mergeCell ref="A2:AT2"/>
    <mergeCell ref="A3:D3"/>
    <mergeCell ref="E3:G3"/>
    <mergeCell ref="H3:M3"/>
    <mergeCell ref="N3:V3"/>
    <mergeCell ref="W3:AF3"/>
    <mergeCell ref="AG3:AR3"/>
    <mergeCell ref="AS3:AT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48"/>
  <sheetViews>
    <sheetView workbookViewId="0"/>
  </sheetViews>
  <sheetFormatPr baseColWidth="10" defaultColWidth="9.140625" defaultRowHeight="15" x14ac:dyDescent="0.25"/>
  <cols>
    <col min="1" max="1" width="18" customWidth="1"/>
    <col min="2" max="11" width="16" customWidth="1"/>
  </cols>
  <sheetData>
    <row r="1" spans="1:8" ht="26.1" customHeight="1" x14ac:dyDescent="0.3">
      <c r="A1" s="46" t="s">
        <v>332</v>
      </c>
      <c r="B1" s="46"/>
      <c r="C1" s="46"/>
      <c r="D1" s="46"/>
      <c r="E1" s="46"/>
      <c r="F1" s="46"/>
      <c r="G1" s="46"/>
      <c r="H1" s="46"/>
    </row>
    <row r="3" spans="1:8" x14ac:dyDescent="0.25">
      <c r="A3" t="s">
        <v>149</v>
      </c>
      <c r="B3" s="13" t="s">
        <v>91</v>
      </c>
    </row>
    <row r="5" spans="1:8" x14ac:dyDescent="0.25">
      <c r="A5" t="s">
        <v>74</v>
      </c>
      <c r="B5" t="s">
        <v>92</v>
      </c>
      <c r="D5" s="54" t="s">
        <v>333</v>
      </c>
      <c r="E5" s="54"/>
      <c r="F5" s="54"/>
      <c r="G5" s="54"/>
      <c r="H5" s="54"/>
    </row>
    <row r="6" spans="1:8" x14ac:dyDescent="0.25">
      <c r="A6" t="s">
        <v>334</v>
      </c>
      <c r="B6">
        <v>1975</v>
      </c>
      <c r="D6" t="s">
        <v>335</v>
      </c>
      <c r="E6" s="9">
        <v>138381.85459199996</v>
      </c>
    </row>
    <row r="7" spans="1:8" x14ac:dyDescent="0.25">
      <c r="A7" t="s">
        <v>76</v>
      </c>
      <c r="B7" s="1">
        <v>35928</v>
      </c>
      <c r="D7" t="s">
        <v>336</v>
      </c>
      <c r="E7" s="9">
        <v>4153.8196911872001</v>
      </c>
    </row>
    <row r="8" spans="1:8" x14ac:dyDescent="0.25">
      <c r="A8" t="s">
        <v>77</v>
      </c>
      <c r="B8" s="4">
        <v>0.3599</v>
      </c>
      <c r="D8" t="s">
        <v>77</v>
      </c>
      <c r="E8" s="9">
        <v>48341.282779238398</v>
      </c>
    </row>
    <row r="9" spans="1:8" x14ac:dyDescent="0.25">
      <c r="A9" t="s">
        <v>78</v>
      </c>
      <c r="B9" s="4">
        <v>1</v>
      </c>
      <c r="D9" t="s">
        <v>337</v>
      </c>
      <c r="E9" s="9">
        <v>85886.752121574391</v>
      </c>
    </row>
    <row r="10" spans="1:8" x14ac:dyDescent="0.25">
      <c r="A10" t="s">
        <v>79</v>
      </c>
      <c r="B10" t="s">
        <v>141</v>
      </c>
      <c r="D10" t="s">
        <v>338</v>
      </c>
      <c r="E10" s="9">
        <v>20562.331028868266</v>
      </c>
    </row>
    <row r="11" spans="1:8" x14ac:dyDescent="0.25">
      <c r="A11" t="s">
        <v>82</v>
      </c>
      <c r="B11" s="9">
        <v>5917.01</v>
      </c>
      <c r="D11" t="s">
        <v>267</v>
      </c>
      <c r="E11" s="9">
        <v>158944.18562086829</v>
      </c>
    </row>
    <row r="12" spans="1:8" x14ac:dyDescent="0.25">
      <c r="A12" t="s">
        <v>81</v>
      </c>
      <c r="B12" s="4">
        <v>1.4999999999999999E-2</v>
      </c>
    </row>
    <row r="13" spans="1:8" x14ac:dyDescent="0.25">
      <c r="A13" s="35" t="s">
        <v>90</v>
      </c>
      <c r="B13" s="34">
        <v>58200</v>
      </c>
    </row>
    <row r="15" spans="1:8" x14ac:dyDescent="0.25">
      <c r="A15" s="6" t="s">
        <v>150</v>
      </c>
      <c r="B15" s="6" t="s">
        <v>339</v>
      </c>
      <c r="C15" s="6" t="s">
        <v>165</v>
      </c>
      <c r="D15" s="6" t="s">
        <v>94</v>
      </c>
      <c r="E15" s="6" t="s">
        <v>336</v>
      </c>
      <c r="F15" s="6" t="s">
        <v>77</v>
      </c>
      <c r="G15" s="6" t="s">
        <v>95</v>
      </c>
      <c r="H15" s="6" t="s">
        <v>267</v>
      </c>
    </row>
    <row r="16" spans="1:8" x14ac:dyDescent="0.25">
      <c r="A16" t="s">
        <v>173</v>
      </c>
      <c r="B16" s="4">
        <v>1</v>
      </c>
      <c r="C16" t="s">
        <v>175</v>
      </c>
      <c r="D16" s="9">
        <v>10089.280000000001</v>
      </c>
      <c r="E16" s="9">
        <v>346.71789999999999</v>
      </c>
      <c r="F16" s="9">
        <v>3452.9487699455999</v>
      </c>
      <c r="G16" s="9">
        <v>6289.6133300544006</v>
      </c>
      <c r="H16" s="9">
        <v>11805.686069333333</v>
      </c>
    </row>
    <row r="17" spans="1:11" x14ac:dyDescent="0.25">
      <c r="A17" t="s">
        <v>176</v>
      </c>
      <c r="B17" s="4">
        <v>1</v>
      </c>
      <c r="C17" t="s">
        <v>175</v>
      </c>
      <c r="D17" s="9">
        <v>9868.6595839999991</v>
      </c>
      <c r="E17" s="9">
        <v>346.10016283519997</v>
      </c>
      <c r="F17" s="9">
        <v>3452.9487699455999</v>
      </c>
      <c r="G17" s="9">
        <v>6069.6106512191982</v>
      </c>
      <c r="H17" s="9">
        <v>11581.925489412266</v>
      </c>
    </row>
    <row r="18" spans="1:11" x14ac:dyDescent="0.25">
      <c r="A18" t="s">
        <v>177</v>
      </c>
      <c r="B18" s="4">
        <v>1</v>
      </c>
      <c r="C18" t="s">
        <v>175</v>
      </c>
      <c r="D18" s="9">
        <v>9868.6595839999991</v>
      </c>
      <c r="E18" s="9">
        <v>346.10016283519997</v>
      </c>
      <c r="F18" s="9">
        <v>3452.9487699455999</v>
      </c>
      <c r="G18" s="9">
        <v>6069.6106512191982</v>
      </c>
      <c r="H18" s="9">
        <v>11581.925489412266</v>
      </c>
    </row>
    <row r="19" spans="1:11" x14ac:dyDescent="0.25">
      <c r="A19" t="s">
        <v>178</v>
      </c>
      <c r="B19" s="4">
        <v>1</v>
      </c>
      <c r="C19" t="s">
        <v>175</v>
      </c>
      <c r="D19" s="9">
        <v>9868.6595839999991</v>
      </c>
      <c r="E19" s="9">
        <v>346.10016283519997</v>
      </c>
      <c r="F19" s="9">
        <v>3452.9487699455999</v>
      </c>
      <c r="G19" s="9">
        <v>6069.6106512191982</v>
      </c>
      <c r="H19" s="9">
        <v>11581.925489412266</v>
      </c>
    </row>
    <row r="20" spans="1:11" x14ac:dyDescent="0.25">
      <c r="A20" t="s">
        <v>179</v>
      </c>
      <c r="B20" s="4">
        <v>1</v>
      </c>
      <c r="C20" t="s">
        <v>175</v>
      </c>
      <c r="D20" s="9">
        <v>9868.6595839999991</v>
      </c>
      <c r="E20" s="9">
        <v>346.10016283519997</v>
      </c>
      <c r="F20" s="9">
        <v>3452.9487699455999</v>
      </c>
      <c r="G20" s="9">
        <v>6069.6106512191982</v>
      </c>
      <c r="H20" s="9">
        <v>11581.925489412266</v>
      </c>
    </row>
    <row r="21" spans="1:11" x14ac:dyDescent="0.25">
      <c r="A21" t="s">
        <v>180</v>
      </c>
      <c r="B21" s="4">
        <v>1</v>
      </c>
      <c r="C21" t="s">
        <v>175</v>
      </c>
      <c r="D21" s="9">
        <v>9868.6595839999991</v>
      </c>
      <c r="E21" s="9">
        <v>346.10016283519997</v>
      </c>
      <c r="F21" s="9">
        <v>3452.9487699455999</v>
      </c>
      <c r="G21" s="9">
        <v>6069.6106512191982</v>
      </c>
      <c r="H21" s="9">
        <v>11581.925489412266</v>
      </c>
    </row>
    <row r="22" spans="1:11" x14ac:dyDescent="0.25">
      <c r="A22" t="s">
        <v>181</v>
      </c>
      <c r="B22" s="4">
        <v>1</v>
      </c>
      <c r="C22" t="s">
        <v>175</v>
      </c>
      <c r="D22" s="9">
        <v>9868.6595839999991</v>
      </c>
      <c r="E22" s="9">
        <v>0</v>
      </c>
      <c r="F22" s="9">
        <v>3452.9487699455999</v>
      </c>
      <c r="G22" s="9">
        <v>6415.7108140543987</v>
      </c>
      <c r="H22" s="9">
        <v>9868.6595839999991</v>
      </c>
    </row>
    <row r="23" spans="1:11" x14ac:dyDescent="0.25">
      <c r="A23" t="s">
        <v>183</v>
      </c>
      <c r="B23" s="4">
        <v>1</v>
      </c>
      <c r="C23" t="s">
        <v>175</v>
      </c>
      <c r="D23" s="9">
        <v>9868.6595839999991</v>
      </c>
      <c r="E23" s="9">
        <v>346.10016283519997</v>
      </c>
      <c r="F23" s="9">
        <v>3452.9487699455999</v>
      </c>
      <c r="G23" s="9">
        <v>6069.6106512191982</v>
      </c>
      <c r="H23" s="9">
        <v>11581.925489412266</v>
      </c>
    </row>
    <row r="24" spans="1:11" x14ac:dyDescent="0.25">
      <c r="A24" t="s">
        <v>184</v>
      </c>
      <c r="B24" s="4">
        <v>1</v>
      </c>
      <c r="C24" t="s">
        <v>175</v>
      </c>
      <c r="D24" s="9">
        <v>9868.6595839999991</v>
      </c>
      <c r="E24" s="9">
        <v>346.10016283519997</v>
      </c>
      <c r="F24" s="9">
        <v>3452.9487699455999</v>
      </c>
      <c r="G24" s="9">
        <v>6069.6106512191982</v>
      </c>
      <c r="H24" s="9">
        <v>11581.925489412266</v>
      </c>
    </row>
    <row r="25" spans="1:11" x14ac:dyDescent="0.25">
      <c r="A25" t="s">
        <v>185</v>
      </c>
      <c r="B25" s="4">
        <v>1</v>
      </c>
      <c r="C25" t="s">
        <v>175</v>
      </c>
      <c r="D25" s="9">
        <v>9868.6595839999991</v>
      </c>
      <c r="E25" s="9">
        <v>346.10016283519997</v>
      </c>
      <c r="F25" s="9">
        <v>3452.9487699455999</v>
      </c>
      <c r="G25" s="9">
        <v>6069.6106512191982</v>
      </c>
      <c r="H25" s="9">
        <v>11581.925489412266</v>
      </c>
    </row>
    <row r="26" spans="1:11" x14ac:dyDescent="0.25">
      <c r="A26" t="s">
        <v>186</v>
      </c>
      <c r="B26" s="4">
        <v>1</v>
      </c>
      <c r="C26" t="s">
        <v>175</v>
      </c>
      <c r="D26" s="9">
        <v>9868.6595839999991</v>
      </c>
      <c r="E26" s="9">
        <v>346.10016283519997</v>
      </c>
      <c r="F26" s="9">
        <v>3452.9487699455999</v>
      </c>
      <c r="G26" s="9">
        <v>6069.6106512191982</v>
      </c>
      <c r="H26" s="9">
        <v>11581.925489412266</v>
      </c>
    </row>
    <row r="27" spans="1:11" x14ac:dyDescent="0.25">
      <c r="A27" t="s">
        <v>187</v>
      </c>
      <c r="B27" s="4">
        <v>1</v>
      </c>
      <c r="C27" t="s">
        <v>175</v>
      </c>
      <c r="D27" s="9">
        <v>9868.6595839999991</v>
      </c>
      <c r="E27" s="9">
        <v>346.10016283519997</v>
      </c>
      <c r="F27" s="9">
        <v>3452.9487699455999</v>
      </c>
      <c r="G27" s="9">
        <v>6069.6106512191982</v>
      </c>
      <c r="H27" s="9">
        <v>11581.925489412266</v>
      </c>
    </row>
    <row r="28" spans="1:11" x14ac:dyDescent="0.25">
      <c r="A28" t="s">
        <v>188</v>
      </c>
      <c r="B28" s="4">
        <v>1</v>
      </c>
      <c r="C28" t="s">
        <v>175</v>
      </c>
      <c r="D28" s="9">
        <v>9868.6595839999991</v>
      </c>
      <c r="E28" s="9">
        <v>0</v>
      </c>
      <c r="F28" s="9">
        <v>3452.9487699455999</v>
      </c>
      <c r="G28" s="9">
        <v>6415.7108140543987</v>
      </c>
      <c r="H28" s="9">
        <v>9868.6595839999991</v>
      </c>
    </row>
    <row r="29" spans="1:11" x14ac:dyDescent="0.25">
      <c r="A29" t="s">
        <v>189</v>
      </c>
      <c r="B29" s="4">
        <v>1</v>
      </c>
      <c r="C29" t="s">
        <v>175</v>
      </c>
      <c r="D29" s="9">
        <v>9868.6595839999991</v>
      </c>
      <c r="E29" s="9">
        <v>346.10016283519997</v>
      </c>
      <c r="F29" s="9">
        <v>3452.9487699455999</v>
      </c>
      <c r="G29" s="9">
        <v>6069.6106512191982</v>
      </c>
      <c r="H29" s="9">
        <v>11581.925489412266</v>
      </c>
    </row>
    <row r="30" spans="1:11" x14ac:dyDescent="0.25">
      <c r="A30" s="45" t="s">
        <v>340</v>
      </c>
      <c r="B30" s="45"/>
      <c r="C30" s="45"/>
      <c r="D30" s="14">
        <v>138381.85459199996</v>
      </c>
      <c r="E30" s="14">
        <v>4153.8196911872001</v>
      </c>
      <c r="F30" s="14">
        <v>48341.282779238398</v>
      </c>
      <c r="G30" s="14">
        <v>85886.752121574391</v>
      </c>
      <c r="H30" s="14">
        <v>158944.18562086829</v>
      </c>
    </row>
    <row r="32" spans="1:11" x14ac:dyDescent="0.25">
      <c r="A32" s="55" t="s">
        <v>279</v>
      </c>
      <c r="B32" s="55"/>
      <c r="C32" s="55"/>
      <c r="D32" s="55"/>
      <c r="E32" s="55"/>
      <c r="F32" s="55"/>
      <c r="G32" s="55"/>
      <c r="H32" s="55"/>
      <c r="I32" s="55"/>
      <c r="J32" s="55"/>
      <c r="K32" s="55"/>
    </row>
    <row r="33" spans="1:11" ht="30" x14ac:dyDescent="0.25">
      <c r="A33" s="36" t="s">
        <v>341</v>
      </c>
      <c r="B33" s="37">
        <v>58200</v>
      </c>
      <c r="C33" s="37"/>
      <c r="D33" s="38" t="s">
        <v>342</v>
      </c>
      <c r="E33" s="37">
        <v>4850</v>
      </c>
      <c r="F33" s="37"/>
      <c r="G33" s="38" t="s">
        <v>343</v>
      </c>
      <c r="H33" s="37">
        <v>882.17458333333423</v>
      </c>
      <c r="I33" s="39"/>
      <c r="J33" s="39"/>
      <c r="K33" s="39"/>
    </row>
    <row r="34" spans="1:11" x14ac:dyDescent="0.25">
      <c r="A34" s="39"/>
      <c r="B34" s="39"/>
      <c r="C34" s="39"/>
      <c r="D34" s="39"/>
      <c r="E34" s="39"/>
      <c r="F34" s="39"/>
      <c r="G34" s="39"/>
      <c r="H34" s="39"/>
      <c r="I34" s="39"/>
      <c r="J34" s="39"/>
      <c r="K34" s="39"/>
    </row>
    <row r="35" spans="1:11" ht="33.950000000000003" customHeight="1" x14ac:dyDescent="0.25">
      <c r="A35" s="33" t="s">
        <v>150</v>
      </c>
      <c r="B35" s="33" t="s">
        <v>344</v>
      </c>
      <c r="C35" s="33" t="s">
        <v>345</v>
      </c>
      <c r="D35" s="33" t="s">
        <v>346</v>
      </c>
      <c r="E35" s="33" t="s">
        <v>347</v>
      </c>
      <c r="F35" s="33" t="s">
        <v>348</v>
      </c>
      <c r="G35" s="33" t="s">
        <v>349</v>
      </c>
      <c r="H35" s="33" t="s">
        <v>327</v>
      </c>
      <c r="I35" s="33" t="s">
        <v>328</v>
      </c>
      <c r="J35" s="33" t="s">
        <v>350</v>
      </c>
      <c r="K35" s="33" t="s">
        <v>351</v>
      </c>
    </row>
    <row r="36" spans="1:11" x14ac:dyDescent="0.25">
      <c r="A36" s="39" t="s">
        <v>173</v>
      </c>
      <c r="B36" s="37">
        <v>4850</v>
      </c>
      <c r="C36" s="37">
        <v>11770.826666666668</v>
      </c>
      <c r="D36" s="37">
        <v>16620.826666666668</v>
      </c>
      <c r="E36" s="37">
        <v>346.71789999999999</v>
      </c>
      <c r="F36" s="37">
        <v>358.35789999999997</v>
      </c>
      <c r="G36" s="37">
        <v>11.639999999999986</v>
      </c>
      <c r="H36" s="37">
        <v>1716.4060693333331</v>
      </c>
      <c r="I36" s="37">
        <v>1775.5760693333332</v>
      </c>
      <c r="J36" s="37">
        <v>59.170000000000073</v>
      </c>
      <c r="K36" s="37">
        <v>70.810000000000059</v>
      </c>
    </row>
    <row r="37" spans="1:11" x14ac:dyDescent="0.25">
      <c r="A37" s="39" t="s">
        <v>176</v>
      </c>
      <c r="B37" s="37">
        <v>4850</v>
      </c>
      <c r="C37" s="37">
        <v>11770.826666666668</v>
      </c>
      <c r="D37" s="37">
        <v>16565.519514666667</v>
      </c>
      <c r="E37" s="37">
        <v>346.10016283519997</v>
      </c>
      <c r="F37" s="37">
        <v>358.22516283519997</v>
      </c>
      <c r="G37" s="37">
        <v>12.125</v>
      </c>
      <c r="H37" s="37">
        <v>1713.2659054122664</v>
      </c>
      <c r="I37" s="37">
        <v>1774.9013220789332</v>
      </c>
      <c r="J37" s="37">
        <v>61.635416666666742</v>
      </c>
      <c r="K37" s="37">
        <v>73.760416666666742</v>
      </c>
    </row>
    <row r="38" spans="1:11" x14ac:dyDescent="0.25">
      <c r="A38" s="39" t="s">
        <v>177</v>
      </c>
      <c r="B38" s="37">
        <v>4850</v>
      </c>
      <c r="C38" s="37">
        <v>11770.826666666668</v>
      </c>
      <c r="D38" s="37">
        <v>16565.519514666667</v>
      </c>
      <c r="E38" s="37">
        <v>346.10016283519997</v>
      </c>
      <c r="F38" s="37">
        <v>358.22516283519997</v>
      </c>
      <c r="G38" s="37">
        <v>12.125</v>
      </c>
      <c r="H38" s="37">
        <v>1713.2659054122664</v>
      </c>
      <c r="I38" s="37">
        <v>1774.9013220789332</v>
      </c>
      <c r="J38" s="37">
        <v>61.635416666666742</v>
      </c>
      <c r="K38" s="37">
        <v>73.760416666666742</v>
      </c>
    </row>
    <row r="39" spans="1:11" x14ac:dyDescent="0.25">
      <c r="A39" s="39" t="s">
        <v>178</v>
      </c>
      <c r="B39" s="37">
        <v>4850</v>
      </c>
      <c r="C39" s="37">
        <v>11770.826666666668</v>
      </c>
      <c r="D39" s="37">
        <v>16565.519514666667</v>
      </c>
      <c r="E39" s="37">
        <v>346.10016283519997</v>
      </c>
      <c r="F39" s="37">
        <v>358.22516283519997</v>
      </c>
      <c r="G39" s="37">
        <v>12.125</v>
      </c>
      <c r="H39" s="37">
        <v>1713.2659054122664</v>
      </c>
      <c r="I39" s="37">
        <v>1774.9013220789332</v>
      </c>
      <c r="J39" s="37">
        <v>61.635416666666742</v>
      </c>
      <c r="K39" s="37">
        <v>73.760416666666742</v>
      </c>
    </row>
    <row r="40" spans="1:11" x14ac:dyDescent="0.25">
      <c r="A40" s="39" t="s">
        <v>179</v>
      </c>
      <c r="B40" s="37">
        <v>4850</v>
      </c>
      <c r="C40" s="37">
        <v>11770.826666666668</v>
      </c>
      <c r="D40" s="37">
        <v>16565.519514666667</v>
      </c>
      <c r="E40" s="37">
        <v>346.10016283519997</v>
      </c>
      <c r="F40" s="37">
        <v>358.22516283519997</v>
      </c>
      <c r="G40" s="37">
        <v>12.125</v>
      </c>
      <c r="H40" s="37">
        <v>1713.2659054122664</v>
      </c>
      <c r="I40" s="37">
        <v>1774.9013220789332</v>
      </c>
      <c r="J40" s="37">
        <v>61.635416666666742</v>
      </c>
      <c r="K40" s="37">
        <v>73.760416666666742</v>
      </c>
    </row>
    <row r="41" spans="1:11" x14ac:dyDescent="0.25">
      <c r="A41" s="39" t="s">
        <v>180</v>
      </c>
      <c r="B41" s="37">
        <v>4850</v>
      </c>
      <c r="C41" s="37">
        <v>11770.826666666668</v>
      </c>
      <c r="D41" s="37">
        <v>16565.519514666667</v>
      </c>
      <c r="E41" s="37">
        <v>346.10016283519997</v>
      </c>
      <c r="F41" s="37">
        <v>358.22516283519997</v>
      </c>
      <c r="G41" s="37">
        <v>12.125</v>
      </c>
      <c r="H41" s="37">
        <v>1713.2659054122664</v>
      </c>
      <c r="I41" s="37">
        <v>1774.9013220789332</v>
      </c>
      <c r="J41" s="37">
        <v>61.635416666666742</v>
      </c>
      <c r="K41" s="37">
        <v>73.760416666666742</v>
      </c>
    </row>
    <row r="42" spans="1:11" x14ac:dyDescent="0.25">
      <c r="A42" s="39" t="s">
        <v>183</v>
      </c>
      <c r="B42" s="37">
        <v>4850</v>
      </c>
      <c r="C42" s="37">
        <v>11770.826666666668</v>
      </c>
      <c r="D42" s="37">
        <v>16565.519514666667</v>
      </c>
      <c r="E42" s="37">
        <v>346.10016283519997</v>
      </c>
      <c r="F42" s="37">
        <v>358.22516283519997</v>
      </c>
      <c r="G42" s="37">
        <v>12.125</v>
      </c>
      <c r="H42" s="37">
        <v>1713.2659054122664</v>
      </c>
      <c r="I42" s="37">
        <v>1774.9013220789332</v>
      </c>
      <c r="J42" s="37">
        <v>61.635416666666742</v>
      </c>
      <c r="K42" s="37">
        <v>73.760416666666742</v>
      </c>
    </row>
    <row r="43" spans="1:11" x14ac:dyDescent="0.25">
      <c r="A43" s="39" t="s">
        <v>184</v>
      </c>
      <c r="B43" s="37">
        <v>4850</v>
      </c>
      <c r="C43" s="37">
        <v>11770.826666666668</v>
      </c>
      <c r="D43" s="37">
        <v>16565.519514666667</v>
      </c>
      <c r="E43" s="37">
        <v>346.10016283519997</v>
      </c>
      <c r="F43" s="37">
        <v>358.22516283519997</v>
      </c>
      <c r="G43" s="37">
        <v>12.125</v>
      </c>
      <c r="H43" s="37">
        <v>1713.2659054122664</v>
      </c>
      <c r="I43" s="37">
        <v>1774.9013220789332</v>
      </c>
      <c r="J43" s="37">
        <v>61.635416666666742</v>
      </c>
      <c r="K43" s="37">
        <v>73.760416666666742</v>
      </c>
    </row>
    <row r="44" spans="1:11" x14ac:dyDescent="0.25">
      <c r="A44" s="39" t="s">
        <v>185</v>
      </c>
      <c r="B44" s="37">
        <v>4850</v>
      </c>
      <c r="C44" s="37">
        <v>11770.826666666668</v>
      </c>
      <c r="D44" s="37">
        <v>16565.519514666667</v>
      </c>
      <c r="E44" s="37">
        <v>346.10016283519997</v>
      </c>
      <c r="F44" s="37">
        <v>358.22516283519997</v>
      </c>
      <c r="G44" s="37">
        <v>12.125</v>
      </c>
      <c r="H44" s="37">
        <v>1713.2659054122664</v>
      </c>
      <c r="I44" s="37">
        <v>1774.9013220789332</v>
      </c>
      <c r="J44" s="37">
        <v>61.635416666666742</v>
      </c>
      <c r="K44" s="37">
        <v>73.760416666666742</v>
      </c>
    </row>
    <row r="45" spans="1:11" x14ac:dyDescent="0.25">
      <c r="A45" s="39" t="s">
        <v>186</v>
      </c>
      <c r="B45" s="37">
        <v>4850</v>
      </c>
      <c r="C45" s="37">
        <v>11770.826666666668</v>
      </c>
      <c r="D45" s="37">
        <v>16565.519514666667</v>
      </c>
      <c r="E45" s="37">
        <v>346.10016283519997</v>
      </c>
      <c r="F45" s="37">
        <v>358.22516283519997</v>
      </c>
      <c r="G45" s="37">
        <v>12.125</v>
      </c>
      <c r="H45" s="37">
        <v>1713.2659054122664</v>
      </c>
      <c r="I45" s="37">
        <v>1774.9013220789332</v>
      </c>
      <c r="J45" s="37">
        <v>61.635416666666742</v>
      </c>
      <c r="K45" s="37">
        <v>73.760416666666742</v>
      </c>
    </row>
    <row r="46" spans="1:11" x14ac:dyDescent="0.25">
      <c r="A46" s="39" t="s">
        <v>187</v>
      </c>
      <c r="B46" s="37">
        <v>4850</v>
      </c>
      <c r="C46" s="37">
        <v>11770.826666666668</v>
      </c>
      <c r="D46" s="37">
        <v>16565.519514666667</v>
      </c>
      <c r="E46" s="37">
        <v>346.10016283519997</v>
      </c>
      <c r="F46" s="37">
        <v>358.22516283519997</v>
      </c>
      <c r="G46" s="37">
        <v>12.125</v>
      </c>
      <c r="H46" s="37">
        <v>1713.2659054122664</v>
      </c>
      <c r="I46" s="37">
        <v>1774.9013220789332</v>
      </c>
      <c r="J46" s="37">
        <v>61.635416666666742</v>
      </c>
      <c r="K46" s="37">
        <v>73.760416666666742</v>
      </c>
    </row>
    <row r="47" spans="1:11" x14ac:dyDescent="0.25">
      <c r="A47" s="39" t="s">
        <v>189</v>
      </c>
      <c r="B47" s="37">
        <v>4850</v>
      </c>
      <c r="C47" s="37">
        <v>11770.826666666668</v>
      </c>
      <c r="D47" s="37">
        <v>16565.519514666667</v>
      </c>
      <c r="E47" s="37">
        <v>346.10016283519997</v>
      </c>
      <c r="F47" s="37">
        <v>358.22516283519997</v>
      </c>
      <c r="G47" s="37">
        <v>12.125</v>
      </c>
      <c r="H47" s="37">
        <v>1713.2659054122664</v>
      </c>
      <c r="I47" s="37">
        <v>1774.9013220789332</v>
      </c>
      <c r="J47" s="37">
        <v>61.635416666666742</v>
      </c>
      <c r="K47" s="37">
        <v>73.760416666666742</v>
      </c>
    </row>
    <row r="48" spans="1:11" x14ac:dyDescent="0.25">
      <c r="A48" s="40" t="s">
        <v>352</v>
      </c>
      <c r="B48" s="41">
        <f t="shared" ref="B48:K48" si="0">SUM(B36:B47)</f>
        <v>58200</v>
      </c>
      <c r="C48" s="41">
        <f t="shared" si="0"/>
        <v>141249.91999999998</v>
      </c>
      <c r="D48" s="41">
        <f t="shared" si="0"/>
        <v>198841.54132799999</v>
      </c>
      <c r="E48" s="41">
        <f t="shared" si="0"/>
        <v>4153.8196911872001</v>
      </c>
      <c r="F48" s="41">
        <f t="shared" si="0"/>
        <v>4298.8346911872004</v>
      </c>
      <c r="G48" s="41">
        <f t="shared" si="0"/>
        <v>145.01499999999999</v>
      </c>
      <c r="H48" s="41">
        <f t="shared" si="0"/>
        <v>20562.331028868266</v>
      </c>
      <c r="I48" s="41">
        <f t="shared" si="0"/>
        <v>21299.4906122016</v>
      </c>
      <c r="J48" s="41">
        <f t="shared" si="0"/>
        <v>737.15958333333424</v>
      </c>
      <c r="K48" s="41">
        <f t="shared" si="0"/>
        <v>882.17458333333423</v>
      </c>
    </row>
  </sheetData>
  <mergeCells count="4">
    <mergeCell ref="A1:H1"/>
    <mergeCell ref="D5:H5"/>
    <mergeCell ref="A30:C30"/>
    <mergeCell ref="A32:K3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48"/>
  <sheetViews>
    <sheetView workbookViewId="0"/>
  </sheetViews>
  <sheetFormatPr baseColWidth="10" defaultColWidth="9.140625" defaultRowHeight="15" x14ac:dyDescent="0.25"/>
  <cols>
    <col min="1" max="1" width="18" customWidth="1"/>
    <col min="2" max="11" width="16" customWidth="1"/>
  </cols>
  <sheetData>
    <row r="1" spans="1:8" ht="26.1" customHeight="1" x14ac:dyDescent="0.3">
      <c r="A1" s="46" t="s">
        <v>332</v>
      </c>
      <c r="B1" s="46"/>
      <c r="C1" s="46"/>
      <c r="D1" s="46"/>
      <c r="E1" s="46"/>
      <c r="F1" s="46"/>
      <c r="G1" s="46"/>
      <c r="H1" s="46"/>
    </row>
    <row r="3" spans="1:8" x14ac:dyDescent="0.25">
      <c r="A3" t="s">
        <v>149</v>
      </c>
      <c r="B3" s="13" t="s">
        <v>96</v>
      </c>
    </row>
    <row r="5" spans="1:8" x14ac:dyDescent="0.25">
      <c r="A5" t="s">
        <v>74</v>
      </c>
      <c r="B5" t="s">
        <v>97</v>
      </c>
      <c r="D5" s="54" t="s">
        <v>333</v>
      </c>
      <c r="E5" s="54"/>
      <c r="F5" s="54"/>
      <c r="G5" s="54"/>
      <c r="H5" s="54"/>
    </row>
    <row r="6" spans="1:8" x14ac:dyDescent="0.25">
      <c r="A6" t="s">
        <v>334</v>
      </c>
      <c r="B6">
        <v>1951</v>
      </c>
      <c r="D6" t="s">
        <v>335</v>
      </c>
      <c r="E6" s="9">
        <v>177644.32</v>
      </c>
    </row>
    <row r="7" spans="1:8" x14ac:dyDescent="0.25">
      <c r="A7" t="s">
        <v>76</v>
      </c>
      <c r="B7" s="1">
        <v>36550</v>
      </c>
      <c r="D7" t="s">
        <v>336</v>
      </c>
      <c r="E7" s="9">
        <v>4247.9613599999993</v>
      </c>
    </row>
    <row r="8" spans="1:8" x14ac:dyDescent="0.25">
      <c r="A8" t="s">
        <v>77</v>
      </c>
      <c r="B8" s="4">
        <v>0.37969999999999998</v>
      </c>
      <c r="D8" t="s">
        <v>77</v>
      </c>
      <c r="E8" s="9">
        <v>67314.863419999994</v>
      </c>
    </row>
    <row r="9" spans="1:8" x14ac:dyDescent="0.25">
      <c r="A9" t="s">
        <v>78</v>
      </c>
      <c r="B9" s="4">
        <v>1</v>
      </c>
      <c r="D9" t="s">
        <v>337</v>
      </c>
      <c r="E9" s="9">
        <v>106081.49522</v>
      </c>
    </row>
    <row r="10" spans="1:8" x14ac:dyDescent="0.25">
      <c r="A10" t="s">
        <v>79</v>
      </c>
      <c r="B10" t="s">
        <v>141</v>
      </c>
      <c r="D10" t="s">
        <v>338</v>
      </c>
      <c r="E10" s="9">
        <v>21040.884511999993</v>
      </c>
    </row>
    <row r="11" spans="1:8" x14ac:dyDescent="0.25">
      <c r="A11" t="s">
        <v>82</v>
      </c>
      <c r="B11" s="9">
        <v>7399.5</v>
      </c>
      <c r="D11" t="s">
        <v>267</v>
      </c>
      <c r="E11" s="9">
        <v>198685.20451199997</v>
      </c>
    </row>
    <row r="12" spans="1:8" x14ac:dyDescent="0.25">
      <c r="A12" t="s">
        <v>81</v>
      </c>
      <c r="B12" s="4">
        <v>1.4999999999999999E-2</v>
      </c>
    </row>
    <row r="13" spans="1:8" x14ac:dyDescent="0.25">
      <c r="A13" s="35" t="s">
        <v>90</v>
      </c>
      <c r="B13" s="34">
        <v>0</v>
      </c>
    </row>
    <row r="15" spans="1:8" x14ac:dyDescent="0.25">
      <c r="A15" s="6" t="s">
        <v>150</v>
      </c>
      <c r="B15" s="6" t="s">
        <v>339</v>
      </c>
      <c r="C15" s="6" t="s">
        <v>165</v>
      </c>
      <c r="D15" s="6" t="s">
        <v>94</v>
      </c>
      <c r="E15" s="6" t="s">
        <v>336</v>
      </c>
      <c r="F15" s="6" t="s">
        <v>77</v>
      </c>
      <c r="G15" s="6" t="s">
        <v>95</v>
      </c>
      <c r="H15" s="6" t="s">
        <v>267</v>
      </c>
    </row>
    <row r="16" spans="1:8" x14ac:dyDescent="0.25">
      <c r="A16" t="s">
        <v>173</v>
      </c>
      <c r="B16" s="4">
        <v>1</v>
      </c>
      <c r="C16" t="s">
        <v>175</v>
      </c>
      <c r="D16" s="9">
        <v>12688.879999999997</v>
      </c>
      <c r="E16" s="9">
        <v>353.99677999999994</v>
      </c>
      <c r="F16" s="9">
        <v>4808.2045299999991</v>
      </c>
      <c r="G16" s="9">
        <v>7526.6786899999988</v>
      </c>
      <c r="H16" s="9">
        <v>14442.287042666663</v>
      </c>
    </row>
    <row r="17" spans="1:11" x14ac:dyDescent="0.25">
      <c r="A17" t="s">
        <v>176</v>
      </c>
      <c r="B17" s="4">
        <v>1</v>
      </c>
      <c r="C17" t="s">
        <v>175</v>
      </c>
      <c r="D17" s="9">
        <v>12688.879999999997</v>
      </c>
      <c r="E17" s="9">
        <v>353.99677999999994</v>
      </c>
      <c r="F17" s="9">
        <v>4808.2045299999991</v>
      </c>
      <c r="G17" s="9">
        <v>7526.6786899999988</v>
      </c>
      <c r="H17" s="9">
        <v>14442.287042666663</v>
      </c>
    </row>
    <row r="18" spans="1:11" x14ac:dyDescent="0.25">
      <c r="A18" t="s">
        <v>177</v>
      </c>
      <c r="B18" s="4">
        <v>1</v>
      </c>
      <c r="C18" t="s">
        <v>175</v>
      </c>
      <c r="D18" s="9">
        <v>12688.879999999997</v>
      </c>
      <c r="E18" s="9">
        <v>353.99677999999994</v>
      </c>
      <c r="F18" s="9">
        <v>4808.2045299999991</v>
      </c>
      <c r="G18" s="9">
        <v>7526.6786899999988</v>
      </c>
      <c r="H18" s="9">
        <v>14442.287042666663</v>
      </c>
    </row>
    <row r="19" spans="1:11" x14ac:dyDescent="0.25">
      <c r="A19" t="s">
        <v>178</v>
      </c>
      <c r="B19" s="4">
        <v>1</v>
      </c>
      <c r="C19" t="s">
        <v>175</v>
      </c>
      <c r="D19" s="9">
        <v>12688.879999999997</v>
      </c>
      <c r="E19" s="9">
        <v>353.99677999999994</v>
      </c>
      <c r="F19" s="9">
        <v>4808.2045299999991</v>
      </c>
      <c r="G19" s="9">
        <v>7526.6786899999988</v>
      </c>
      <c r="H19" s="9">
        <v>14442.287042666663</v>
      </c>
    </row>
    <row r="20" spans="1:11" x14ac:dyDescent="0.25">
      <c r="A20" t="s">
        <v>179</v>
      </c>
      <c r="B20" s="4">
        <v>1</v>
      </c>
      <c r="C20" t="s">
        <v>175</v>
      </c>
      <c r="D20" s="9">
        <v>12688.879999999997</v>
      </c>
      <c r="E20" s="9">
        <v>353.99677999999994</v>
      </c>
      <c r="F20" s="9">
        <v>4808.2045299999991</v>
      </c>
      <c r="G20" s="9">
        <v>7526.6786899999988</v>
      </c>
      <c r="H20" s="9">
        <v>14442.287042666663</v>
      </c>
    </row>
    <row r="21" spans="1:11" x14ac:dyDescent="0.25">
      <c r="A21" t="s">
        <v>180</v>
      </c>
      <c r="B21" s="4">
        <v>1</v>
      </c>
      <c r="C21" t="s">
        <v>175</v>
      </c>
      <c r="D21" s="9">
        <v>12688.879999999997</v>
      </c>
      <c r="E21" s="9">
        <v>353.99677999999994</v>
      </c>
      <c r="F21" s="9">
        <v>4808.2045299999991</v>
      </c>
      <c r="G21" s="9">
        <v>7526.6786899999988</v>
      </c>
      <c r="H21" s="9">
        <v>14442.287042666663</v>
      </c>
    </row>
    <row r="22" spans="1:11" x14ac:dyDescent="0.25">
      <c r="A22" t="s">
        <v>181</v>
      </c>
      <c r="B22" s="4">
        <v>1</v>
      </c>
      <c r="C22" t="s">
        <v>175</v>
      </c>
      <c r="D22" s="9">
        <v>12688.879999999997</v>
      </c>
      <c r="E22" s="9">
        <v>0</v>
      </c>
      <c r="F22" s="9">
        <v>4808.2045299999982</v>
      </c>
      <c r="G22" s="9">
        <v>7880.6754699999992</v>
      </c>
      <c r="H22" s="9">
        <v>12688.879999999997</v>
      </c>
    </row>
    <row r="23" spans="1:11" x14ac:dyDescent="0.25">
      <c r="A23" t="s">
        <v>183</v>
      </c>
      <c r="B23" s="4">
        <v>1</v>
      </c>
      <c r="C23" t="s">
        <v>175</v>
      </c>
      <c r="D23" s="9">
        <v>12688.879999999997</v>
      </c>
      <c r="E23" s="9">
        <v>353.99677999999994</v>
      </c>
      <c r="F23" s="9">
        <v>4808.2045299999991</v>
      </c>
      <c r="G23" s="9">
        <v>7526.6786899999988</v>
      </c>
      <c r="H23" s="9">
        <v>14442.287042666663</v>
      </c>
    </row>
    <row r="24" spans="1:11" x14ac:dyDescent="0.25">
      <c r="A24" t="s">
        <v>184</v>
      </c>
      <c r="B24" s="4">
        <v>1</v>
      </c>
      <c r="C24" t="s">
        <v>175</v>
      </c>
      <c r="D24" s="9">
        <v>12688.879999999997</v>
      </c>
      <c r="E24" s="9">
        <v>353.99677999999994</v>
      </c>
      <c r="F24" s="9">
        <v>4808.2045299999991</v>
      </c>
      <c r="G24" s="9">
        <v>7526.6786899999988</v>
      </c>
      <c r="H24" s="9">
        <v>14442.287042666663</v>
      </c>
    </row>
    <row r="25" spans="1:11" x14ac:dyDescent="0.25">
      <c r="A25" t="s">
        <v>185</v>
      </c>
      <c r="B25" s="4">
        <v>1</v>
      </c>
      <c r="C25" t="s">
        <v>175</v>
      </c>
      <c r="D25" s="9">
        <v>12688.879999999997</v>
      </c>
      <c r="E25" s="9">
        <v>353.99677999999994</v>
      </c>
      <c r="F25" s="9">
        <v>4808.2045299999991</v>
      </c>
      <c r="G25" s="9">
        <v>7526.6786899999988</v>
      </c>
      <c r="H25" s="9">
        <v>14442.287042666663</v>
      </c>
    </row>
    <row r="26" spans="1:11" x14ac:dyDescent="0.25">
      <c r="A26" t="s">
        <v>186</v>
      </c>
      <c r="B26" s="4">
        <v>1</v>
      </c>
      <c r="C26" t="s">
        <v>175</v>
      </c>
      <c r="D26" s="9">
        <v>12688.879999999997</v>
      </c>
      <c r="E26" s="9">
        <v>353.99677999999994</v>
      </c>
      <c r="F26" s="9">
        <v>4808.2045299999991</v>
      </c>
      <c r="G26" s="9">
        <v>7526.6786899999988</v>
      </c>
      <c r="H26" s="9">
        <v>14442.287042666663</v>
      </c>
    </row>
    <row r="27" spans="1:11" x14ac:dyDescent="0.25">
      <c r="A27" t="s">
        <v>187</v>
      </c>
      <c r="B27" s="4">
        <v>1</v>
      </c>
      <c r="C27" t="s">
        <v>175</v>
      </c>
      <c r="D27" s="9">
        <v>12688.879999999997</v>
      </c>
      <c r="E27" s="9">
        <v>353.99677999999994</v>
      </c>
      <c r="F27" s="9">
        <v>4808.2045299999991</v>
      </c>
      <c r="G27" s="9">
        <v>7526.6786899999988</v>
      </c>
      <c r="H27" s="9">
        <v>14442.287042666663</v>
      </c>
    </row>
    <row r="28" spans="1:11" x14ac:dyDescent="0.25">
      <c r="A28" t="s">
        <v>188</v>
      </c>
      <c r="B28" s="4">
        <v>1</v>
      </c>
      <c r="C28" t="s">
        <v>175</v>
      </c>
      <c r="D28" s="9">
        <v>12688.879999999997</v>
      </c>
      <c r="E28" s="9">
        <v>0</v>
      </c>
      <c r="F28" s="9">
        <v>4808.2045299999982</v>
      </c>
      <c r="G28" s="9">
        <v>7880.6754699999992</v>
      </c>
      <c r="H28" s="9">
        <v>12688.879999999997</v>
      </c>
    </row>
    <row r="29" spans="1:11" x14ac:dyDescent="0.25">
      <c r="A29" t="s">
        <v>189</v>
      </c>
      <c r="B29" s="4">
        <v>1</v>
      </c>
      <c r="C29" t="s">
        <v>175</v>
      </c>
      <c r="D29" s="9">
        <v>12688.879999999997</v>
      </c>
      <c r="E29" s="9">
        <v>353.99677999999994</v>
      </c>
      <c r="F29" s="9">
        <v>4808.2045299999991</v>
      </c>
      <c r="G29" s="9">
        <v>7526.6786899999988</v>
      </c>
      <c r="H29" s="9">
        <v>14442.287042666663</v>
      </c>
    </row>
    <row r="30" spans="1:11" x14ac:dyDescent="0.25">
      <c r="A30" s="45" t="s">
        <v>340</v>
      </c>
      <c r="B30" s="45"/>
      <c r="C30" s="45"/>
      <c r="D30" s="14">
        <v>177644.32</v>
      </c>
      <c r="E30" s="14">
        <v>4247.9613599999993</v>
      </c>
      <c r="F30" s="14">
        <v>67314.863419999994</v>
      </c>
      <c r="G30" s="14">
        <v>106081.49522</v>
      </c>
      <c r="H30" s="14">
        <v>198685.20451199997</v>
      </c>
    </row>
    <row r="32" spans="1:11" x14ac:dyDescent="0.25">
      <c r="A32" s="55" t="s">
        <v>279</v>
      </c>
      <c r="B32" s="55"/>
      <c r="C32" s="55"/>
      <c r="D32" s="55"/>
      <c r="E32" s="55"/>
      <c r="F32" s="55"/>
      <c r="G32" s="55"/>
      <c r="H32" s="55"/>
      <c r="I32" s="55"/>
      <c r="J32" s="55"/>
      <c r="K32" s="55"/>
    </row>
    <row r="33" spans="1:11" ht="30" x14ac:dyDescent="0.25">
      <c r="A33" s="36" t="s">
        <v>341</v>
      </c>
      <c r="B33" s="37">
        <v>0</v>
      </c>
      <c r="C33" s="37"/>
      <c r="D33" s="38" t="s">
        <v>342</v>
      </c>
      <c r="E33" s="37">
        <v>0</v>
      </c>
      <c r="F33" s="37"/>
      <c r="G33" s="38" t="s">
        <v>343</v>
      </c>
      <c r="H33" s="37">
        <v>0</v>
      </c>
      <c r="I33" s="39"/>
      <c r="J33" s="39"/>
      <c r="K33" s="39"/>
    </row>
    <row r="34" spans="1:11" x14ac:dyDescent="0.25">
      <c r="A34" s="39"/>
      <c r="B34" s="39"/>
      <c r="C34" s="39"/>
      <c r="D34" s="39"/>
      <c r="E34" s="39"/>
      <c r="F34" s="39"/>
      <c r="G34" s="39"/>
      <c r="H34" s="39"/>
      <c r="I34" s="39"/>
      <c r="J34" s="39"/>
      <c r="K34" s="39"/>
    </row>
    <row r="35" spans="1:11" ht="33.950000000000003" customHeight="1" x14ac:dyDescent="0.25">
      <c r="A35" s="33" t="s">
        <v>150</v>
      </c>
      <c r="B35" s="33" t="s">
        <v>344</v>
      </c>
      <c r="C35" s="33" t="s">
        <v>345</v>
      </c>
      <c r="D35" s="33" t="s">
        <v>346</v>
      </c>
      <c r="E35" s="33" t="s">
        <v>347</v>
      </c>
      <c r="F35" s="33" t="s">
        <v>348</v>
      </c>
      <c r="G35" s="33" t="s">
        <v>349</v>
      </c>
      <c r="H35" s="33" t="s">
        <v>327</v>
      </c>
      <c r="I35" s="33" t="s">
        <v>328</v>
      </c>
      <c r="J35" s="33" t="s">
        <v>350</v>
      </c>
      <c r="K35" s="33" t="s">
        <v>351</v>
      </c>
    </row>
    <row r="36" spans="1:11" x14ac:dyDescent="0.25">
      <c r="A36" s="39" t="s">
        <v>173</v>
      </c>
      <c r="B36" s="37">
        <v>0</v>
      </c>
      <c r="C36" s="37">
        <v>14557.778666666669</v>
      </c>
      <c r="D36" s="37">
        <v>14803.693333333331</v>
      </c>
      <c r="E36" s="37">
        <v>353.99677999999994</v>
      </c>
      <c r="F36" s="37">
        <v>353.99677999999994</v>
      </c>
      <c r="G36" s="37">
        <v>0</v>
      </c>
      <c r="H36" s="37">
        <v>1753.4070426666665</v>
      </c>
      <c r="I36" s="37">
        <v>1753.4070426666665</v>
      </c>
      <c r="J36" s="37">
        <v>0</v>
      </c>
      <c r="K36" s="37">
        <v>0</v>
      </c>
    </row>
    <row r="37" spans="1:11" x14ac:dyDescent="0.25">
      <c r="A37" s="39" t="s">
        <v>176</v>
      </c>
      <c r="B37" s="37">
        <v>0</v>
      </c>
      <c r="C37" s="37">
        <v>14557.778666666669</v>
      </c>
      <c r="D37" s="37">
        <v>14803.693333333331</v>
      </c>
      <c r="E37" s="37">
        <v>353.99677999999994</v>
      </c>
      <c r="F37" s="37">
        <v>353.99677999999994</v>
      </c>
      <c r="G37" s="37">
        <v>0</v>
      </c>
      <c r="H37" s="37">
        <v>1753.4070426666665</v>
      </c>
      <c r="I37" s="37">
        <v>1753.4070426666665</v>
      </c>
      <c r="J37" s="37">
        <v>0</v>
      </c>
      <c r="K37" s="37">
        <v>0</v>
      </c>
    </row>
    <row r="38" spans="1:11" x14ac:dyDescent="0.25">
      <c r="A38" s="39" t="s">
        <v>177</v>
      </c>
      <c r="B38" s="37">
        <v>0</v>
      </c>
      <c r="C38" s="37">
        <v>14557.778666666669</v>
      </c>
      <c r="D38" s="37">
        <v>14803.693333333331</v>
      </c>
      <c r="E38" s="37">
        <v>353.99677999999994</v>
      </c>
      <c r="F38" s="37">
        <v>353.99677999999994</v>
      </c>
      <c r="G38" s="37">
        <v>0</v>
      </c>
      <c r="H38" s="37">
        <v>1753.4070426666665</v>
      </c>
      <c r="I38" s="37">
        <v>1753.4070426666665</v>
      </c>
      <c r="J38" s="37">
        <v>0</v>
      </c>
      <c r="K38" s="37">
        <v>0</v>
      </c>
    </row>
    <row r="39" spans="1:11" x14ac:dyDescent="0.25">
      <c r="A39" s="39" t="s">
        <v>178</v>
      </c>
      <c r="B39" s="37">
        <v>0</v>
      </c>
      <c r="C39" s="37">
        <v>14557.778666666669</v>
      </c>
      <c r="D39" s="37">
        <v>14803.693333333331</v>
      </c>
      <c r="E39" s="37">
        <v>353.99677999999994</v>
      </c>
      <c r="F39" s="37">
        <v>353.99677999999994</v>
      </c>
      <c r="G39" s="37">
        <v>0</v>
      </c>
      <c r="H39" s="37">
        <v>1753.4070426666665</v>
      </c>
      <c r="I39" s="37">
        <v>1753.4070426666665</v>
      </c>
      <c r="J39" s="37">
        <v>0</v>
      </c>
      <c r="K39" s="37">
        <v>0</v>
      </c>
    </row>
    <row r="40" spans="1:11" x14ac:dyDescent="0.25">
      <c r="A40" s="39" t="s">
        <v>179</v>
      </c>
      <c r="B40" s="37">
        <v>0</v>
      </c>
      <c r="C40" s="37">
        <v>14557.778666666669</v>
      </c>
      <c r="D40" s="37">
        <v>14803.693333333331</v>
      </c>
      <c r="E40" s="37">
        <v>353.99677999999994</v>
      </c>
      <c r="F40" s="37">
        <v>353.99677999999994</v>
      </c>
      <c r="G40" s="37">
        <v>0</v>
      </c>
      <c r="H40" s="37">
        <v>1753.4070426666665</v>
      </c>
      <c r="I40" s="37">
        <v>1753.4070426666665</v>
      </c>
      <c r="J40" s="37">
        <v>0</v>
      </c>
      <c r="K40" s="37">
        <v>0</v>
      </c>
    </row>
    <row r="41" spans="1:11" x14ac:dyDescent="0.25">
      <c r="A41" s="39" t="s">
        <v>180</v>
      </c>
      <c r="B41" s="37">
        <v>0</v>
      </c>
      <c r="C41" s="37">
        <v>14557.778666666669</v>
      </c>
      <c r="D41" s="37">
        <v>14803.693333333331</v>
      </c>
      <c r="E41" s="37">
        <v>353.99677999999994</v>
      </c>
      <c r="F41" s="37">
        <v>353.99677999999994</v>
      </c>
      <c r="G41" s="37">
        <v>0</v>
      </c>
      <c r="H41" s="37">
        <v>1753.4070426666665</v>
      </c>
      <c r="I41" s="37">
        <v>1753.4070426666665</v>
      </c>
      <c r="J41" s="37">
        <v>0</v>
      </c>
      <c r="K41" s="37">
        <v>0</v>
      </c>
    </row>
    <row r="42" spans="1:11" x14ac:dyDescent="0.25">
      <c r="A42" s="39" t="s">
        <v>183</v>
      </c>
      <c r="B42" s="37">
        <v>0</v>
      </c>
      <c r="C42" s="37">
        <v>14557.778666666669</v>
      </c>
      <c r="D42" s="37">
        <v>14803.693333333331</v>
      </c>
      <c r="E42" s="37">
        <v>353.99677999999994</v>
      </c>
      <c r="F42" s="37">
        <v>353.99677999999994</v>
      </c>
      <c r="G42" s="37">
        <v>0</v>
      </c>
      <c r="H42" s="37">
        <v>1753.4070426666665</v>
      </c>
      <c r="I42" s="37">
        <v>1753.4070426666665</v>
      </c>
      <c r="J42" s="37">
        <v>0</v>
      </c>
      <c r="K42" s="37">
        <v>0</v>
      </c>
    </row>
    <row r="43" spans="1:11" x14ac:dyDescent="0.25">
      <c r="A43" s="39" t="s">
        <v>184</v>
      </c>
      <c r="B43" s="37">
        <v>0</v>
      </c>
      <c r="C43" s="37">
        <v>14557.778666666669</v>
      </c>
      <c r="D43" s="37">
        <v>14803.693333333331</v>
      </c>
      <c r="E43" s="37">
        <v>353.99677999999994</v>
      </c>
      <c r="F43" s="37">
        <v>353.99677999999994</v>
      </c>
      <c r="G43" s="37">
        <v>0</v>
      </c>
      <c r="H43" s="37">
        <v>1753.4070426666665</v>
      </c>
      <c r="I43" s="37">
        <v>1753.4070426666665</v>
      </c>
      <c r="J43" s="37">
        <v>0</v>
      </c>
      <c r="K43" s="37">
        <v>0</v>
      </c>
    </row>
    <row r="44" spans="1:11" x14ac:dyDescent="0.25">
      <c r="A44" s="39" t="s">
        <v>185</v>
      </c>
      <c r="B44" s="37">
        <v>0</v>
      </c>
      <c r="C44" s="37">
        <v>14557.778666666669</v>
      </c>
      <c r="D44" s="37">
        <v>14803.693333333331</v>
      </c>
      <c r="E44" s="37">
        <v>353.99677999999994</v>
      </c>
      <c r="F44" s="37">
        <v>353.99677999999994</v>
      </c>
      <c r="G44" s="37">
        <v>0</v>
      </c>
      <c r="H44" s="37">
        <v>1753.4070426666665</v>
      </c>
      <c r="I44" s="37">
        <v>1753.4070426666665</v>
      </c>
      <c r="J44" s="37">
        <v>0</v>
      </c>
      <c r="K44" s="37">
        <v>0</v>
      </c>
    </row>
    <row r="45" spans="1:11" x14ac:dyDescent="0.25">
      <c r="A45" s="39" t="s">
        <v>186</v>
      </c>
      <c r="B45" s="37">
        <v>0</v>
      </c>
      <c r="C45" s="37">
        <v>14557.778666666669</v>
      </c>
      <c r="D45" s="37">
        <v>14803.693333333331</v>
      </c>
      <c r="E45" s="37">
        <v>353.99677999999994</v>
      </c>
      <c r="F45" s="37">
        <v>353.99677999999994</v>
      </c>
      <c r="G45" s="37">
        <v>0</v>
      </c>
      <c r="H45" s="37">
        <v>1753.4070426666665</v>
      </c>
      <c r="I45" s="37">
        <v>1753.4070426666665</v>
      </c>
      <c r="J45" s="37">
        <v>0</v>
      </c>
      <c r="K45" s="37">
        <v>0</v>
      </c>
    </row>
    <row r="46" spans="1:11" x14ac:dyDescent="0.25">
      <c r="A46" s="39" t="s">
        <v>187</v>
      </c>
      <c r="B46" s="37">
        <v>0</v>
      </c>
      <c r="C46" s="37">
        <v>14557.778666666669</v>
      </c>
      <c r="D46" s="37">
        <v>14803.693333333331</v>
      </c>
      <c r="E46" s="37">
        <v>353.99677999999994</v>
      </c>
      <c r="F46" s="37">
        <v>353.99677999999994</v>
      </c>
      <c r="G46" s="37">
        <v>0</v>
      </c>
      <c r="H46" s="37">
        <v>1753.4070426666665</v>
      </c>
      <c r="I46" s="37">
        <v>1753.4070426666665</v>
      </c>
      <c r="J46" s="37">
        <v>0</v>
      </c>
      <c r="K46" s="37">
        <v>0</v>
      </c>
    </row>
    <row r="47" spans="1:11" x14ac:dyDescent="0.25">
      <c r="A47" s="39" t="s">
        <v>189</v>
      </c>
      <c r="B47" s="37">
        <v>0</v>
      </c>
      <c r="C47" s="37">
        <v>14557.778666666669</v>
      </c>
      <c r="D47" s="37">
        <v>14803.693333333331</v>
      </c>
      <c r="E47" s="37">
        <v>353.99677999999994</v>
      </c>
      <c r="F47" s="37">
        <v>353.99677999999994</v>
      </c>
      <c r="G47" s="37">
        <v>0</v>
      </c>
      <c r="H47" s="37">
        <v>1753.4070426666665</v>
      </c>
      <c r="I47" s="37">
        <v>1753.4070426666665</v>
      </c>
      <c r="J47" s="37">
        <v>0</v>
      </c>
      <c r="K47" s="37">
        <v>0</v>
      </c>
    </row>
    <row r="48" spans="1:11" x14ac:dyDescent="0.25">
      <c r="A48" s="40" t="s">
        <v>352</v>
      </c>
      <c r="B48" s="41">
        <f t="shared" ref="B48:K48" si="0">SUM(B36:B47)</f>
        <v>0</v>
      </c>
      <c r="C48" s="41">
        <f t="shared" si="0"/>
        <v>174693.34400000004</v>
      </c>
      <c r="D48" s="41">
        <f t="shared" si="0"/>
        <v>177644.31999999998</v>
      </c>
      <c r="E48" s="41">
        <f t="shared" si="0"/>
        <v>4247.9613599999993</v>
      </c>
      <c r="F48" s="41">
        <f t="shared" si="0"/>
        <v>4247.9613599999993</v>
      </c>
      <c r="G48" s="41">
        <f t="shared" si="0"/>
        <v>0</v>
      </c>
      <c r="H48" s="41">
        <f t="shared" si="0"/>
        <v>21040.884511999993</v>
      </c>
      <c r="I48" s="41">
        <f t="shared" si="0"/>
        <v>21040.884511999993</v>
      </c>
      <c r="J48" s="41">
        <f t="shared" si="0"/>
        <v>0</v>
      </c>
      <c r="K48" s="41">
        <f t="shared" si="0"/>
        <v>0</v>
      </c>
    </row>
  </sheetData>
  <mergeCells count="4">
    <mergeCell ref="A1:H1"/>
    <mergeCell ref="D5:H5"/>
    <mergeCell ref="A30:C30"/>
    <mergeCell ref="A32:K3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48"/>
  <sheetViews>
    <sheetView workbookViewId="0"/>
  </sheetViews>
  <sheetFormatPr baseColWidth="10" defaultColWidth="9.140625" defaultRowHeight="15" x14ac:dyDescent="0.25"/>
  <cols>
    <col min="1" max="1" width="18" customWidth="1"/>
    <col min="2" max="11" width="16" customWidth="1"/>
  </cols>
  <sheetData>
    <row r="1" spans="1:8" ht="26.1" customHeight="1" x14ac:dyDescent="0.3">
      <c r="A1" s="46" t="s">
        <v>332</v>
      </c>
      <c r="B1" s="46"/>
      <c r="C1" s="46"/>
      <c r="D1" s="46"/>
      <c r="E1" s="46"/>
      <c r="F1" s="46"/>
      <c r="G1" s="46"/>
      <c r="H1" s="46"/>
    </row>
    <row r="3" spans="1:8" x14ac:dyDescent="0.25">
      <c r="A3" t="s">
        <v>149</v>
      </c>
      <c r="B3" s="13" t="s">
        <v>98</v>
      </c>
    </row>
    <row r="5" spans="1:8" x14ac:dyDescent="0.25">
      <c r="A5" t="s">
        <v>74</v>
      </c>
      <c r="B5" t="s">
        <v>99</v>
      </c>
      <c r="D5" s="54" t="s">
        <v>333</v>
      </c>
      <c r="E5" s="54"/>
      <c r="F5" s="54"/>
      <c r="G5" s="54"/>
      <c r="H5" s="54"/>
    </row>
    <row r="6" spans="1:8" x14ac:dyDescent="0.25">
      <c r="A6" t="s">
        <v>334</v>
      </c>
      <c r="B6">
        <v>1973</v>
      </c>
      <c r="D6" t="s">
        <v>335</v>
      </c>
      <c r="E6" s="9">
        <v>18816.901109999999</v>
      </c>
    </row>
    <row r="7" spans="1:8" x14ac:dyDescent="0.25">
      <c r="A7" t="s">
        <v>76</v>
      </c>
      <c r="B7" s="1">
        <v>37867</v>
      </c>
      <c r="D7" t="s">
        <v>336</v>
      </c>
      <c r="E7" s="9">
        <v>1223.0985721500001</v>
      </c>
    </row>
    <row r="8" spans="1:8" x14ac:dyDescent="0.25">
      <c r="A8" t="s">
        <v>77</v>
      </c>
      <c r="B8" s="4">
        <v>6.9699999999999998E-2</v>
      </c>
      <c r="D8" t="s">
        <v>77</v>
      </c>
      <c r="E8" s="9">
        <v>1264.4957545920004</v>
      </c>
    </row>
    <row r="9" spans="1:8" x14ac:dyDescent="0.25">
      <c r="A9" t="s">
        <v>78</v>
      </c>
      <c r="B9" s="4">
        <v>1</v>
      </c>
      <c r="D9" t="s">
        <v>337</v>
      </c>
      <c r="E9" s="9">
        <v>16329.306783258004</v>
      </c>
    </row>
    <row r="10" spans="1:8" x14ac:dyDescent="0.25">
      <c r="A10" t="s">
        <v>79</v>
      </c>
      <c r="B10" t="s">
        <v>141</v>
      </c>
      <c r="D10" t="s">
        <v>338</v>
      </c>
      <c r="E10" s="9">
        <v>6049.633706865</v>
      </c>
    </row>
    <row r="11" spans="1:8" x14ac:dyDescent="0.25">
      <c r="A11" t="s">
        <v>82</v>
      </c>
      <c r="B11" s="9">
        <v>894.02</v>
      </c>
      <c r="D11" t="s">
        <v>267</v>
      </c>
      <c r="E11" s="9">
        <v>24866.534816865005</v>
      </c>
    </row>
    <row r="12" spans="1:8" x14ac:dyDescent="0.25">
      <c r="A12" t="s">
        <v>81</v>
      </c>
      <c r="B12" s="4">
        <v>1.4999999999999999E-2</v>
      </c>
    </row>
    <row r="13" spans="1:8" x14ac:dyDescent="0.25">
      <c r="A13" s="35" t="s">
        <v>90</v>
      </c>
      <c r="B13" s="34">
        <v>5300</v>
      </c>
    </row>
    <row r="15" spans="1:8" x14ac:dyDescent="0.25">
      <c r="A15" s="6" t="s">
        <v>150</v>
      </c>
      <c r="B15" s="6" t="s">
        <v>339</v>
      </c>
      <c r="C15" s="6" t="s">
        <v>165</v>
      </c>
      <c r="D15" s="6" t="s">
        <v>94</v>
      </c>
      <c r="E15" s="6" t="s">
        <v>336</v>
      </c>
      <c r="F15" s="6" t="s">
        <v>77</v>
      </c>
      <c r="G15" s="6" t="s">
        <v>95</v>
      </c>
      <c r="H15" s="6" t="s">
        <v>267</v>
      </c>
    </row>
    <row r="16" spans="1:8" x14ac:dyDescent="0.25">
      <c r="A16" t="s">
        <v>173</v>
      </c>
      <c r="B16" s="4">
        <v>1</v>
      </c>
      <c r="C16" t="s">
        <v>175</v>
      </c>
      <c r="D16" s="9">
        <v>1344.0643650000002</v>
      </c>
      <c r="E16" s="9">
        <v>101.92488101250001</v>
      </c>
      <c r="F16" s="9">
        <v>90.321125328000008</v>
      </c>
      <c r="G16" s="9">
        <v>1151.8183586595001</v>
      </c>
      <c r="H16" s="9">
        <v>1848.2005072387501</v>
      </c>
    </row>
    <row r="17" spans="1:11" x14ac:dyDescent="0.25">
      <c r="A17" t="s">
        <v>176</v>
      </c>
      <c r="B17" s="4">
        <v>1</v>
      </c>
      <c r="C17" t="s">
        <v>175</v>
      </c>
      <c r="D17" s="9">
        <v>1344.0643650000002</v>
      </c>
      <c r="E17" s="9">
        <v>101.92488101250001</v>
      </c>
      <c r="F17" s="9">
        <v>90.321125328000008</v>
      </c>
      <c r="G17" s="9">
        <v>1151.8183586595001</v>
      </c>
      <c r="H17" s="9">
        <v>1848.2005072387501</v>
      </c>
    </row>
    <row r="18" spans="1:11" x14ac:dyDescent="0.25">
      <c r="A18" t="s">
        <v>177</v>
      </c>
      <c r="B18" s="4">
        <v>1</v>
      </c>
      <c r="C18" t="s">
        <v>175</v>
      </c>
      <c r="D18" s="9">
        <v>1344.0643650000002</v>
      </c>
      <c r="E18" s="9">
        <v>101.92488101250001</v>
      </c>
      <c r="F18" s="9">
        <v>90.321125328000008</v>
      </c>
      <c r="G18" s="9">
        <v>1151.8183586595001</v>
      </c>
      <c r="H18" s="9">
        <v>1848.2005072387501</v>
      </c>
    </row>
    <row r="19" spans="1:11" x14ac:dyDescent="0.25">
      <c r="A19" t="s">
        <v>178</v>
      </c>
      <c r="B19" s="4">
        <v>1</v>
      </c>
      <c r="C19" t="s">
        <v>175</v>
      </c>
      <c r="D19" s="9">
        <v>1344.0643650000002</v>
      </c>
      <c r="E19" s="9">
        <v>101.92488101250001</v>
      </c>
      <c r="F19" s="9">
        <v>90.321125328000008</v>
      </c>
      <c r="G19" s="9">
        <v>1151.8183586595001</v>
      </c>
      <c r="H19" s="9">
        <v>1848.2005072387501</v>
      </c>
    </row>
    <row r="20" spans="1:11" x14ac:dyDescent="0.25">
      <c r="A20" t="s">
        <v>179</v>
      </c>
      <c r="B20" s="4">
        <v>1</v>
      </c>
      <c r="C20" t="s">
        <v>175</v>
      </c>
      <c r="D20" s="9">
        <v>1344.0643650000002</v>
      </c>
      <c r="E20" s="9">
        <v>101.92488101250001</v>
      </c>
      <c r="F20" s="9">
        <v>90.321125328000008</v>
      </c>
      <c r="G20" s="9">
        <v>1151.8183586595001</v>
      </c>
      <c r="H20" s="9">
        <v>1848.2005072387501</v>
      </c>
    </row>
    <row r="21" spans="1:11" x14ac:dyDescent="0.25">
      <c r="A21" t="s">
        <v>180</v>
      </c>
      <c r="B21" s="4">
        <v>1</v>
      </c>
      <c r="C21" t="s">
        <v>175</v>
      </c>
      <c r="D21" s="9">
        <v>1344.0643650000002</v>
      </c>
      <c r="E21" s="9">
        <v>101.92488101250001</v>
      </c>
      <c r="F21" s="9">
        <v>90.321125328000008</v>
      </c>
      <c r="G21" s="9">
        <v>1151.8183586595001</v>
      </c>
      <c r="H21" s="9">
        <v>1848.2005072387501</v>
      </c>
    </row>
    <row r="22" spans="1:11" x14ac:dyDescent="0.25">
      <c r="A22" t="s">
        <v>181</v>
      </c>
      <c r="B22" s="4">
        <v>1</v>
      </c>
      <c r="C22" t="s">
        <v>175</v>
      </c>
      <c r="D22" s="9">
        <v>1344.0643650000002</v>
      </c>
      <c r="E22" s="9">
        <v>0</v>
      </c>
      <c r="F22" s="9">
        <v>90.321125328000008</v>
      </c>
      <c r="G22" s="9">
        <v>1253.7432396720001</v>
      </c>
      <c r="H22" s="9">
        <v>1344.0643650000002</v>
      </c>
    </row>
    <row r="23" spans="1:11" x14ac:dyDescent="0.25">
      <c r="A23" t="s">
        <v>183</v>
      </c>
      <c r="B23" s="4">
        <v>1</v>
      </c>
      <c r="C23" t="s">
        <v>175</v>
      </c>
      <c r="D23" s="9">
        <v>1344.0643650000002</v>
      </c>
      <c r="E23" s="9">
        <v>101.92488101250001</v>
      </c>
      <c r="F23" s="9">
        <v>90.321125328000008</v>
      </c>
      <c r="G23" s="9">
        <v>1151.8183586595001</v>
      </c>
      <c r="H23" s="9">
        <v>1848.2005072387501</v>
      </c>
    </row>
    <row r="24" spans="1:11" x14ac:dyDescent="0.25">
      <c r="A24" t="s">
        <v>184</v>
      </c>
      <c r="B24" s="4">
        <v>1</v>
      </c>
      <c r="C24" t="s">
        <v>175</v>
      </c>
      <c r="D24" s="9">
        <v>1344.0643650000002</v>
      </c>
      <c r="E24" s="9">
        <v>101.92488101250001</v>
      </c>
      <c r="F24" s="9">
        <v>90.321125328000008</v>
      </c>
      <c r="G24" s="9">
        <v>1151.8183586595001</v>
      </c>
      <c r="H24" s="9">
        <v>1848.2005072387501</v>
      </c>
    </row>
    <row r="25" spans="1:11" x14ac:dyDescent="0.25">
      <c r="A25" t="s">
        <v>185</v>
      </c>
      <c r="B25" s="4">
        <v>1</v>
      </c>
      <c r="C25" t="s">
        <v>175</v>
      </c>
      <c r="D25" s="9">
        <v>1344.0643650000002</v>
      </c>
      <c r="E25" s="9">
        <v>101.92488101250001</v>
      </c>
      <c r="F25" s="9">
        <v>90.321125328000008</v>
      </c>
      <c r="G25" s="9">
        <v>1151.8183586595001</v>
      </c>
      <c r="H25" s="9">
        <v>1848.2005072387501</v>
      </c>
    </row>
    <row r="26" spans="1:11" x14ac:dyDescent="0.25">
      <c r="A26" t="s">
        <v>186</v>
      </c>
      <c r="B26" s="4">
        <v>1</v>
      </c>
      <c r="C26" t="s">
        <v>175</v>
      </c>
      <c r="D26" s="9">
        <v>1344.0643650000002</v>
      </c>
      <c r="E26" s="9">
        <v>101.92488101250001</v>
      </c>
      <c r="F26" s="9">
        <v>90.321125328000008</v>
      </c>
      <c r="G26" s="9">
        <v>1151.8183586595001</v>
      </c>
      <c r="H26" s="9">
        <v>1848.2005072387501</v>
      </c>
    </row>
    <row r="27" spans="1:11" x14ac:dyDescent="0.25">
      <c r="A27" t="s">
        <v>187</v>
      </c>
      <c r="B27" s="4">
        <v>1</v>
      </c>
      <c r="C27" t="s">
        <v>175</v>
      </c>
      <c r="D27" s="9">
        <v>1344.0643650000002</v>
      </c>
      <c r="E27" s="9">
        <v>101.92488101250001</v>
      </c>
      <c r="F27" s="9">
        <v>90.321125328000008</v>
      </c>
      <c r="G27" s="9">
        <v>1151.8183586595001</v>
      </c>
      <c r="H27" s="9">
        <v>1848.2005072387501</v>
      </c>
    </row>
    <row r="28" spans="1:11" x14ac:dyDescent="0.25">
      <c r="A28" t="s">
        <v>188</v>
      </c>
      <c r="B28" s="4">
        <v>1</v>
      </c>
      <c r="C28" t="s">
        <v>175</v>
      </c>
      <c r="D28" s="9">
        <v>1344.0643650000002</v>
      </c>
      <c r="E28" s="9">
        <v>0</v>
      </c>
      <c r="F28" s="9">
        <v>90.321125328000008</v>
      </c>
      <c r="G28" s="9">
        <v>1253.7432396720001</v>
      </c>
      <c r="H28" s="9">
        <v>1344.0643650000002</v>
      </c>
    </row>
    <row r="29" spans="1:11" x14ac:dyDescent="0.25">
      <c r="A29" t="s">
        <v>189</v>
      </c>
      <c r="B29" s="4">
        <v>1</v>
      </c>
      <c r="C29" t="s">
        <v>175</v>
      </c>
      <c r="D29" s="9">
        <v>1344.0643650000002</v>
      </c>
      <c r="E29" s="9">
        <v>101.92488101250001</v>
      </c>
      <c r="F29" s="9">
        <v>90.321125328000008</v>
      </c>
      <c r="G29" s="9">
        <v>1151.8183586595001</v>
      </c>
      <c r="H29" s="9">
        <v>1848.2005072387501</v>
      </c>
    </row>
    <row r="30" spans="1:11" x14ac:dyDescent="0.25">
      <c r="A30" s="45" t="s">
        <v>340</v>
      </c>
      <c r="B30" s="45"/>
      <c r="C30" s="45"/>
      <c r="D30" s="14">
        <v>18816.901109999999</v>
      </c>
      <c r="E30" s="14">
        <v>1223.0985721500001</v>
      </c>
      <c r="F30" s="14">
        <v>1264.4957545920004</v>
      </c>
      <c r="G30" s="14">
        <v>16329.306783258004</v>
      </c>
      <c r="H30" s="14">
        <v>24866.534816865005</v>
      </c>
    </row>
    <row r="32" spans="1:11" x14ac:dyDescent="0.25">
      <c r="A32" s="55" t="s">
        <v>279</v>
      </c>
      <c r="B32" s="55"/>
      <c r="C32" s="55"/>
      <c r="D32" s="55"/>
      <c r="E32" s="55"/>
      <c r="F32" s="55"/>
      <c r="G32" s="55"/>
      <c r="H32" s="55"/>
      <c r="I32" s="55"/>
      <c r="J32" s="55"/>
      <c r="K32" s="55"/>
    </row>
    <row r="33" spans="1:11" ht="30" x14ac:dyDescent="0.25">
      <c r="A33" s="36" t="s">
        <v>341</v>
      </c>
      <c r="B33" s="37">
        <v>5300</v>
      </c>
      <c r="C33" s="37"/>
      <c r="D33" s="38" t="s">
        <v>342</v>
      </c>
      <c r="E33" s="37">
        <v>441.66666666666669</v>
      </c>
      <c r="F33" s="37"/>
      <c r="G33" s="38" t="s">
        <v>343</v>
      </c>
      <c r="H33" s="37">
        <v>1932.5000000000007</v>
      </c>
      <c r="I33" s="39"/>
      <c r="J33" s="39"/>
      <c r="K33" s="39"/>
    </row>
    <row r="34" spans="1:11" x14ac:dyDescent="0.25">
      <c r="A34" s="39"/>
      <c r="B34" s="39"/>
      <c r="C34" s="39"/>
      <c r="D34" s="39"/>
      <c r="E34" s="39"/>
      <c r="F34" s="39"/>
      <c r="G34" s="39"/>
      <c r="H34" s="39"/>
      <c r="I34" s="39"/>
      <c r="J34" s="39"/>
      <c r="K34" s="39"/>
    </row>
    <row r="35" spans="1:11" ht="33.950000000000003" customHeight="1" x14ac:dyDescent="0.25">
      <c r="A35" s="33" t="s">
        <v>150</v>
      </c>
      <c r="B35" s="33" t="s">
        <v>344</v>
      </c>
      <c r="C35" s="33" t="s">
        <v>345</v>
      </c>
      <c r="D35" s="33" t="s">
        <v>346</v>
      </c>
      <c r="E35" s="33" t="s">
        <v>347</v>
      </c>
      <c r="F35" s="33" t="s">
        <v>348</v>
      </c>
      <c r="G35" s="33" t="s">
        <v>349</v>
      </c>
      <c r="H35" s="33" t="s">
        <v>327</v>
      </c>
      <c r="I35" s="33" t="s">
        <v>328</v>
      </c>
      <c r="J35" s="33" t="s">
        <v>350</v>
      </c>
      <c r="K35" s="33" t="s">
        <v>351</v>
      </c>
    </row>
    <row r="36" spans="1:11" x14ac:dyDescent="0.25">
      <c r="A36" s="39" t="s">
        <v>173</v>
      </c>
      <c r="B36" s="37">
        <v>441.66666666666669</v>
      </c>
      <c r="C36" s="37">
        <v>1616.6861666666666</v>
      </c>
      <c r="D36" s="37">
        <v>1984.741759166667</v>
      </c>
      <c r="E36" s="37">
        <v>101.92488101250001</v>
      </c>
      <c r="F36" s="37">
        <v>129.00821434583335</v>
      </c>
      <c r="G36" s="37">
        <v>27.083333333333343</v>
      </c>
      <c r="H36" s="37">
        <v>504.13614223875004</v>
      </c>
      <c r="I36" s="37">
        <v>638.09447557208341</v>
      </c>
      <c r="J36" s="37">
        <v>133.95833333333337</v>
      </c>
      <c r="K36" s="37">
        <v>161.04166666666671</v>
      </c>
    </row>
    <row r="37" spans="1:11" x14ac:dyDescent="0.25">
      <c r="A37" s="39" t="s">
        <v>176</v>
      </c>
      <c r="B37" s="37">
        <v>441.66666666666669</v>
      </c>
      <c r="C37" s="37">
        <v>1616.6861666666666</v>
      </c>
      <c r="D37" s="37">
        <v>1984.741759166667</v>
      </c>
      <c r="E37" s="37">
        <v>101.92488101250001</v>
      </c>
      <c r="F37" s="37">
        <v>129.00821434583335</v>
      </c>
      <c r="G37" s="37">
        <v>27.083333333333343</v>
      </c>
      <c r="H37" s="37">
        <v>504.13614223875004</v>
      </c>
      <c r="I37" s="37">
        <v>638.09447557208341</v>
      </c>
      <c r="J37" s="37">
        <v>133.95833333333337</v>
      </c>
      <c r="K37" s="37">
        <v>161.04166666666671</v>
      </c>
    </row>
    <row r="38" spans="1:11" x14ac:dyDescent="0.25">
      <c r="A38" s="39" t="s">
        <v>177</v>
      </c>
      <c r="B38" s="37">
        <v>441.66666666666669</v>
      </c>
      <c r="C38" s="37">
        <v>1616.6861666666666</v>
      </c>
      <c r="D38" s="37">
        <v>1984.741759166667</v>
      </c>
      <c r="E38" s="37">
        <v>101.92488101250001</v>
      </c>
      <c r="F38" s="37">
        <v>129.00821434583335</v>
      </c>
      <c r="G38" s="37">
        <v>27.083333333333343</v>
      </c>
      <c r="H38" s="37">
        <v>504.13614223875004</v>
      </c>
      <c r="I38" s="37">
        <v>638.09447557208341</v>
      </c>
      <c r="J38" s="37">
        <v>133.95833333333337</v>
      </c>
      <c r="K38" s="37">
        <v>161.04166666666671</v>
      </c>
    </row>
    <row r="39" spans="1:11" x14ac:dyDescent="0.25">
      <c r="A39" s="39" t="s">
        <v>178</v>
      </c>
      <c r="B39" s="37">
        <v>441.66666666666669</v>
      </c>
      <c r="C39" s="37">
        <v>1616.6861666666666</v>
      </c>
      <c r="D39" s="37">
        <v>1984.741759166667</v>
      </c>
      <c r="E39" s="37">
        <v>101.92488101250001</v>
      </c>
      <c r="F39" s="37">
        <v>129.00821434583335</v>
      </c>
      <c r="G39" s="37">
        <v>27.083333333333343</v>
      </c>
      <c r="H39" s="37">
        <v>504.13614223875004</v>
      </c>
      <c r="I39" s="37">
        <v>638.09447557208341</v>
      </c>
      <c r="J39" s="37">
        <v>133.95833333333337</v>
      </c>
      <c r="K39" s="37">
        <v>161.04166666666671</v>
      </c>
    </row>
    <row r="40" spans="1:11" x14ac:dyDescent="0.25">
      <c r="A40" s="39" t="s">
        <v>179</v>
      </c>
      <c r="B40" s="37">
        <v>441.66666666666669</v>
      </c>
      <c r="C40" s="37">
        <v>1616.6861666666666</v>
      </c>
      <c r="D40" s="37">
        <v>1984.741759166667</v>
      </c>
      <c r="E40" s="37">
        <v>101.92488101250001</v>
      </c>
      <c r="F40" s="37">
        <v>129.00821434583335</v>
      </c>
      <c r="G40" s="37">
        <v>27.083333333333343</v>
      </c>
      <c r="H40" s="37">
        <v>504.13614223875004</v>
      </c>
      <c r="I40" s="37">
        <v>638.09447557208341</v>
      </c>
      <c r="J40" s="37">
        <v>133.95833333333337</v>
      </c>
      <c r="K40" s="37">
        <v>161.04166666666671</v>
      </c>
    </row>
    <row r="41" spans="1:11" x14ac:dyDescent="0.25">
      <c r="A41" s="39" t="s">
        <v>180</v>
      </c>
      <c r="B41" s="37">
        <v>441.66666666666669</v>
      </c>
      <c r="C41" s="37">
        <v>1616.6861666666666</v>
      </c>
      <c r="D41" s="37">
        <v>1984.741759166667</v>
      </c>
      <c r="E41" s="37">
        <v>101.92488101250001</v>
      </c>
      <c r="F41" s="37">
        <v>129.00821434583335</v>
      </c>
      <c r="G41" s="37">
        <v>27.083333333333343</v>
      </c>
      <c r="H41" s="37">
        <v>504.13614223875004</v>
      </c>
      <c r="I41" s="37">
        <v>638.09447557208341</v>
      </c>
      <c r="J41" s="37">
        <v>133.95833333333337</v>
      </c>
      <c r="K41" s="37">
        <v>161.04166666666671</v>
      </c>
    </row>
    <row r="42" spans="1:11" x14ac:dyDescent="0.25">
      <c r="A42" s="39" t="s">
        <v>183</v>
      </c>
      <c r="B42" s="37">
        <v>441.66666666666669</v>
      </c>
      <c r="C42" s="37">
        <v>1616.6861666666666</v>
      </c>
      <c r="D42" s="37">
        <v>1984.741759166667</v>
      </c>
      <c r="E42" s="37">
        <v>101.92488101250001</v>
      </c>
      <c r="F42" s="37">
        <v>129.00821434583335</v>
      </c>
      <c r="G42" s="37">
        <v>27.083333333333343</v>
      </c>
      <c r="H42" s="37">
        <v>504.13614223875004</v>
      </c>
      <c r="I42" s="37">
        <v>638.09447557208341</v>
      </c>
      <c r="J42" s="37">
        <v>133.95833333333337</v>
      </c>
      <c r="K42" s="37">
        <v>161.04166666666671</v>
      </c>
    </row>
    <row r="43" spans="1:11" x14ac:dyDescent="0.25">
      <c r="A43" s="39" t="s">
        <v>184</v>
      </c>
      <c r="B43" s="37">
        <v>441.66666666666669</v>
      </c>
      <c r="C43" s="37">
        <v>1616.6861666666666</v>
      </c>
      <c r="D43" s="37">
        <v>1984.741759166667</v>
      </c>
      <c r="E43" s="37">
        <v>101.92488101250001</v>
      </c>
      <c r="F43" s="37">
        <v>129.00821434583335</v>
      </c>
      <c r="G43" s="37">
        <v>27.083333333333343</v>
      </c>
      <c r="H43" s="37">
        <v>504.13614223875004</v>
      </c>
      <c r="I43" s="37">
        <v>638.09447557208341</v>
      </c>
      <c r="J43" s="37">
        <v>133.95833333333337</v>
      </c>
      <c r="K43" s="37">
        <v>161.04166666666671</v>
      </c>
    </row>
    <row r="44" spans="1:11" x14ac:dyDescent="0.25">
      <c r="A44" s="39" t="s">
        <v>185</v>
      </c>
      <c r="B44" s="37">
        <v>441.66666666666669</v>
      </c>
      <c r="C44" s="37">
        <v>1616.6861666666666</v>
      </c>
      <c r="D44" s="37">
        <v>1984.741759166667</v>
      </c>
      <c r="E44" s="37">
        <v>101.92488101250001</v>
      </c>
      <c r="F44" s="37">
        <v>129.00821434583335</v>
      </c>
      <c r="G44" s="37">
        <v>27.083333333333343</v>
      </c>
      <c r="H44" s="37">
        <v>504.13614223875004</v>
      </c>
      <c r="I44" s="37">
        <v>638.09447557208341</v>
      </c>
      <c r="J44" s="37">
        <v>133.95833333333337</v>
      </c>
      <c r="K44" s="37">
        <v>161.04166666666671</v>
      </c>
    </row>
    <row r="45" spans="1:11" x14ac:dyDescent="0.25">
      <c r="A45" s="39" t="s">
        <v>186</v>
      </c>
      <c r="B45" s="37">
        <v>441.66666666666669</v>
      </c>
      <c r="C45" s="37">
        <v>1616.6861666666666</v>
      </c>
      <c r="D45" s="37">
        <v>1984.741759166667</v>
      </c>
      <c r="E45" s="37">
        <v>101.92488101250001</v>
      </c>
      <c r="F45" s="37">
        <v>129.00821434583335</v>
      </c>
      <c r="G45" s="37">
        <v>27.083333333333343</v>
      </c>
      <c r="H45" s="37">
        <v>504.13614223875004</v>
      </c>
      <c r="I45" s="37">
        <v>638.09447557208341</v>
      </c>
      <c r="J45" s="37">
        <v>133.95833333333337</v>
      </c>
      <c r="K45" s="37">
        <v>161.04166666666671</v>
      </c>
    </row>
    <row r="46" spans="1:11" x14ac:dyDescent="0.25">
      <c r="A46" s="39" t="s">
        <v>187</v>
      </c>
      <c r="B46" s="37">
        <v>441.66666666666669</v>
      </c>
      <c r="C46" s="37">
        <v>1616.6861666666666</v>
      </c>
      <c r="D46" s="37">
        <v>1984.741759166667</v>
      </c>
      <c r="E46" s="37">
        <v>101.92488101250001</v>
      </c>
      <c r="F46" s="37">
        <v>129.00821434583335</v>
      </c>
      <c r="G46" s="37">
        <v>27.083333333333343</v>
      </c>
      <c r="H46" s="37">
        <v>504.13614223875004</v>
      </c>
      <c r="I46" s="37">
        <v>638.09447557208341</v>
      </c>
      <c r="J46" s="37">
        <v>133.95833333333337</v>
      </c>
      <c r="K46" s="37">
        <v>161.04166666666671</v>
      </c>
    </row>
    <row r="47" spans="1:11" x14ac:dyDescent="0.25">
      <c r="A47" s="39" t="s">
        <v>189</v>
      </c>
      <c r="B47" s="37">
        <v>441.66666666666669</v>
      </c>
      <c r="C47" s="37">
        <v>1616.6861666666666</v>
      </c>
      <c r="D47" s="37">
        <v>1984.741759166667</v>
      </c>
      <c r="E47" s="37">
        <v>101.92488101250001</v>
      </c>
      <c r="F47" s="37">
        <v>129.00821434583335</v>
      </c>
      <c r="G47" s="37">
        <v>27.083333333333343</v>
      </c>
      <c r="H47" s="37">
        <v>504.13614223875004</v>
      </c>
      <c r="I47" s="37">
        <v>638.09447557208341</v>
      </c>
      <c r="J47" s="37">
        <v>133.95833333333337</v>
      </c>
      <c r="K47" s="37">
        <v>161.04166666666671</v>
      </c>
    </row>
    <row r="48" spans="1:11" x14ac:dyDescent="0.25">
      <c r="A48" s="40" t="s">
        <v>352</v>
      </c>
      <c r="B48" s="41">
        <f t="shared" ref="B48:K48" si="0">SUM(B36:B47)</f>
        <v>5300</v>
      </c>
      <c r="C48" s="41">
        <f t="shared" si="0"/>
        <v>19400.234</v>
      </c>
      <c r="D48" s="41">
        <f t="shared" si="0"/>
        <v>23816.901110000003</v>
      </c>
      <c r="E48" s="41">
        <f t="shared" si="0"/>
        <v>1223.0985721500001</v>
      </c>
      <c r="F48" s="41">
        <f t="shared" si="0"/>
        <v>1548.0985721499999</v>
      </c>
      <c r="G48" s="41">
        <f t="shared" si="0"/>
        <v>325.00000000000011</v>
      </c>
      <c r="H48" s="41">
        <f t="shared" si="0"/>
        <v>6049.633706865</v>
      </c>
      <c r="I48" s="41">
        <f t="shared" si="0"/>
        <v>7657.1337068649991</v>
      </c>
      <c r="J48" s="41">
        <f t="shared" si="0"/>
        <v>1607.5000000000009</v>
      </c>
      <c r="K48" s="41">
        <f t="shared" si="0"/>
        <v>1932.5000000000007</v>
      </c>
    </row>
  </sheetData>
  <mergeCells count="4">
    <mergeCell ref="A1:H1"/>
    <mergeCell ref="D5:H5"/>
    <mergeCell ref="A30:C30"/>
    <mergeCell ref="A32:K3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48"/>
  <sheetViews>
    <sheetView workbookViewId="0"/>
  </sheetViews>
  <sheetFormatPr baseColWidth="10" defaultColWidth="9.140625" defaultRowHeight="15" x14ac:dyDescent="0.25"/>
  <cols>
    <col min="1" max="1" width="18" customWidth="1"/>
    <col min="2" max="11" width="16" customWidth="1"/>
  </cols>
  <sheetData>
    <row r="1" spans="1:8" ht="26.1" customHeight="1" x14ac:dyDescent="0.3">
      <c r="A1" s="46" t="s">
        <v>332</v>
      </c>
      <c r="B1" s="46"/>
      <c r="C1" s="46"/>
      <c r="D1" s="46"/>
      <c r="E1" s="46"/>
      <c r="F1" s="46"/>
      <c r="G1" s="46"/>
      <c r="H1" s="46"/>
    </row>
    <row r="3" spans="1:8" x14ac:dyDescent="0.25">
      <c r="A3" t="s">
        <v>149</v>
      </c>
      <c r="B3" s="13" t="s">
        <v>100</v>
      </c>
    </row>
    <row r="5" spans="1:8" x14ac:dyDescent="0.25">
      <c r="A5" t="s">
        <v>74</v>
      </c>
      <c r="B5" t="s">
        <v>101</v>
      </c>
      <c r="D5" s="54" t="s">
        <v>333</v>
      </c>
      <c r="E5" s="54"/>
      <c r="F5" s="54"/>
      <c r="G5" s="54"/>
      <c r="H5" s="54"/>
    </row>
    <row r="6" spans="1:8" x14ac:dyDescent="0.25">
      <c r="A6" t="s">
        <v>334</v>
      </c>
      <c r="B6">
        <v>1966</v>
      </c>
      <c r="D6" t="s">
        <v>335</v>
      </c>
      <c r="E6" s="9">
        <v>55270.63584000001</v>
      </c>
    </row>
    <row r="7" spans="1:8" x14ac:dyDescent="0.25">
      <c r="A7" t="s">
        <v>76</v>
      </c>
      <c r="B7" s="1">
        <v>34275</v>
      </c>
      <c r="D7" t="s">
        <v>336</v>
      </c>
      <c r="E7" s="9">
        <v>3592.5913295999994</v>
      </c>
    </row>
    <row r="8" spans="1:8" x14ac:dyDescent="0.25">
      <c r="A8" t="s">
        <v>77</v>
      </c>
      <c r="B8" s="4">
        <v>0.23169999999999999</v>
      </c>
      <c r="D8" t="s">
        <v>77</v>
      </c>
      <c r="E8" s="9">
        <v>13027.288867487996</v>
      </c>
    </row>
    <row r="9" spans="1:8" x14ac:dyDescent="0.25">
      <c r="A9" t="s">
        <v>78</v>
      </c>
      <c r="B9" s="4">
        <v>1</v>
      </c>
      <c r="D9" t="s">
        <v>337</v>
      </c>
      <c r="E9" s="9">
        <v>38650.755642912009</v>
      </c>
    </row>
    <row r="10" spans="1:8" x14ac:dyDescent="0.25">
      <c r="A10" t="s">
        <v>79</v>
      </c>
      <c r="B10" t="s">
        <v>141</v>
      </c>
      <c r="D10" t="s">
        <v>338</v>
      </c>
      <c r="E10" s="9">
        <v>17769.509422559993</v>
      </c>
    </row>
    <row r="11" spans="1:8" x14ac:dyDescent="0.25">
      <c r="A11" t="s">
        <v>82</v>
      </c>
      <c r="B11" s="9">
        <v>2408.2199999999998</v>
      </c>
      <c r="D11" t="s">
        <v>267</v>
      </c>
      <c r="E11" s="9">
        <v>73040.145262560007</v>
      </c>
    </row>
    <row r="12" spans="1:8" x14ac:dyDescent="0.25">
      <c r="A12" t="s">
        <v>81</v>
      </c>
      <c r="B12" s="4">
        <v>1.4999999999999999E-2</v>
      </c>
    </row>
    <row r="13" spans="1:8" x14ac:dyDescent="0.25">
      <c r="A13" s="35" t="s">
        <v>90</v>
      </c>
      <c r="B13" s="34">
        <v>20978</v>
      </c>
    </row>
    <row r="15" spans="1:8" x14ac:dyDescent="0.25">
      <c r="A15" s="6" t="s">
        <v>150</v>
      </c>
      <c r="B15" s="6" t="s">
        <v>339</v>
      </c>
      <c r="C15" s="6" t="s">
        <v>165</v>
      </c>
      <c r="D15" s="6" t="s">
        <v>94</v>
      </c>
      <c r="E15" s="6" t="s">
        <v>336</v>
      </c>
      <c r="F15" s="6" t="s">
        <v>77</v>
      </c>
      <c r="G15" s="6" t="s">
        <v>95</v>
      </c>
      <c r="H15" s="6" t="s">
        <v>267</v>
      </c>
    </row>
    <row r="16" spans="1:8" x14ac:dyDescent="0.25">
      <c r="A16" t="s">
        <v>173</v>
      </c>
      <c r="B16" s="4">
        <v>1</v>
      </c>
      <c r="C16" t="s">
        <v>175</v>
      </c>
      <c r="D16" s="9">
        <v>3947.90256</v>
      </c>
      <c r="E16" s="9">
        <v>299.38261080000001</v>
      </c>
      <c r="F16" s="9">
        <v>930.52063339199992</v>
      </c>
      <c r="G16" s="9">
        <v>2717.9993158080001</v>
      </c>
      <c r="H16" s="9">
        <v>5428.6950118799996</v>
      </c>
    </row>
    <row r="17" spans="1:11" x14ac:dyDescent="0.25">
      <c r="A17" t="s">
        <v>176</v>
      </c>
      <c r="B17" s="4">
        <v>1</v>
      </c>
      <c r="C17" t="s">
        <v>175</v>
      </c>
      <c r="D17" s="9">
        <v>3947.90256</v>
      </c>
      <c r="E17" s="9">
        <v>299.38261080000001</v>
      </c>
      <c r="F17" s="9">
        <v>930.52063339199992</v>
      </c>
      <c r="G17" s="9">
        <v>2717.9993158080001</v>
      </c>
      <c r="H17" s="9">
        <v>5428.6950118799996</v>
      </c>
    </row>
    <row r="18" spans="1:11" x14ac:dyDescent="0.25">
      <c r="A18" t="s">
        <v>177</v>
      </c>
      <c r="B18" s="4">
        <v>1</v>
      </c>
      <c r="C18" t="s">
        <v>175</v>
      </c>
      <c r="D18" s="9">
        <v>3947.90256</v>
      </c>
      <c r="E18" s="9">
        <v>299.38261080000001</v>
      </c>
      <c r="F18" s="9">
        <v>930.52063339199992</v>
      </c>
      <c r="G18" s="9">
        <v>2717.9993158080001</v>
      </c>
      <c r="H18" s="9">
        <v>5428.6950118799996</v>
      </c>
    </row>
    <row r="19" spans="1:11" x14ac:dyDescent="0.25">
      <c r="A19" t="s">
        <v>178</v>
      </c>
      <c r="B19" s="4">
        <v>1</v>
      </c>
      <c r="C19" t="s">
        <v>175</v>
      </c>
      <c r="D19" s="9">
        <v>3947.90256</v>
      </c>
      <c r="E19" s="9">
        <v>299.38261080000001</v>
      </c>
      <c r="F19" s="9">
        <v>930.52063339199992</v>
      </c>
      <c r="G19" s="9">
        <v>2717.9993158080001</v>
      </c>
      <c r="H19" s="9">
        <v>5428.6950118799996</v>
      </c>
    </row>
    <row r="20" spans="1:11" x14ac:dyDescent="0.25">
      <c r="A20" t="s">
        <v>179</v>
      </c>
      <c r="B20" s="4">
        <v>1</v>
      </c>
      <c r="C20" t="s">
        <v>175</v>
      </c>
      <c r="D20" s="9">
        <v>3947.90256</v>
      </c>
      <c r="E20" s="9">
        <v>299.38261080000001</v>
      </c>
      <c r="F20" s="9">
        <v>930.52063339199992</v>
      </c>
      <c r="G20" s="9">
        <v>2717.9993158080001</v>
      </c>
      <c r="H20" s="9">
        <v>5428.6950118799996</v>
      </c>
    </row>
    <row r="21" spans="1:11" x14ac:dyDescent="0.25">
      <c r="A21" t="s">
        <v>180</v>
      </c>
      <c r="B21" s="4">
        <v>1</v>
      </c>
      <c r="C21" t="s">
        <v>175</v>
      </c>
      <c r="D21" s="9">
        <v>3947.90256</v>
      </c>
      <c r="E21" s="9">
        <v>299.38261080000001</v>
      </c>
      <c r="F21" s="9">
        <v>930.52063339199992</v>
      </c>
      <c r="G21" s="9">
        <v>2717.9993158080001</v>
      </c>
      <c r="H21" s="9">
        <v>5428.6950118799996</v>
      </c>
    </row>
    <row r="22" spans="1:11" x14ac:dyDescent="0.25">
      <c r="A22" t="s">
        <v>181</v>
      </c>
      <c r="B22" s="4">
        <v>1</v>
      </c>
      <c r="C22" t="s">
        <v>175</v>
      </c>
      <c r="D22" s="9">
        <v>3947.90256</v>
      </c>
      <c r="E22" s="9">
        <v>0</v>
      </c>
      <c r="F22" s="9">
        <v>930.52063339199992</v>
      </c>
      <c r="G22" s="9">
        <v>3017.381926608</v>
      </c>
      <c r="H22" s="9">
        <v>3947.90256</v>
      </c>
    </row>
    <row r="23" spans="1:11" x14ac:dyDescent="0.25">
      <c r="A23" t="s">
        <v>183</v>
      </c>
      <c r="B23" s="4">
        <v>1</v>
      </c>
      <c r="C23" t="s">
        <v>175</v>
      </c>
      <c r="D23" s="9">
        <v>3947.90256</v>
      </c>
      <c r="E23" s="9">
        <v>299.38261080000001</v>
      </c>
      <c r="F23" s="9">
        <v>930.52063339199992</v>
      </c>
      <c r="G23" s="9">
        <v>2717.9993158080001</v>
      </c>
      <c r="H23" s="9">
        <v>5428.6950118799996</v>
      </c>
    </row>
    <row r="24" spans="1:11" x14ac:dyDescent="0.25">
      <c r="A24" t="s">
        <v>184</v>
      </c>
      <c r="B24" s="4">
        <v>1</v>
      </c>
      <c r="C24" t="s">
        <v>175</v>
      </c>
      <c r="D24" s="9">
        <v>3947.90256</v>
      </c>
      <c r="E24" s="9">
        <v>299.38261080000001</v>
      </c>
      <c r="F24" s="9">
        <v>930.52063339199992</v>
      </c>
      <c r="G24" s="9">
        <v>2717.9993158080001</v>
      </c>
      <c r="H24" s="9">
        <v>5428.6950118799996</v>
      </c>
    </row>
    <row r="25" spans="1:11" x14ac:dyDescent="0.25">
      <c r="A25" t="s">
        <v>185</v>
      </c>
      <c r="B25" s="4">
        <v>1</v>
      </c>
      <c r="C25" t="s">
        <v>175</v>
      </c>
      <c r="D25" s="9">
        <v>3947.90256</v>
      </c>
      <c r="E25" s="9">
        <v>299.38261080000001</v>
      </c>
      <c r="F25" s="9">
        <v>930.52063339199992</v>
      </c>
      <c r="G25" s="9">
        <v>2717.9993158080001</v>
      </c>
      <c r="H25" s="9">
        <v>5428.6950118799996</v>
      </c>
    </row>
    <row r="26" spans="1:11" x14ac:dyDescent="0.25">
      <c r="A26" t="s">
        <v>186</v>
      </c>
      <c r="B26" s="4">
        <v>1</v>
      </c>
      <c r="C26" t="s">
        <v>175</v>
      </c>
      <c r="D26" s="9">
        <v>3947.90256</v>
      </c>
      <c r="E26" s="9">
        <v>299.38261080000001</v>
      </c>
      <c r="F26" s="9">
        <v>930.52063339199992</v>
      </c>
      <c r="G26" s="9">
        <v>2717.9993158080001</v>
      </c>
      <c r="H26" s="9">
        <v>5428.6950118799996</v>
      </c>
    </row>
    <row r="27" spans="1:11" x14ac:dyDescent="0.25">
      <c r="A27" t="s">
        <v>187</v>
      </c>
      <c r="B27" s="4">
        <v>1</v>
      </c>
      <c r="C27" t="s">
        <v>175</v>
      </c>
      <c r="D27" s="9">
        <v>3947.90256</v>
      </c>
      <c r="E27" s="9">
        <v>299.38261080000001</v>
      </c>
      <c r="F27" s="9">
        <v>930.52063339199992</v>
      </c>
      <c r="G27" s="9">
        <v>2717.9993158080001</v>
      </c>
      <c r="H27" s="9">
        <v>5428.6950118799996</v>
      </c>
    </row>
    <row r="28" spans="1:11" x14ac:dyDescent="0.25">
      <c r="A28" t="s">
        <v>188</v>
      </c>
      <c r="B28" s="4">
        <v>1</v>
      </c>
      <c r="C28" t="s">
        <v>175</v>
      </c>
      <c r="D28" s="9">
        <v>3947.90256</v>
      </c>
      <c r="E28" s="9">
        <v>0</v>
      </c>
      <c r="F28" s="9">
        <v>930.52063339199992</v>
      </c>
      <c r="G28" s="9">
        <v>3017.381926608</v>
      </c>
      <c r="H28" s="9">
        <v>3947.90256</v>
      </c>
    </row>
    <row r="29" spans="1:11" x14ac:dyDescent="0.25">
      <c r="A29" t="s">
        <v>189</v>
      </c>
      <c r="B29" s="4">
        <v>1</v>
      </c>
      <c r="C29" t="s">
        <v>175</v>
      </c>
      <c r="D29" s="9">
        <v>3947.90256</v>
      </c>
      <c r="E29" s="9">
        <v>299.38261080000001</v>
      </c>
      <c r="F29" s="9">
        <v>930.52063339199992</v>
      </c>
      <c r="G29" s="9">
        <v>2717.9993158080001</v>
      </c>
      <c r="H29" s="9">
        <v>5428.6950118799996</v>
      </c>
    </row>
    <row r="30" spans="1:11" x14ac:dyDescent="0.25">
      <c r="A30" s="45" t="s">
        <v>340</v>
      </c>
      <c r="B30" s="45"/>
      <c r="C30" s="45"/>
      <c r="D30" s="14">
        <v>55270.63584000001</v>
      </c>
      <c r="E30" s="14">
        <v>3592.5913295999994</v>
      </c>
      <c r="F30" s="14">
        <v>13027.288867487996</v>
      </c>
      <c r="G30" s="14">
        <v>38650.755642912009</v>
      </c>
      <c r="H30" s="14">
        <v>73040.145262560007</v>
      </c>
    </row>
    <row r="32" spans="1:11" x14ac:dyDescent="0.25">
      <c r="A32" s="55" t="s">
        <v>279</v>
      </c>
      <c r="B32" s="55"/>
      <c r="C32" s="55"/>
      <c r="D32" s="55"/>
      <c r="E32" s="55"/>
      <c r="F32" s="55"/>
      <c r="G32" s="55"/>
      <c r="H32" s="55"/>
      <c r="I32" s="55"/>
      <c r="J32" s="55"/>
      <c r="K32" s="55"/>
    </row>
    <row r="33" spans="1:11" ht="30" x14ac:dyDescent="0.25">
      <c r="A33" s="36" t="s">
        <v>341</v>
      </c>
      <c r="B33" s="37">
        <v>20978</v>
      </c>
      <c r="C33" s="37"/>
      <c r="D33" s="38" t="s">
        <v>342</v>
      </c>
      <c r="E33" s="37">
        <v>1748.1666666666667</v>
      </c>
      <c r="F33" s="37"/>
      <c r="G33" s="38" t="s">
        <v>343</v>
      </c>
      <c r="H33" s="37">
        <v>2487.1838558400013</v>
      </c>
      <c r="I33" s="39"/>
      <c r="J33" s="39"/>
      <c r="K33" s="39"/>
    </row>
    <row r="34" spans="1:11" x14ac:dyDescent="0.25">
      <c r="A34" s="39"/>
      <c r="B34" s="39"/>
      <c r="C34" s="39"/>
      <c r="D34" s="39"/>
      <c r="E34" s="39"/>
      <c r="F34" s="39"/>
      <c r="G34" s="39"/>
      <c r="H34" s="39"/>
      <c r="I34" s="39"/>
      <c r="J34" s="39"/>
      <c r="K34" s="39"/>
    </row>
    <row r="35" spans="1:11" ht="33.950000000000003" customHeight="1" x14ac:dyDescent="0.25">
      <c r="A35" s="33" t="s">
        <v>150</v>
      </c>
      <c r="B35" s="33" t="s">
        <v>344</v>
      </c>
      <c r="C35" s="33" t="s">
        <v>345</v>
      </c>
      <c r="D35" s="33" t="s">
        <v>346</v>
      </c>
      <c r="E35" s="33" t="s">
        <v>347</v>
      </c>
      <c r="F35" s="33" t="s">
        <v>348</v>
      </c>
      <c r="G35" s="33" t="s">
        <v>349</v>
      </c>
      <c r="H35" s="33" t="s">
        <v>327</v>
      </c>
      <c r="I35" s="33" t="s">
        <v>328</v>
      </c>
      <c r="J35" s="33" t="s">
        <v>350</v>
      </c>
      <c r="K35" s="33" t="s">
        <v>351</v>
      </c>
    </row>
    <row r="36" spans="1:11" x14ac:dyDescent="0.25">
      <c r="A36" s="39" t="s">
        <v>173</v>
      </c>
      <c r="B36" s="37">
        <v>1748.1666666666667</v>
      </c>
      <c r="C36" s="37">
        <v>4495.3439999999991</v>
      </c>
      <c r="D36" s="37">
        <v>6408.1363199999996</v>
      </c>
      <c r="E36" s="37">
        <v>299.38261080000001</v>
      </c>
      <c r="F36" s="37">
        <v>334.22054227200005</v>
      </c>
      <c r="G36" s="37">
        <v>34.837931472000037</v>
      </c>
      <c r="H36" s="37">
        <v>1480.7924518799998</v>
      </c>
      <c r="I36" s="37">
        <v>1653.2198417279999</v>
      </c>
      <c r="J36" s="37">
        <v>172.42738984800008</v>
      </c>
      <c r="K36" s="37">
        <v>207.26532132000011</v>
      </c>
    </row>
    <row r="37" spans="1:11" x14ac:dyDescent="0.25">
      <c r="A37" s="39" t="s">
        <v>176</v>
      </c>
      <c r="B37" s="37">
        <v>1748.1666666666667</v>
      </c>
      <c r="C37" s="37">
        <v>4495.3439999999991</v>
      </c>
      <c r="D37" s="37">
        <v>6408.1363199999996</v>
      </c>
      <c r="E37" s="37">
        <v>299.38261080000001</v>
      </c>
      <c r="F37" s="37">
        <v>334.22054227200005</v>
      </c>
      <c r="G37" s="37">
        <v>34.837931472000037</v>
      </c>
      <c r="H37" s="37">
        <v>1480.7924518799998</v>
      </c>
      <c r="I37" s="37">
        <v>1653.2198417279999</v>
      </c>
      <c r="J37" s="37">
        <v>172.42738984800008</v>
      </c>
      <c r="K37" s="37">
        <v>207.26532132000011</v>
      </c>
    </row>
    <row r="38" spans="1:11" x14ac:dyDescent="0.25">
      <c r="A38" s="39" t="s">
        <v>177</v>
      </c>
      <c r="B38" s="37">
        <v>1748.1666666666667</v>
      </c>
      <c r="C38" s="37">
        <v>4495.3439999999991</v>
      </c>
      <c r="D38" s="37">
        <v>6408.1363199999996</v>
      </c>
      <c r="E38" s="37">
        <v>299.38261080000001</v>
      </c>
      <c r="F38" s="37">
        <v>334.22054227200005</v>
      </c>
      <c r="G38" s="37">
        <v>34.837931472000037</v>
      </c>
      <c r="H38" s="37">
        <v>1480.7924518799998</v>
      </c>
      <c r="I38" s="37">
        <v>1653.2198417279999</v>
      </c>
      <c r="J38" s="37">
        <v>172.42738984800008</v>
      </c>
      <c r="K38" s="37">
        <v>207.26532132000011</v>
      </c>
    </row>
    <row r="39" spans="1:11" x14ac:dyDescent="0.25">
      <c r="A39" s="39" t="s">
        <v>178</v>
      </c>
      <c r="B39" s="37">
        <v>1748.1666666666667</v>
      </c>
      <c r="C39" s="37">
        <v>4495.3439999999991</v>
      </c>
      <c r="D39" s="37">
        <v>6408.1363199999996</v>
      </c>
      <c r="E39" s="37">
        <v>299.38261080000001</v>
      </c>
      <c r="F39" s="37">
        <v>334.22054227200005</v>
      </c>
      <c r="G39" s="37">
        <v>34.837931472000037</v>
      </c>
      <c r="H39" s="37">
        <v>1480.7924518799998</v>
      </c>
      <c r="I39" s="37">
        <v>1653.2198417279999</v>
      </c>
      <c r="J39" s="37">
        <v>172.42738984800008</v>
      </c>
      <c r="K39" s="37">
        <v>207.26532132000011</v>
      </c>
    </row>
    <row r="40" spans="1:11" x14ac:dyDescent="0.25">
      <c r="A40" s="39" t="s">
        <v>179</v>
      </c>
      <c r="B40" s="37">
        <v>1748.1666666666667</v>
      </c>
      <c r="C40" s="37">
        <v>4495.3439999999991</v>
      </c>
      <c r="D40" s="37">
        <v>6408.1363199999996</v>
      </c>
      <c r="E40" s="37">
        <v>299.38261080000001</v>
      </c>
      <c r="F40" s="37">
        <v>334.22054227200005</v>
      </c>
      <c r="G40" s="37">
        <v>34.837931472000037</v>
      </c>
      <c r="H40" s="37">
        <v>1480.7924518799998</v>
      </c>
      <c r="I40" s="37">
        <v>1653.2198417279999</v>
      </c>
      <c r="J40" s="37">
        <v>172.42738984800008</v>
      </c>
      <c r="K40" s="37">
        <v>207.26532132000011</v>
      </c>
    </row>
    <row r="41" spans="1:11" x14ac:dyDescent="0.25">
      <c r="A41" s="39" t="s">
        <v>180</v>
      </c>
      <c r="B41" s="37">
        <v>1748.1666666666667</v>
      </c>
      <c r="C41" s="37">
        <v>4495.3439999999991</v>
      </c>
      <c r="D41" s="37">
        <v>6408.1363199999996</v>
      </c>
      <c r="E41" s="37">
        <v>299.38261080000001</v>
      </c>
      <c r="F41" s="37">
        <v>334.22054227200005</v>
      </c>
      <c r="G41" s="37">
        <v>34.837931472000037</v>
      </c>
      <c r="H41" s="37">
        <v>1480.7924518799998</v>
      </c>
      <c r="I41" s="37">
        <v>1653.2198417279999</v>
      </c>
      <c r="J41" s="37">
        <v>172.42738984800008</v>
      </c>
      <c r="K41" s="37">
        <v>207.26532132000011</v>
      </c>
    </row>
    <row r="42" spans="1:11" x14ac:dyDescent="0.25">
      <c r="A42" s="39" t="s">
        <v>183</v>
      </c>
      <c r="B42" s="37">
        <v>1748.1666666666667</v>
      </c>
      <c r="C42" s="37">
        <v>4495.3439999999991</v>
      </c>
      <c r="D42" s="37">
        <v>6408.1363199999996</v>
      </c>
      <c r="E42" s="37">
        <v>299.38261080000001</v>
      </c>
      <c r="F42" s="37">
        <v>334.22054227200005</v>
      </c>
      <c r="G42" s="37">
        <v>34.837931472000037</v>
      </c>
      <c r="H42" s="37">
        <v>1480.7924518799998</v>
      </c>
      <c r="I42" s="37">
        <v>1653.2198417279999</v>
      </c>
      <c r="J42" s="37">
        <v>172.42738984800008</v>
      </c>
      <c r="K42" s="37">
        <v>207.26532132000011</v>
      </c>
    </row>
    <row r="43" spans="1:11" x14ac:dyDescent="0.25">
      <c r="A43" s="39" t="s">
        <v>184</v>
      </c>
      <c r="B43" s="37">
        <v>1748.1666666666667</v>
      </c>
      <c r="C43" s="37">
        <v>4495.3439999999991</v>
      </c>
      <c r="D43" s="37">
        <v>6408.1363199999996</v>
      </c>
      <c r="E43" s="37">
        <v>299.38261080000001</v>
      </c>
      <c r="F43" s="37">
        <v>334.22054227200005</v>
      </c>
      <c r="G43" s="37">
        <v>34.837931472000037</v>
      </c>
      <c r="H43" s="37">
        <v>1480.7924518799998</v>
      </c>
      <c r="I43" s="37">
        <v>1653.2198417279999</v>
      </c>
      <c r="J43" s="37">
        <v>172.42738984800008</v>
      </c>
      <c r="K43" s="37">
        <v>207.26532132000011</v>
      </c>
    </row>
    <row r="44" spans="1:11" x14ac:dyDescent="0.25">
      <c r="A44" s="39" t="s">
        <v>185</v>
      </c>
      <c r="B44" s="37">
        <v>1748.1666666666667</v>
      </c>
      <c r="C44" s="37">
        <v>4495.3439999999991</v>
      </c>
      <c r="D44" s="37">
        <v>6408.1363199999996</v>
      </c>
      <c r="E44" s="37">
        <v>299.38261080000001</v>
      </c>
      <c r="F44" s="37">
        <v>334.22054227200005</v>
      </c>
      <c r="G44" s="37">
        <v>34.837931472000037</v>
      </c>
      <c r="H44" s="37">
        <v>1480.7924518799998</v>
      </c>
      <c r="I44" s="37">
        <v>1653.2198417279999</v>
      </c>
      <c r="J44" s="37">
        <v>172.42738984800008</v>
      </c>
      <c r="K44" s="37">
        <v>207.26532132000011</v>
      </c>
    </row>
    <row r="45" spans="1:11" x14ac:dyDescent="0.25">
      <c r="A45" s="39" t="s">
        <v>186</v>
      </c>
      <c r="B45" s="37">
        <v>1748.1666666666667</v>
      </c>
      <c r="C45" s="37">
        <v>4495.3439999999991</v>
      </c>
      <c r="D45" s="37">
        <v>6408.1363199999996</v>
      </c>
      <c r="E45" s="37">
        <v>299.38261080000001</v>
      </c>
      <c r="F45" s="37">
        <v>334.22054227200005</v>
      </c>
      <c r="G45" s="37">
        <v>34.837931472000037</v>
      </c>
      <c r="H45" s="37">
        <v>1480.7924518799998</v>
      </c>
      <c r="I45" s="37">
        <v>1653.2198417279999</v>
      </c>
      <c r="J45" s="37">
        <v>172.42738984800008</v>
      </c>
      <c r="K45" s="37">
        <v>207.26532132000011</v>
      </c>
    </row>
    <row r="46" spans="1:11" x14ac:dyDescent="0.25">
      <c r="A46" s="39" t="s">
        <v>187</v>
      </c>
      <c r="B46" s="37">
        <v>1748.1666666666667</v>
      </c>
      <c r="C46" s="37">
        <v>4495.3439999999991</v>
      </c>
      <c r="D46" s="37">
        <v>6408.1363199999996</v>
      </c>
      <c r="E46" s="37">
        <v>299.38261080000001</v>
      </c>
      <c r="F46" s="37">
        <v>334.22054227200005</v>
      </c>
      <c r="G46" s="37">
        <v>34.837931472000037</v>
      </c>
      <c r="H46" s="37">
        <v>1480.7924518799998</v>
      </c>
      <c r="I46" s="37">
        <v>1653.2198417279999</v>
      </c>
      <c r="J46" s="37">
        <v>172.42738984800008</v>
      </c>
      <c r="K46" s="37">
        <v>207.26532132000011</v>
      </c>
    </row>
    <row r="47" spans="1:11" x14ac:dyDescent="0.25">
      <c r="A47" s="39" t="s">
        <v>189</v>
      </c>
      <c r="B47" s="37">
        <v>1748.1666666666667</v>
      </c>
      <c r="C47" s="37">
        <v>4495.3439999999991</v>
      </c>
      <c r="D47" s="37">
        <v>6408.1363199999996</v>
      </c>
      <c r="E47" s="37">
        <v>299.38261080000001</v>
      </c>
      <c r="F47" s="37">
        <v>334.22054227200005</v>
      </c>
      <c r="G47" s="37">
        <v>34.837931472000037</v>
      </c>
      <c r="H47" s="37">
        <v>1480.7924518799998</v>
      </c>
      <c r="I47" s="37">
        <v>1653.2198417279999</v>
      </c>
      <c r="J47" s="37">
        <v>172.42738984800008</v>
      </c>
      <c r="K47" s="37">
        <v>207.26532132000011</v>
      </c>
    </row>
    <row r="48" spans="1:11" x14ac:dyDescent="0.25">
      <c r="A48" s="40" t="s">
        <v>352</v>
      </c>
      <c r="B48" s="41">
        <f t="shared" ref="B48:K48" si="0">SUM(B36:B47)</f>
        <v>20978</v>
      </c>
      <c r="C48" s="41">
        <f t="shared" si="0"/>
        <v>53944.127999999975</v>
      </c>
      <c r="D48" s="41">
        <f t="shared" si="0"/>
        <v>76897.635839999988</v>
      </c>
      <c r="E48" s="41">
        <f t="shared" si="0"/>
        <v>3592.5913295999994</v>
      </c>
      <c r="F48" s="41">
        <f t="shared" si="0"/>
        <v>4010.6465072639999</v>
      </c>
      <c r="G48" s="41">
        <f t="shared" si="0"/>
        <v>418.05517766400044</v>
      </c>
      <c r="H48" s="41">
        <f t="shared" si="0"/>
        <v>17769.509422559993</v>
      </c>
      <c r="I48" s="41">
        <f t="shared" si="0"/>
        <v>19838.638100736003</v>
      </c>
      <c r="J48" s="41">
        <f t="shared" si="0"/>
        <v>2069.1286781760009</v>
      </c>
      <c r="K48" s="41">
        <f t="shared" si="0"/>
        <v>2487.1838558400013</v>
      </c>
    </row>
  </sheetData>
  <mergeCells count="4">
    <mergeCell ref="A1:H1"/>
    <mergeCell ref="D5:H5"/>
    <mergeCell ref="A30:C30"/>
    <mergeCell ref="A32:K3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48"/>
  <sheetViews>
    <sheetView workbookViewId="0"/>
  </sheetViews>
  <sheetFormatPr baseColWidth="10" defaultColWidth="9.140625" defaultRowHeight="15" x14ac:dyDescent="0.25"/>
  <cols>
    <col min="1" max="1" width="18" customWidth="1"/>
    <col min="2" max="11" width="16" customWidth="1"/>
  </cols>
  <sheetData>
    <row r="1" spans="1:8" ht="26.1" customHeight="1" x14ac:dyDescent="0.3">
      <c r="A1" s="46" t="s">
        <v>332</v>
      </c>
      <c r="B1" s="46"/>
      <c r="C1" s="46"/>
      <c r="D1" s="46"/>
      <c r="E1" s="46"/>
      <c r="F1" s="46"/>
      <c r="G1" s="46"/>
      <c r="H1" s="46"/>
    </row>
    <row r="3" spans="1:8" x14ac:dyDescent="0.25">
      <c r="A3" t="s">
        <v>149</v>
      </c>
      <c r="B3" s="13" t="s">
        <v>102</v>
      </c>
    </row>
    <row r="5" spans="1:8" x14ac:dyDescent="0.25">
      <c r="A5" t="s">
        <v>74</v>
      </c>
      <c r="B5" t="s">
        <v>103</v>
      </c>
      <c r="D5" s="54" t="s">
        <v>333</v>
      </c>
      <c r="E5" s="54"/>
      <c r="F5" s="54"/>
      <c r="G5" s="54"/>
      <c r="H5" s="54"/>
    </row>
    <row r="6" spans="1:8" x14ac:dyDescent="0.25">
      <c r="A6" t="s">
        <v>334</v>
      </c>
      <c r="B6">
        <v>1985</v>
      </c>
      <c r="D6" t="s">
        <v>335</v>
      </c>
      <c r="E6" s="9">
        <v>20647.462439999996</v>
      </c>
    </row>
    <row r="7" spans="1:8" x14ac:dyDescent="0.25">
      <c r="A7" t="s">
        <v>76</v>
      </c>
      <c r="B7" s="1">
        <v>43063</v>
      </c>
      <c r="D7" t="s">
        <v>336</v>
      </c>
      <c r="E7" s="9">
        <v>1342.3245198999998</v>
      </c>
    </row>
    <row r="8" spans="1:8" x14ac:dyDescent="0.25">
      <c r="A8" t="s">
        <v>77</v>
      </c>
      <c r="B8" s="4">
        <v>9.8000000000000004E-2</v>
      </c>
      <c r="D8" t="s">
        <v>77</v>
      </c>
      <c r="E8" s="9">
        <v>1959.4090403999996</v>
      </c>
    </row>
    <row r="9" spans="1:8" x14ac:dyDescent="0.25">
      <c r="A9" t="s">
        <v>78</v>
      </c>
      <c r="B9" s="4">
        <v>1</v>
      </c>
      <c r="D9" t="s">
        <v>337</v>
      </c>
      <c r="E9" s="9">
        <v>17345.7288797</v>
      </c>
    </row>
    <row r="10" spans="1:8" x14ac:dyDescent="0.25">
      <c r="A10" t="s">
        <v>79</v>
      </c>
      <c r="B10" t="s">
        <v>141</v>
      </c>
      <c r="D10" t="s">
        <v>338</v>
      </c>
      <c r="E10" s="9">
        <v>6639.3435868900015</v>
      </c>
    </row>
    <row r="11" spans="1:8" x14ac:dyDescent="0.25">
      <c r="A11" t="s">
        <v>82</v>
      </c>
      <c r="B11" s="9">
        <v>1246.1199999999999</v>
      </c>
      <c r="D11" t="s">
        <v>267</v>
      </c>
      <c r="E11" s="9">
        <v>27286.806026890004</v>
      </c>
    </row>
    <row r="12" spans="1:8" x14ac:dyDescent="0.25">
      <c r="A12" t="s">
        <v>81</v>
      </c>
      <c r="B12" s="4">
        <v>1.4999999999999999E-2</v>
      </c>
    </row>
    <row r="13" spans="1:8" x14ac:dyDescent="0.25">
      <c r="A13" s="35" t="s">
        <v>90</v>
      </c>
      <c r="B13" s="34">
        <v>0</v>
      </c>
    </row>
    <row r="15" spans="1:8" x14ac:dyDescent="0.25">
      <c r="A15" s="6" t="s">
        <v>150</v>
      </c>
      <c r="B15" s="6" t="s">
        <v>339</v>
      </c>
      <c r="C15" s="6" t="s">
        <v>165</v>
      </c>
      <c r="D15" s="6" t="s">
        <v>94</v>
      </c>
      <c r="E15" s="6" t="s">
        <v>336</v>
      </c>
      <c r="F15" s="6" t="s">
        <v>77</v>
      </c>
      <c r="G15" s="6" t="s">
        <v>95</v>
      </c>
      <c r="H15" s="6" t="s">
        <v>267</v>
      </c>
    </row>
    <row r="16" spans="1:8" x14ac:dyDescent="0.25">
      <c r="A16" t="s">
        <v>173</v>
      </c>
      <c r="B16" s="4">
        <v>1</v>
      </c>
      <c r="C16" t="s">
        <v>175</v>
      </c>
      <c r="D16" s="9">
        <v>1473.2398799999999</v>
      </c>
      <c r="E16" s="9">
        <v>111.72069089999998</v>
      </c>
      <c r="F16" s="9">
        <v>139.95778859999999</v>
      </c>
      <c r="G16" s="9">
        <v>1221.5614005</v>
      </c>
      <c r="H16" s="9">
        <v>2025.8276049899998</v>
      </c>
    </row>
    <row r="17" spans="1:11" x14ac:dyDescent="0.25">
      <c r="A17" t="s">
        <v>176</v>
      </c>
      <c r="B17" s="4">
        <v>1</v>
      </c>
      <c r="C17" t="s">
        <v>175</v>
      </c>
      <c r="D17" s="9">
        <v>1473.2398799999999</v>
      </c>
      <c r="E17" s="9">
        <v>111.72069089999998</v>
      </c>
      <c r="F17" s="9">
        <v>139.95778859999999</v>
      </c>
      <c r="G17" s="9">
        <v>1221.5614005</v>
      </c>
      <c r="H17" s="9">
        <v>2025.8276049899998</v>
      </c>
    </row>
    <row r="18" spans="1:11" x14ac:dyDescent="0.25">
      <c r="A18" t="s">
        <v>177</v>
      </c>
      <c r="B18" s="4">
        <v>1</v>
      </c>
      <c r="C18" t="s">
        <v>175</v>
      </c>
      <c r="D18" s="9">
        <v>1473.2398799999999</v>
      </c>
      <c r="E18" s="9">
        <v>111.72069089999998</v>
      </c>
      <c r="F18" s="9">
        <v>139.95778859999999</v>
      </c>
      <c r="G18" s="9">
        <v>1221.5614005</v>
      </c>
      <c r="H18" s="9">
        <v>2025.8276049899998</v>
      </c>
    </row>
    <row r="19" spans="1:11" x14ac:dyDescent="0.25">
      <c r="A19" t="s">
        <v>178</v>
      </c>
      <c r="B19" s="4">
        <v>1</v>
      </c>
      <c r="C19" t="s">
        <v>175</v>
      </c>
      <c r="D19" s="9">
        <v>1473.2398799999999</v>
      </c>
      <c r="E19" s="9">
        <v>111.72069089999998</v>
      </c>
      <c r="F19" s="9">
        <v>139.95778859999999</v>
      </c>
      <c r="G19" s="9">
        <v>1221.5614005</v>
      </c>
      <c r="H19" s="9">
        <v>2025.8276049899998</v>
      </c>
    </row>
    <row r="20" spans="1:11" x14ac:dyDescent="0.25">
      <c r="A20" t="s">
        <v>179</v>
      </c>
      <c r="B20" s="4">
        <v>1</v>
      </c>
      <c r="C20" t="s">
        <v>175</v>
      </c>
      <c r="D20" s="9">
        <v>1473.2398799999999</v>
      </c>
      <c r="E20" s="9">
        <v>111.72069089999998</v>
      </c>
      <c r="F20" s="9">
        <v>139.95778859999999</v>
      </c>
      <c r="G20" s="9">
        <v>1221.5614005</v>
      </c>
      <c r="H20" s="9">
        <v>2025.8276049899998</v>
      </c>
    </row>
    <row r="21" spans="1:11" x14ac:dyDescent="0.25">
      <c r="A21" t="s">
        <v>180</v>
      </c>
      <c r="B21" s="4">
        <v>1</v>
      </c>
      <c r="C21" t="s">
        <v>175</v>
      </c>
      <c r="D21" s="9">
        <v>1473.2398799999999</v>
      </c>
      <c r="E21" s="9">
        <v>111.72069089999998</v>
      </c>
      <c r="F21" s="9">
        <v>139.95778859999999</v>
      </c>
      <c r="G21" s="9">
        <v>1221.5614005</v>
      </c>
      <c r="H21" s="9">
        <v>2025.8276049899998</v>
      </c>
    </row>
    <row r="22" spans="1:11" x14ac:dyDescent="0.25">
      <c r="A22" t="s">
        <v>181</v>
      </c>
      <c r="B22" s="4">
        <v>1</v>
      </c>
      <c r="C22" t="s">
        <v>175</v>
      </c>
      <c r="D22" s="9">
        <v>1473.2398799999999</v>
      </c>
      <c r="E22" s="9">
        <v>0</v>
      </c>
      <c r="F22" s="9">
        <v>139.95778859999999</v>
      </c>
      <c r="G22" s="9">
        <v>1333.2820913999999</v>
      </c>
      <c r="H22" s="9">
        <v>1473.2398799999999</v>
      </c>
    </row>
    <row r="23" spans="1:11" x14ac:dyDescent="0.25">
      <c r="A23" t="s">
        <v>183</v>
      </c>
      <c r="B23" s="4">
        <v>1</v>
      </c>
      <c r="C23" t="s">
        <v>175</v>
      </c>
      <c r="D23" s="9">
        <v>1473.2398799999999</v>
      </c>
      <c r="E23" s="9">
        <v>111.72069089999998</v>
      </c>
      <c r="F23" s="9">
        <v>139.95778859999999</v>
      </c>
      <c r="G23" s="9">
        <v>1221.5614005</v>
      </c>
      <c r="H23" s="9">
        <v>2025.8276049899998</v>
      </c>
    </row>
    <row r="24" spans="1:11" x14ac:dyDescent="0.25">
      <c r="A24" t="s">
        <v>184</v>
      </c>
      <c r="B24" s="4">
        <v>1</v>
      </c>
      <c r="C24" t="s">
        <v>175</v>
      </c>
      <c r="D24" s="9">
        <v>1495.3439999999998</v>
      </c>
      <c r="E24" s="9">
        <v>113.39691999999998</v>
      </c>
      <c r="F24" s="9">
        <v>139.95778859999999</v>
      </c>
      <c r="G24" s="9">
        <v>1241.9892914</v>
      </c>
      <c r="H24" s="9">
        <v>2056.2226119999996</v>
      </c>
    </row>
    <row r="25" spans="1:11" x14ac:dyDescent="0.25">
      <c r="A25" t="s">
        <v>185</v>
      </c>
      <c r="B25" s="4">
        <v>1</v>
      </c>
      <c r="C25" t="s">
        <v>175</v>
      </c>
      <c r="D25" s="9">
        <v>1473.2398799999999</v>
      </c>
      <c r="E25" s="9">
        <v>111.72069089999998</v>
      </c>
      <c r="F25" s="9">
        <v>139.95778859999999</v>
      </c>
      <c r="G25" s="9">
        <v>1221.5614005</v>
      </c>
      <c r="H25" s="9">
        <v>2025.8276049899998</v>
      </c>
    </row>
    <row r="26" spans="1:11" x14ac:dyDescent="0.25">
      <c r="A26" t="s">
        <v>186</v>
      </c>
      <c r="B26" s="4">
        <v>1</v>
      </c>
      <c r="C26" t="s">
        <v>175</v>
      </c>
      <c r="D26" s="9">
        <v>1473.2398799999999</v>
      </c>
      <c r="E26" s="9">
        <v>111.72069089999998</v>
      </c>
      <c r="F26" s="9">
        <v>139.95778859999999</v>
      </c>
      <c r="G26" s="9">
        <v>1221.5614005</v>
      </c>
      <c r="H26" s="9">
        <v>2025.8276049899998</v>
      </c>
    </row>
    <row r="27" spans="1:11" x14ac:dyDescent="0.25">
      <c r="A27" t="s">
        <v>187</v>
      </c>
      <c r="B27" s="4">
        <v>1</v>
      </c>
      <c r="C27" t="s">
        <v>175</v>
      </c>
      <c r="D27" s="9">
        <v>1473.2398799999999</v>
      </c>
      <c r="E27" s="9">
        <v>111.72069089999998</v>
      </c>
      <c r="F27" s="9">
        <v>139.95778859999999</v>
      </c>
      <c r="G27" s="9">
        <v>1221.5614005</v>
      </c>
      <c r="H27" s="9">
        <v>2025.8276049899998</v>
      </c>
    </row>
    <row r="28" spans="1:11" x14ac:dyDescent="0.25">
      <c r="A28" t="s">
        <v>188</v>
      </c>
      <c r="B28" s="4">
        <v>1</v>
      </c>
      <c r="C28" t="s">
        <v>175</v>
      </c>
      <c r="D28" s="9">
        <v>1473.2398799999999</v>
      </c>
      <c r="E28" s="9">
        <v>0</v>
      </c>
      <c r="F28" s="9">
        <v>139.95778859999999</v>
      </c>
      <c r="G28" s="9">
        <v>1333.2820913999999</v>
      </c>
      <c r="H28" s="9">
        <v>1473.2398799999999</v>
      </c>
    </row>
    <row r="29" spans="1:11" x14ac:dyDescent="0.25">
      <c r="A29" t="s">
        <v>189</v>
      </c>
      <c r="B29" s="4">
        <v>1</v>
      </c>
      <c r="C29" t="s">
        <v>175</v>
      </c>
      <c r="D29" s="9">
        <v>1473.2398799999999</v>
      </c>
      <c r="E29" s="9">
        <v>111.72069089999998</v>
      </c>
      <c r="F29" s="9">
        <v>139.95778859999999</v>
      </c>
      <c r="G29" s="9">
        <v>1221.5614005</v>
      </c>
      <c r="H29" s="9">
        <v>2025.8276049899998</v>
      </c>
    </row>
    <row r="30" spans="1:11" x14ac:dyDescent="0.25">
      <c r="A30" s="45" t="s">
        <v>340</v>
      </c>
      <c r="B30" s="45"/>
      <c r="C30" s="45"/>
      <c r="D30" s="14">
        <v>20647.462439999996</v>
      </c>
      <c r="E30" s="14">
        <v>1342.3245198999998</v>
      </c>
      <c r="F30" s="14">
        <v>1959.4090403999996</v>
      </c>
      <c r="G30" s="14">
        <v>17345.7288797</v>
      </c>
      <c r="H30" s="14">
        <v>27286.806026890004</v>
      </c>
    </row>
    <row r="32" spans="1:11" x14ac:dyDescent="0.25">
      <c r="A32" s="55" t="s">
        <v>279</v>
      </c>
      <c r="B32" s="55"/>
      <c r="C32" s="55"/>
      <c r="D32" s="55"/>
      <c r="E32" s="55"/>
      <c r="F32" s="55"/>
      <c r="G32" s="55"/>
      <c r="H32" s="55"/>
      <c r="I32" s="55"/>
      <c r="J32" s="55"/>
      <c r="K32" s="55"/>
    </row>
    <row r="33" spans="1:11" ht="30" x14ac:dyDescent="0.25">
      <c r="A33" s="36" t="s">
        <v>341</v>
      </c>
      <c r="B33" s="37">
        <v>0</v>
      </c>
      <c r="C33" s="37"/>
      <c r="D33" s="38" t="s">
        <v>342</v>
      </c>
      <c r="E33" s="37">
        <v>0</v>
      </c>
      <c r="F33" s="37"/>
      <c r="G33" s="38" t="s">
        <v>343</v>
      </c>
      <c r="H33" s="37">
        <v>0</v>
      </c>
      <c r="I33" s="39"/>
      <c r="J33" s="39"/>
      <c r="K33" s="39"/>
    </row>
    <row r="34" spans="1:11" x14ac:dyDescent="0.25">
      <c r="A34" s="39"/>
      <c r="B34" s="39"/>
      <c r="C34" s="39"/>
      <c r="D34" s="39"/>
      <c r="E34" s="39"/>
      <c r="F34" s="39"/>
      <c r="G34" s="39"/>
      <c r="H34" s="39"/>
      <c r="I34" s="39"/>
      <c r="J34" s="39"/>
      <c r="K34" s="39"/>
    </row>
    <row r="35" spans="1:11" ht="33.950000000000003" customHeight="1" x14ac:dyDescent="0.25">
      <c r="A35" s="33" t="s">
        <v>150</v>
      </c>
      <c r="B35" s="33" t="s">
        <v>344</v>
      </c>
      <c r="C35" s="33" t="s">
        <v>345</v>
      </c>
      <c r="D35" s="33" t="s">
        <v>346</v>
      </c>
      <c r="E35" s="33" t="s">
        <v>347</v>
      </c>
      <c r="F35" s="33" t="s">
        <v>348</v>
      </c>
      <c r="G35" s="33" t="s">
        <v>349</v>
      </c>
      <c r="H35" s="33" t="s">
        <v>327</v>
      </c>
      <c r="I35" s="33" t="s">
        <v>328</v>
      </c>
      <c r="J35" s="33" t="s">
        <v>350</v>
      </c>
      <c r="K35" s="33" t="s">
        <v>351</v>
      </c>
    </row>
    <row r="36" spans="1:11" x14ac:dyDescent="0.25">
      <c r="A36" s="39" t="s">
        <v>173</v>
      </c>
      <c r="B36" s="37">
        <v>0</v>
      </c>
      <c r="C36" s="37">
        <v>1744.5679999999998</v>
      </c>
      <c r="D36" s="37">
        <v>1718.7798599999999</v>
      </c>
      <c r="E36" s="37">
        <v>111.72069089999998</v>
      </c>
      <c r="F36" s="37">
        <v>111.72069089999998</v>
      </c>
      <c r="G36" s="37">
        <v>0</v>
      </c>
      <c r="H36" s="37">
        <v>552.58772498999997</v>
      </c>
      <c r="I36" s="37">
        <v>552.58772498999997</v>
      </c>
      <c r="J36" s="37">
        <v>0</v>
      </c>
      <c r="K36" s="37">
        <v>0</v>
      </c>
    </row>
    <row r="37" spans="1:11" x14ac:dyDescent="0.25">
      <c r="A37" s="39" t="s">
        <v>176</v>
      </c>
      <c r="B37" s="37">
        <v>0</v>
      </c>
      <c r="C37" s="37">
        <v>1744.5679999999998</v>
      </c>
      <c r="D37" s="37">
        <v>1718.7798599999999</v>
      </c>
      <c r="E37" s="37">
        <v>111.72069089999998</v>
      </c>
      <c r="F37" s="37">
        <v>111.72069089999998</v>
      </c>
      <c r="G37" s="37">
        <v>0</v>
      </c>
      <c r="H37" s="37">
        <v>552.58772498999997</v>
      </c>
      <c r="I37" s="37">
        <v>552.58772498999997</v>
      </c>
      <c r="J37" s="37">
        <v>0</v>
      </c>
      <c r="K37" s="37">
        <v>0</v>
      </c>
    </row>
    <row r="38" spans="1:11" x14ac:dyDescent="0.25">
      <c r="A38" s="39" t="s">
        <v>177</v>
      </c>
      <c r="B38" s="37">
        <v>0</v>
      </c>
      <c r="C38" s="37">
        <v>1744.5679999999998</v>
      </c>
      <c r="D38" s="37">
        <v>1718.7798599999999</v>
      </c>
      <c r="E38" s="37">
        <v>111.72069089999998</v>
      </c>
      <c r="F38" s="37">
        <v>111.72069089999998</v>
      </c>
      <c r="G38" s="37">
        <v>0</v>
      </c>
      <c r="H38" s="37">
        <v>552.58772498999997</v>
      </c>
      <c r="I38" s="37">
        <v>552.58772498999997</v>
      </c>
      <c r="J38" s="37">
        <v>0</v>
      </c>
      <c r="K38" s="37">
        <v>0</v>
      </c>
    </row>
    <row r="39" spans="1:11" x14ac:dyDescent="0.25">
      <c r="A39" s="39" t="s">
        <v>178</v>
      </c>
      <c r="B39" s="37">
        <v>0</v>
      </c>
      <c r="C39" s="37">
        <v>1744.5679999999998</v>
      </c>
      <c r="D39" s="37">
        <v>1718.7798599999999</v>
      </c>
      <c r="E39" s="37">
        <v>111.72069089999998</v>
      </c>
      <c r="F39" s="37">
        <v>111.72069089999998</v>
      </c>
      <c r="G39" s="37">
        <v>0</v>
      </c>
      <c r="H39" s="37">
        <v>552.58772498999997</v>
      </c>
      <c r="I39" s="37">
        <v>552.58772498999997</v>
      </c>
      <c r="J39" s="37">
        <v>0</v>
      </c>
      <c r="K39" s="37">
        <v>0</v>
      </c>
    </row>
    <row r="40" spans="1:11" x14ac:dyDescent="0.25">
      <c r="A40" s="39" t="s">
        <v>179</v>
      </c>
      <c r="B40" s="37">
        <v>0</v>
      </c>
      <c r="C40" s="37">
        <v>1744.5679999999998</v>
      </c>
      <c r="D40" s="37">
        <v>1718.7798599999999</v>
      </c>
      <c r="E40" s="37">
        <v>111.72069089999998</v>
      </c>
      <c r="F40" s="37">
        <v>111.72069089999998</v>
      </c>
      <c r="G40" s="37">
        <v>0</v>
      </c>
      <c r="H40" s="37">
        <v>552.58772498999997</v>
      </c>
      <c r="I40" s="37">
        <v>552.58772498999997</v>
      </c>
      <c r="J40" s="37">
        <v>0</v>
      </c>
      <c r="K40" s="37">
        <v>0</v>
      </c>
    </row>
    <row r="41" spans="1:11" x14ac:dyDescent="0.25">
      <c r="A41" s="39" t="s">
        <v>180</v>
      </c>
      <c r="B41" s="37">
        <v>0</v>
      </c>
      <c r="C41" s="37">
        <v>1744.5679999999998</v>
      </c>
      <c r="D41" s="37">
        <v>1718.7798599999999</v>
      </c>
      <c r="E41" s="37">
        <v>111.72069089999998</v>
      </c>
      <c r="F41" s="37">
        <v>111.72069089999998</v>
      </c>
      <c r="G41" s="37">
        <v>0</v>
      </c>
      <c r="H41" s="37">
        <v>552.58772498999997</v>
      </c>
      <c r="I41" s="37">
        <v>552.58772498999997</v>
      </c>
      <c r="J41" s="37">
        <v>0</v>
      </c>
      <c r="K41" s="37">
        <v>0</v>
      </c>
    </row>
    <row r="42" spans="1:11" x14ac:dyDescent="0.25">
      <c r="A42" s="39" t="s">
        <v>183</v>
      </c>
      <c r="B42" s="37">
        <v>0</v>
      </c>
      <c r="C42" s="37">
        <v>1744.5679999999998</v>
      </c>
      <c r="D42" s="37">
        <v>1718.7798599999999</v>
      </c>
      <c r="E42" s="37">
        <v>111.72069089999998</v>
      </c>
      <c r="F42" s="37">
        <v>111.72069089999998</v>
      </c>
      <c r="G42" s="37">
        <v>0</v>
      </c>
      <c r="H42" s="37">
        <v>552.58772498999997</v>
      </c>
      <c r="I42" s="37">
        <v>552.58772498999997</v>
      </c>
      <c r="J42" s="37">
        <v>0</v>
      </c>
      <c r="K42" s="37">
        <v>0</v>
      </c>
    </row>
    <row r="43" spans="1:11" x14ac:dyDescent="0.25">
      <c r="A43" s="39" t="s">
        <v>184</v>
      </c>
      <c r="B43" s="37">
        <v>0</v>
      </c>
      <c r="C43" s="37">
        <v>1744.5679999999998</v>
      </c>
      <c r="D43" s="37">
        <v>1718.7798599999999</v>
      </c>
      <c r="E43" s="37">
        <v>113.39691999999998</v>
      </c>
      <c r="F43" s="37">
        <v>111.72069089999998</v>
      </c>
      <c r="G43" s="37">
        <v>0</v>
      </c>
      <c r="H43" s="37">
        <v>560.87861199999975</v>
      </c>
      <c r="I43" s="37">
        <v>552.58772498999997</v>
      </c>
      <c r="J43" s="37">
        <v>0</v>
      </c>
      <c r="K43" s="37">
        <v>0</v>
      </c>
    </row>
    <row r="44" spans="1:11" x14ac:dyDescent="0.25">
      <c r="A44" s="39" t="s">
        <v>185</v>
      </c>
      <c r="B44" s="37">
        <v>0</v>
      </c>
      <c r="C44" s="37">
        <v>1744.5679999999998</v>
      </c>
      <c r="D44" s="37">
        <v>1718.7798599999999</v>
      </c>
      <c r="E44" s="37">
        <v>111.72069089999998</v>
      </c>
      <c r="F44" s="37">
        <v>111.72069089999998</v>
      </c>
      <c r="G44" s="37">
        <v>0</v>
      </c>
      <c r="H44" s="37">
        <v>552.58772498999997</v>
      </c>
      <c r="I44" s="37">
        <v>552.58772498999997</v>
      </c>
      <c r="J44" s="37">
        <v>0</v>
      </c>
      <c r="K44" s="37">
        <v>0</v>
      </c>
    </row>
    <row r="45" spans="1:11" x14ac:dyDescent="0.25">
      <c r="A45" s="39" t="s">
        <v>186</v>
      </c>
      <c r="B45" s="37">
        <v>0</v>
      </c>
      <c r="C45" s="37">
        <v>1744.5679999999998</v>
      </c>
      <c r="D45" s="37">
        <v>1718.7798599999999</v>
      </c>
      <c r="E45" s="37">
        <v>111.72069089999998</v>
      </c>
      <c r="F45" s="37">
        <v>111.72069089999998</v>
      </c>
      <c r="G45" s="37">
        <v>0</v>
      </c>
      <c r="H45" s="37">
        <v>552.58772498999997</v>
      </c>
      <c r="I45" s="37">
        <v>552.58772498999997</v>
      </c>
      <c r="J45" s="37">
        <v>0</v>
      </c>
      <c r="K45" s="37">
        <v>0</v>
      </c>
    </row>
    <row r="46" spans="1:11" x14ac:dyDescent="0.25">
      <c r="A46" s="39" t="s">
        <v>187</v>
      </c>
      <c r="B46" s="37">
        <v>0</v>
      </c>
      <c r="C46" s="37">
        <v>1744.5679999999998</v>
      </c>
      <c r="D46" s="37">
        <v>1718.7798599999999</v>
      </c>
      <c r="E46" s="37">
        <v>111.72069089999998</v>
      </c>
      <c r="F46" s="37">
        <v>111.72069089999998</v>
      </c>
      <c r="G46" s="37">
        <v>0</v>
      </c>
      <c r="H46" s="37">
        <v>552.58772498999997</v>
      </c>
      <c r="I46" s="37">
        <v>552.58772498999997</v>
      </c>
      <c r="J46" s="37">
        <v>0</v>
      </c>
      <c r="K46" s="37">
        <v>0</v>
      </c>
    </row>
    <row r="47" spans="1:11" x14ac:dyDescent="0.25">
      <c r="A47" s="39" t="s">
        <v>189</v>
      </c>
      <c r="B47" s="37">
        <v>0</v>
      </c>
      <c r="C47" s="37">
        <v>1744.5679999999998</v>
      </c>
      <c r="D47" s="37">
        <v>1718.7798599999999</v>
      </c>
      <c r="E47" s="37">
        <v>111.72069089999998</v>
      </c>
      <c r="F47" s="37">
        <v>111.72069089999998</v>
      </c>
      <c r="G47" s="37">
        <v>0</v>
      </c>
      <c r="H47" s="37">
        <v>552.58772498999997</v>
      </c>
      <c r="I47" s="37">
        <v>552.58772498999997</v>
      </c>
      <c r="J47" s="37">
        <v>0</v>
      </c>
      <c r="K47" s="37">
        <v>0</v>
      </c>
    </row>
    <row r="48" spans="1:11" x14ac:dyDescent="0.25">
      <c r="A48" s="40" t="s">
        <v>352</v>
      </c>
      <c r="B48" s="41">
        <f t="shared" ref="B48:K48" si="0">SUM(B36:B47)</f>
        <v>0</v>
      </c>
      <c r="C48" s="41">
        <f t="shared" si="0"/>
        <v>20934.815999999995</v>
      </c>
      <c r="D48" s="41">
        <f t="shared" si="0"/>
        <v>20625.358319999999</v>
      </c>
      <c r="E48" s="41">
        <f t="shared" si="0"/>
        <v>1342.3245198999998</v>
      </c>
      <c r="F48" s="41">
        <f t="shared" si="0"/>
        <v>1340.6482907999998</v>
      </c>
      <c r="G48" s="41">
        <f t="shared" si="0"/>
        <v>0</v>
      </c>
      <c r="H48" s="41">
        <f t="shared" si="0"/>
        <v>6639.3435868900015</v>
      </c>
      <c r="I48" s="41">
        <f t="shared" si="0"/>
        <v>6631.0526998800015</v>
      </c>
      <c r="J48" s="41">
        <f t="shared" si="0"/>
        <v>0</v>
      </c>
      <c r="K48" s="41">
        <f t="shared" si="0"/>
        <v>0</v>
      </c>
    </row>
  </sheetData>
  <mergeCells count="4">
    <mergeCell ref="A1:H1"/>
    <mergeCell ref="D5:H5"/>
    <mergeCell ref="A30:C30"/>
    <mergeCell ref="A32:K3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48"/>
  <sheetViews>
    <sheetView workbookViewId="0"/>
  </sheetViews>
  <sheetFormatPr baseColWidth="10" defaultColWidth="9.140625" defaultRowHeight="15" x14ac:dyDescent="0.25"/>
  <cols>
    <col min="1" max="1" width="18" customWidth="1"/>
    <col min="2" max="11" width="16" customWidth="1"/>
  </cols>
  <sheetData>
    <row r="1" spans="1:8" ht="26.1" customHeight="1" x14ac:dyDescent="0.3">
      <c r="A1" s="46" t="s">
        <v>332</v>
      </c>
      <c r="B1" s="46"/>
      <c r="C1" s="46"/>
      <c r="D1" s="46"/>
      <c r="E1" s="46"/>
      <c r="F1" s="46"/>
      <c r="G1" s="46"/>
      <c r="H1" s="46"/>
    </row>
    <row r="3" spans="1:8" x14ac:dyDescent="0.25">
      <c r="A3" t="s">
        <v>149</v>
      </c>
      <c r="B3" s="13" t="s">
        <v>104</v>
      </c>
    </row>
    <row r="5" spans="1:8" x14ac:dyDescent="0.25">
      <c r="A5" t="s">
        <v>74</v>
      </c>
      <c r="B5" t="s">
        <v>105</v>
      </c>
      <c r="D5" s="54" t="s">
        <v>333</v>
      </c>
      <c r="E5" s="54"/>
      <c r="F5" s="54"/>
      <c r="G5" s="54"/>
      <c r="H5" s="54"/>
    </row>
    <row r="6" spans="1:8" x14ac:dyDescent="0.25">
      <c r="A6" t="s">
        <v>334</v>
      </c>
      <c r="B6">
        <v>1995</v>
      </c>
      <c r="D6" t="s">
        <v>335</v>
      </c>
      <c r="E6" s="9">
        <v>22225.50477</v>
      </c>
    </row>
    <row r="7" spans="1:8" x14ac:dyDescent="0.25">
      <c r="A7" t="s">
        <v>76</v>
      </c>
      <c r="B7" s="1">
        <v>43303</v>
      </c>
      <c r="D7" t="s">
        <v>336</v>
      </c>
      <c r="E7" s="9">
        <v>1442.4420772125</v>
      </c>
    </row>
    <row r="8" spans="1:8" x14ac:dyDescent="0.25">
      <c r="A8" t="s">
        <v>77</v>
      </c>
      <c r="B8" s="4">
        <v>7.5399999999999995E-2</v>
      </c>
      <c r="D8" t="s">
        <v>77</v>
      </c>
      <c r="E8" s="9">
        <v>1717.6156427114997</v>
      </c>
    </row>
    <row r="9" spans="1:8" x14ac:dyDescent="0.25">
      <c r="A9" t="s">
        <v>78</v>
      </c>
      <c r="B9" s="4">
        <v>1</v>
      </c>
      <c r="D9" t="s">
        <v>337</v>
      </c>
      <c r="E9" s="9">
        <v>19065.447050075996</v>
      </c>
    </row>
    <row r="10" spans="1:8" x14ac:dyDescent="0.25">
      <c r="A10" t="s">
        <v>79</v>
      </c>
      <c r="B10" t="s">
        <v>141</v>
      </c>
      <c r="D10" t="s">
        <v>338</v>
      </c>
      <c r="E10" s="9">
        <v>7134.54042805875</v>
      </c>
    </row>
    <row r="11" spans="1:8" x14ac:dyDescent="0.25">
      <c r="A11" t="s">
        <v>82</v>
      </c>
      <c r="B11" s="9">
        <v>1347.17</v>
      </c>
      <c r="D11" t="s">
        <v>267</v>
      </c>
      <c r="E11" s="9">
        <v>29360.04519805875</v>
      </c>
    </row>
    <row r="12" spans="1:8" x14ac:dyDescent="0.25">
      <c r="A12" t="s">
        <v>81</v>
      </c>
      <c r="B12" s="4">
        <v>1.4999999999999999E-2</v>
      </c>
    </row>
    <row r="13" spans="1:8" x14ac:dyDescent="0.25">
      <c r="A13" s="35" t="s">
        <v>90</v>
      </c>
      <c r="B13" s="34">
        <v>2673</v>
      </c>
    </row>
    <row r="15" spans="1:8" x14ac:dyDescent="0.25">
      <c r="A15" s="6" t="s">
        <v>150</v>
      </c>
      <c r="B15" s="6" t="s">
        <v>339</v>
      </c>
      <c r="C15" s="6" t="s">
        <v>165</v>
      </c>
      <c r="D15" s="6" t="s">
        <v>94</v>
      </c>
      <c r="E15" s="6" t="s">
        <v>336</v>
      </c>
      <c r="F15" s="6" t="s">
        <v>77</v>
      </c>
      <c r="G15" s="6" t="s">
        <v>95</v>
      </c>
      <c r="H15" s="6" t="s">
        <v>267</v>
      </c>
    </row>
    <row r="16" spans="1:8" x14ac:dyDescent="0.25">
      <c r="A16" t="s">
        <v>173</v>
      </c>
      <c r="B16" s="4">
        <v>1</v>
      </c>
      <c r="C16" t="s">
        <v>175</v>
      </c>
      <c r="D16" s="9">
        <v>1568.0570849999999</v>
      </c>
      <c r="E16" s="9">
        <v>118.91099561249999</v>
      </c>
      <c r="F16" s="9">
        <v>121.36761837899999</v>
      </c>
      <c r="G16" s="9">
        <v>1327.7784710084998</v>
      </c>
      <c r="H16" s="9">
        <v>2156.2091632987499</v>
      </c>
    </row>
    <row r="17" spans="1:11" x14ac:dyDescent="0.25">
      <c r="A17" t="s">
        <v>176</v>
      </c>
      <c r="B17" s="4">
        <v>1</v>
      </c>
      <c r="C17" t="s">
        <v>175</v>
      </c>
      <c r="D17" s="9">
        <v>1568.0570849999999</v>
      </c>
      <c r="E17" s="9">
        <v>118.91099561249999</v>
      </c>
      <c r="F17" s="9">
        <v>121.36761837899999</v>
      </c>
      <c r="G17" s="9">
        <v>1327.7784710084998</v>
      </c>
      <c r="H17" s="9">
        <v>2156.2091632987499</v>
      </c>
    </row>
    <row r="18" spans="1:11" x14ac:dyDescent="0.25">
      <c r="A18" t="s">
        <v>177</v>
      </c>
      <c r="B18" s="4">
        <v>1</v>
      </c>
      <c r="C18" t="s">
        <v>175</v>
      </c>
      <c r="D18" s="9">
        <v>1568.0570849999999</v>
      </c>
      <c r="E18" s="9">
        <v>118.91099561249999</v>
      </c>
      <c r="F18" s="9">
        <v>121.36761837899999</v>
      </c>
      <c r="G18" s="9">
        <v>1327.7784710084998</v>
      </c>
      <c r="H18" s="9">
        <v>2156.2091632987499</v>
      </c>
    </row>
    <row r="19" spans="1:11" x14ac:dyDescent="0.25">
      <c r="A19" t="s">
        <v>178</v>
      </c>
      <c r="B19" s="4">
        <v>1</v>
      </c>
      <c r="C19" t="s">
        <v>175</v>
      </c>
      <c r="D19" s="9">
        <v>1568.0570849999999</v>
      </c>
      <c r="E19" s="9">
        <v>118.91099561249999</v>
      </c>
      <c r="F19" s="9">
        <v>121.36761837899999</v>
      </c>
      <c r="G19" s="9">
        <v>1327.7784710084998</v>
      </c>
      <c r="H19" s="9">
        <v>2156.2091632987499</v>
      </c>
    </row>
    <row r="20" spans="1:11" x14ac:dyDescent="0.25">
      <c r="A20" t="s">
        <v>179</v>
      </c>
      <c r="B20" s="4">
        <v>1</v>
      </c>
      <c r="C20" t="s">
        <v>175</v>
      </c>
      <c r="D20" s="9">
        <v>1568.0570849999999</v>
      </c>
      <c r="E20" s="9">
        <v>118.91099561249999</v>
      </c>
      <c r="F20" s="9">
        <v>121.36761837899999</v>
      </c>
      <c r="G20" s="9">
        <v>1327.7784710084998</v>
      </c>
      <c r="H20" s="9">
        <v>2156.2091632987499</v>
      </c>
    </row>
    <row r="21" spans="1:11" x14ac:dyDescent="0.25">
      <c r="A21" t="s">
        <v>180</v>
      </c>
      <c r="B21" s="4">
        <v>1</v>
      </c>
      <c r="C21" t="s">
        <v>175</v>
      </c>
      <c r="D21" s="9">
        <v>1568.0570849999999</v>
      </c>
      <c r="E21" s="9">
        <v>118.91099561249999</v>
      </c>
      <c r="F21" s="9">
        <v>121.36761837899999</v>
      </c>
      <c r="G21" s="9">
        <v>1327.7784710084998</v>
      </c>
      <c r="H21" s="9">
        <v>2156.2091632987499</v>
      </c>
    </row>
    <row r="22" spans="1:11" x14ac:dyDescent="0.25">
      <c r="A22" t="s">
        <v>181</v>
      </c>
      <c r="B22" s="4">
        <v>1</v>
      </c>
      <c r="C22" t="s">
        <v>175</v>
      </c>
      <c r="D22" s="9">
        <v>1568.0570849999999</v>
      </c>
      <c r="E22" s="9">
        <v>0</v>
      </c>
      <c r="F22" s="9">
        <v>121.36761837900001</v>
      </c>
      <c r="G22" s="9">
        <v>1446.6894666209998</v>
      </c>
      <c r="H22" s="9">
        <v>1568.0570849999999</v>
      </c>
    </row>
    <row r="23" spans="1:11" x14ac:dyDescent="0.25">
      <c r="A23" t="s">
        <v>183</v>
      </c>
      <c r="B23" s="4">
        <v>1</v>
      </c>
      <c r="C23" t="s">
        <v>175</v>
      </c>
      <c r="D23" s="9">
        <v>1568.0570849999999</v>
      </c>
      <c r="E23" s="9">
        <v>118.91099561249999</v>
      </c>
      <c r="F23" s="9">
        <v>121.36761837899999</v>
      </c>
      <c r="G23" s="9">
        <v>1327.7784710084998</v>
      </c>
      <c r="H23" s="9">
        <v>2156.2091632987499</v>
      </c>
    </row>
    <row r="24" spans="1:11" x14ac:dyDescent="0.25">
      <c r="A24" t="s">
        <v>184</v>
      </c>
      <c r="B24" s="4">
        <v>1</v>
      </c>
      <c r="C24" t="s">
        <v>175</v>
      </c>
      <c r="D24" s="9">
        <v>1568.0570849999999</v>
      </c>
      <c r="E24" s="9">
        <v>118.91099561249999</v>
      </c>
      <c r="F24" s="9">
        <v>121.36761837899999</v>
      </c>
      <c r="G24" s="9">
        <v>1327.7784710084998</v>
      </c>
      <c r="H24" s="9">
        <v>2156.2091632987499</v>
      </c>
    </row>
    <row r="25" spans="1:11" x14ac:dyDescent="0.25">
      <c r="A25" t="s">
        <v>185</v>
      </c>
      <c r="B25" s="4">
        <v>1</v>
      </c>
      <c r="C25" t="s">
        <v>175</v>
      </c>
      <c r="D25" s="9">
        <v>1568.0570849999999</v>
      </c>
      <c r="E25" s="9">
        <v>118.91099561249999</v>
      </c>
      <c r="F25" s="9">
        <v>121.36761837899999</v>
      </c>
      <c r="G25" s="9">
        <v>1327.7784710084998</v>
      </c>
      <c r="H25" s="9">
        <v>2156.2091632987499</v>
      </c>
    </row>
    <row r="26" spans="1:11" x14ac:dyDescent="0.25">
      <c r="A26" t="s">
        <v>186</v>
      </c>
      <c r="B26" s="4">
        <v>1</v>
      </c>
      <c r="C26" t="s">
        <v>175</v>
      </c>
      <c r="D26" s="9">
        <v>1636.2334799999999</v>
      </c>
      <c r="E26" s="9">
        <v>124.08103889999998</v>
      </c>
      <c r="F26" s="9">
        <v>126.64447135199998</v>
      </c>
      <c r="G26" s="9">
        <v>1385.5079697479998</v>
      </c>
      <c r="H26" s="9">
        <v>2249.9573877899998</v>
      </c>
    </row>
    <row r="27" spans="1:11" x14ac:dyDescent="0.25">
      <c r="A27" t="s">
        <v>187</v>
      </c>
      <c r="B27" s="4">
        <v>1</v>
      </c>
      <c r="C27" t="s">
        <v>175</v>
      </c>
      <c r="D27" s="9">
        <v>1636.2334799999999</v>
      </c>
      <c r="E27" s="9">
        <v>124.08103889999998</v>
      </c>
      <c r="F27" s="9">
        <v>126.64447135199998</v>
      </c>
      <c r="G27" s="9">
        <v>1385.5079697479998</v>
      </c>
      <c r="H27" s="9">
        <v>2249.9573877899998</v>
      </c>
    </row>
    <row r="28" spans="1:11" x14ac:dyDescent="0.25">
      <c r="A28" t="s">
        <v>188</v>
      </c>
      <c r="B28" s="4">
        <v>1</v>
      </c>
      <c r="C28" t="s">
        <v>175</v>
      </c>
      <c r="D28" s="9">
        <v>1636.2334799999999</v>
      </c>
      <c r="E28" s="9">
        <v>0</v>
      </c>
      <c r="F28" s="9">
        <v>124.00604486549997</v>
      </c>
      <c r="G28" s="9">
        <v>1512.2274351345</v>
      </c>
      <c r="H28" s="9">
        <v>1636.2334799999999</v>
      </c>
    </row>
    <row r="29" spans="1:11" x14ac:dyDescent="0.25">
      <c r="A29" t="s">
        <v>189</v>
      </c>
      <c r="B29" s="4">
        <v>1</v>
      </c>
      <c r="C29" t="s">
        <v>175</v>
      </c>
      <c r="D29" s="9">
        <v>1636.2334799999999</v>
      </c>
      <c r="E29" s="9">
        <v>124.08103889999998</v>
      </c>
      <c r="F29" s="9">
        <v>126.64447135199998</v>
      </c>
      <c r="G29" s="9">
        <v>1385.5079697479998</v>
      </c>
      <c r="H29" s="9">
        <v>2249.9573877899998</v>
      </c>
    </row>
    <row r="30" spans="1:11" x14ac:dyDescent="0.25">
      <c r="A30" s="45" t="s">
        <v>340</v>
      </c>
      <c r="B30" s="45"/>
      <c r="C30" s="45"/>
      <c r="D30" s="14">
        <v>22225.50477</v>
      </c>
      <c r="E30" s="14">
        <v>1442.4420772125</v>
      </c>
      <c r="F30" s="14">
        <v>1717.6156427114997</v>
      </c>
      <c r="G30" s="14">
        <v>19065.447050075996</v>
      </c>
      <c r="H30" s="14">
        <v>29360.04519805875</v>
      </c>
    </row>
    <row r="32" spans="1:11" x14ac:dyDescent="0.25">
      <c r="A32" s="55" t="s">
        <v>279</v>
      </c>
      <c r="B32" s="55"/>
      <c r="C32" s="55"/>
      <c r="D32" s="55"/>
      <c r="E32" s="55"/>
      <c r="F32" s="55"/>
      <c r="G32" s="55"/>
      <c r="H32" s="55"/>
      <c r="I32" s="55"/>
      <c r="J32" s="55"/>
      <c r="K32" s="55"/>
    </row>
    <row r="33" spans="1:11" ht="30" x14ac:dyDescent="0.25">
      <c r="A33" s="36" t="s">
        <v>341</v>
      </c>
      <c r="B33" s="37">
        <v>2673</v>
      </c>
      <c r="C33" s="37"/>
      <c r="D33" s="38" t="s">
        <v>342</v>
      </c>
      <c r="E33" s="37">
        <v>222.75</v>
      </c>
      <c r="F33" s="37"/>
      <c r="G33" s="38" t="s">
        <v>343</v>
      </c>
      <c r="H33" s="37">
        <v>962.96474999999953</v>
      </c>
      <c r="I33" s="39"/>
      <c r="J33" s="39"/>
      <c r="K33" s="39"/>
    </row>
    <row r="34" spans="1:11" x14ac:dyDescent="0.25">
      <c r="A34" s="39"/>
      <c r="B34" s="39"/>
      <c r="C34" s="39"/>
      <c r="D34" s="39"/>
      <c r="E34" s="39"/>
      <c r="F34" s="39"/>
      <c r="G34" s="39"/>
      <c r="H34" s="39"/>
      <c r="I34" s="39"/>
      <c r="J34" s="39"/>
      <c r="K34" s="39"/>
    </row>
    <row r="35" spans="1:11" ht="33.950000000000003" customHeight="1" x14ac:dyDescent="0.25">
      <c r="A35" s="33" t="s">
        <v>150</v>
      </c>
      <c r="B35" s="33" t="s">
        <v>344</v>
      </c>
      <c r="C35" s="33" t="s">
        <v>345</v>
      </c>
      <c r="D35" s="33" t="s">
        <v>346</v>
      </c>
      <c r="E35" s="33" t="s">
        <v>347</v>
      </c>
      <c r="F35" s="33" t="s">
        <v>348</v>
      </c>
      <c r="G35" s="33" t="s">
        <v>349</v>
      </c>
      <c r="H35" s="33" t="s">
        <v>327</v>
      </c>
      <c r="I35" s="33" t="s">
        <v>328</v>
      </c>
      <c r="J35" s="33" t="s">
        <v>350</v>
      </c>
      <c r="K35" s="33" t="s">
        <v>351</v>
      </c>
    </row>
    <row r="36" spans="1:11" x14ac:dyDescent="0.25">
      <c r="A36" s="39" t="s">
        <v>173</v>
      </c>
      <c r="B36" s="37">
        <v>222.75</v>
      </c>
      <c r="C36" s="37">
        <v>1807.4530833333333</v>
      </c>
      <c r="D36" s="37">
        <v>2035.6499325</v>
      </c>
      <c r="E36" s="37">
        <v>118.91099561249999</v>
      </c>
      <c r="F36" s="37">
        <v>132.31724561249999</v>
      </c>
      <c r="G36" s="37">
        <v>13.40625</v>
      </c>
      <c r="H36" s="37">
        <v>588.1520782987501</v>
      </c>
      <c r="I36" s="37">
        <v>654.46145329875003</v>
      </c>
      <c r="J36" s="37">
        <v>66.309374999999932</v>
      </c>
      <c r="K36" s="37">
        <v>79.715624999999932</v>
      </c>
    </row>
    <row r="37" spans="1:11" x14ac:dyDescent="0.25">
      <c r="A37" s="39" t="s">
        <v>176</v>
      </c>
      <c r="B37" s="37">
        <v>222.75</v>
      </c>
      <c r="C37" s="37">
        <v>1807.4530833333333</v>
      </c>
      <c r="D37" s="37">
        <v>2035.6499325</v>
      </c>
      <c r="E37" s="37">
        <v>118.91099561249999</v>
      </c>
      <c r="F37" s="37">
        <v>132.31724561249999</v>
      </c>
      <c r="G37" s="37">
        <v>13.40625</v>
      </c>
      <c r="H37" s="37">
        <v>588.1520782987501</v>
      </c>
      <c r="I37" s="37">
        <v>654.46145329875003</v>
      </c>
      <c r="J37" s="37">
        <v>66.309374999999932</v>
      </c>
      <c r="K37" s="37">
        <v>79.715624999999932</v>
      </c>
    </row>
    <row r="38" spans="1:11" x14ac:dyDescent="0.25">
      <c r="A38" s="39" t="s">
        <v>177</v>
      </c>
      <c r="B38" s="37">
        <v>222.75</v>
      </c>
      <c r="C38" s="37">
        <v>1807.4530833333333</v>
      </c>
      <c r="D38" s="37">
        <v>2035.6499325</v>
      </c>
      <c r="E38" s="37">
        <v>118.91099561249999</v>
      </c>
      <c r="F38" s="37">
        <v>132.31724561249999</v>
      </c>
      <c r="G38" s="37">
        <v>13.40625</v>
      </c>
      <c r="H38" s="37">
        <v>588.1520782987501</v>
      </c>
      <c r="I38" s="37">
        <v>654.46145329875003</v>
      </c>
      <c r="J38" s="37">
        <v>66.309374999999932</v>
      </c>
      <c r="K38" s="37">
        <v>79.715624999999932</v>
      </c>
    </row>
    <row r="39" spans="1:11" x14ac:dyDescent="0.25">
      <c r="A39" s="39" t="s">
        <v>178</v>
      </c>
      <c r="B39" s="37">
        <v>222.75</v>
      </c>
      <c r="C39" s="37">
        <v>1807.4530833333333</v>
      </c>
      <c r="D39" s="37">
        <v>2035.6499325</v>
      </c>
      <c r="E39" s="37">
        <v>118.91099561249999</v>
      </c>
      <c r="F39" s="37">
        <v>132.31724561249999</v>
      </c>
      <c r="G39" s="37">
        <v>13.40625</v>
      </c>
      <c r="H39" s="37">
        <v>588.1520782987501</v>
      </c>
      <c r="I39" s="37">
        <v>654.46145329875003</v>
      </c>
      <c r="J39" s="37">
        <v>66.309374999999932</v>
      </c>
      <c r="K39" s="37">
        <v>79.715624999999932</v>
      </c>
    </row>
    <row r="40" spans="1:11" x14ac:dyDescent="0.25">
      <c r="A40" s="39" t="s">
        <v>179</v>
      </c>
      <c r="B40" s="37">
        <v>222.75</v>
      </c>
      <c r="C40" s="37">
        <v>1807.4530833333333</v>
      </c>
      <c r="D40" s="37">
        <v>2030.2030833333333</v>
      </c>
      <c r="E40" s="37">
        <v>118.91099561249999</v>
      </c>
      <c r="F40" s="37">
        <v>133.38974561249998</v>
      </c>
      <c r="G40" s="37">
        <v>14.478749999999991</v>
      </c>
      <c r="H40" s="37">
        <v>588.1520782987501</v>
      </c>
      <c r="I40" s="37">
        <v>659.76620329875004</v>
      </c>
      <c r="J40" s="37">
        <v>71.614124999999945</v>
      </c>
      <c r="K40" s="37">
        <v>86.092874999999935</v>
      </c>
    </row>
    <row r="41" spans="1:11" x14ac:dyDescent="0.25">
      <c r="A41" s="39" t="s">
        <v>180</v>
      </c>
      <c r="B41" s="37">
        <v>222.75</v>
      </c>
      <c r="C41" s="37">
        <v>1807.4530833333333</v>
      </c>
      <c r="D41" s="37">
        <v>2035.6499325</v>
      </c>
      <c r="E41" s="37">
        <v>118.91099561249999</v>
      </c>
      <c r="F41" s="37">
        <v>132.31724561249999</v>
      </c>
      <c r="G41" s="37">
        <v>13.40625</v>
      </c>
      <c r="H41" s="37">
        <v>588.1520782987501</v>
      </c>
      <c r="I41" s="37">
        <v>654.46145329875003</v>
      </c>
      <c r="J41" s="37">
        <v>66.309374999999932</v>
      </c>
      <c r="K41" s="37">
        <v>79.715624999999932</v>
      </c>
    </row>
    <row r="42" spans="1:11" x14ac:dyDescent="0.25">
      <c r="A42" s="39" t="s">
        <v>183</v>
      </c>
      <c r="B42" s="37">
        <v>222.75</v>
      </c>
      <c r="C42" s="37">
        <v>1807.4530833333333</v>
      </c>
      <c r="D42" s="37">
        <v>2035.6499325</v>
      </c>
      <c r="E42" s="37">
        <v>118.91099561249999</v>
      </c>
      <c r="F42" s="37">
        <v>132.31724561249999</v>
      </c>
      <c r="G42" s="37">
        <v>13.40625</v>
      </c>
      <c r="H42" s="37">
        <v>588.1520782987501</v>
      </c>
      <c r="I42" s="37">
        <v>654.46145329875003</v>
      </c>
      <c r="J42" s="37">
        <v>66.309374999999932</v>
      </c>
      <c r="K42" s="37">
        <v>79.715624999999932</v>
      </c>
    </row>
    <row r="43" spans="1:11" x14ac:dyDescent="0.25">
      <c r="A43" s="39" t="s">
        <v>184</v>
      </c>
      <c r="B43" s="37">
        <v>222.75</v>
      </c>
      <c r="C43" s="37">
        <v>1886.038</v>
      </c>
      <c r="D43" s="37">
        <v>2035.6499325</v>
      </c>
      <c r="E43" s="37">
        <v>118.91099561249999</v>
      </c>
      <c r="F43" s="37">
        <v>132.31724561249999</v>
      </c>
      <c r="G43" s="37">
        <v>13.40625</v>
      </c>
      <c r="H43" s="37">
        <v>588.1520782987501</v>
      </c>
      <c r="I43" s="37">
        <v>654.46145329875003</v>
      </c>
      <c r="J43" s="37">
        <v>66.309374999999932</v>
      </c>
      <c r="K43" s="37">
        <v>79.715624999999932</v>
      </c>
    </row>
    <row r="44" spans="1:11" x14ac:dyDescent="0.25">
      <c r="A44" s="39" t="s">
        <v>185</v>
      </c>
      <c r="B44" s="37">
        <v>222.75</v>
      </c>
      <c r="C44" s="37">
        <v>1886.038</v>
      </c>
      <c r="D44" s="37">
        <v>2035.6499325</v>
      </c>
      <c r="E44" s="37">
        <v>118.91099561249999</v>
      </c>
      <c r="F44" s="37">
        <v>132.31724561249999</v>
      </c>
      <c r="G44" s="37">
        <v>13.40625</v>
      </c>
      <c r="H44" s="37">
        <v>588.1520782987501</v>
      </c>
      <c r="I44" s="37">
        <v>654.46145329875003</v>
      </c>
      <c r="J44" s="37">
        <v>66.309374999999932</v>
      </c>
      <c r="K44" s="37">
        <v>79.715624999999932</v>
      </c>
    </row>
    <row r="45" spans="1:11" x14ac:dyDescent="0.25">
      <c r="A45" s="39" t="s">
        <v>186</v>
      </c>
      <c r="B45" s="37">
        <v>222.75</v>
      </c>
      <c r="C45" s="37">
        <v>1886.038</v>
      </c>
      <c r="D45" s="37">
        <v>2115.1890599999997</v>
      </c>
      <c r="E45" s="37">
        <v>124.08103889999998</v>
      </c>
      <c r="F45" s="37">
        <v>137.48728889999998</v>
      </c>
      <c r="G45" s="37">
        <v>13.40625</v>
      </c>
      <c r="H45" s="37">
        <v>613.72390778999988</v>
      </c>
      <c r="I45" s="37">
        <v>680.03328278999993</v>
      </c>
      <c r="J45" s="37">
        <v>66.309375000000045</v>
      </c>
      <c r="K45" s="37">
        <v>79.715625000000045</v>
      </c>
    </row>
    <row r="46" spans="1:11" x14ac:dyDescent="0.25">
      <c r="A46" s="39" t="s">
        <v>187</v>
      </c>
      <c r="B46" s="37">
        <v>222.75</v>
      </c>
      <c r="C46" s="37">
        <v>1886.038</v>
      </c>
      <c r="D46" s="37">
        <v>2115.1890599999997</v>
      </c>
      <c r="E46" s="37">
        <v>124.08103889999998</v>
      </c>
      <c r="F46" s="37">
        <v>137.48728889999998</v>
      </c>
      <c r="G46" s="37">
        <v>13.40625</v>
      </c>
      <c r="H46" s="37">
        <v>613.72390778999988</v>
      </c>
      <c r="I46" s="37">
        <v>680.03328278999993</v>
      </c>
      <c r="J46" s="37">
        <v>66.309375000000045</v>
      </c>
      <c r="K46" s="37">
        <v>79.715625000000045</v>
      </c>
    </row>
    <row r="47" spans="1:11" x14ac:dyDescent="0.25">
      <c r="A47" s="39" t="s">
        <v>189</v>
      </c>
      <c r="B47" s="37">
        <v>222.75</v>
      </c>
      <c r="C47" s="37">
        <v>1886.038</v>
      </c>
      <c r="D47" s="37">
        <v>2115.1890599999997</v>
      </c>
      <c r="E47" s="37">
        <v>124.08103889999998</v>
      </c>
      <c r="F47" s="37">
        <v>137.48728889999998</v>
      </c>
      <c r="G47" s="37">
        <v>13.40625</v>
      </c>
      <c r="H47" s="37">
        <v>613.72390778999988</v>
      </c>
      <c r="I47" s="37">
        <v>680.03328278999993</v>
      </c>
      <c r="J47" s="37">
        <v>66.309375000000045</v>
      </c>
      <c r="K47" s="37">
        <v>79.715625000000045</v>
      </c>
    </row>
    <row r="48" spans="1:11" x14ac:dyDescent="0.25">
      <c r="A48" s="40" t="s">
        <v>352</v>
      </c>
      <c r="B48" s="41">
        <f t="shared" ref="B48:K48" si="0">SUM(B36:B47)</f>
        <v>2673</v>
      </c>
      <c r="C48" s="41">
        <f t="shared" si="0"/>
        <v>22082.361583333335</v>
      </c>
      <c r="D48" s="41">
        <f t="shared" si="0"/>
        <v>24660.969723333335</v>
      </c>
      <c r="E48" s="41">
        <f t="shared" si="0"/>
        <v>1442.4420772125</v>
      </c>
      <c r="F48" s="41">
        <f t="shared" si="0"/>
        <v>1604.3895772125002</v>
      </c>
      <c r="G48" s="41">
        <f t="shared" si="0"/>
        <v>161.94749999999999</v>
      </c>
      <c r="H48" s="41">
        <f t="shared" si="0"/>
        <v>7134.54042805875</v>
      </c>
      <c r="I48" s="41">
        <f t="shared" si="0"/>
        <v>7935.5576780587498</v>
      </c>
      <c r="J48" s="41">
        <f t="shared" si="0"/>
        <v>801.01724999999954</v>
      </c>
      <c r="K48" s="41">
        <f t="shared" si="0"/>
        <v>962.96474999999953</v>
      </c>
    </row>
  </sheetData>
  <mergeCells count="4">
    <mergeCell ref="A1:H1"/>
    <mergeCell ref="D5:H5"/>
    <mergeCell ref="A30:C30"/>
    <mergeCell ref="A32:K3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K48"/>
  <sheetViews>
    <sheetView workbookViewId="0"/>
  </sheetViews>
  <sheetFormatPr baseColWidth="10" defaultColWidth="9.140625" defaultRowHeight="15" x14ac:dyDescent="0.25"/>
  <cols>
    <col min="1" max="1" width="18" customWidth="1"/>
    <col min="2" max="11" width="16" customWidth="1"/>
  </cols>
  <sheetData>
    <row r="1" spans="1:8" ht="26.1" customHeight="1" x14ac:dyDescent="0.3">
      <c r="A1" s="46" t="s">
        <v>332</v>
      </c>
      <c r="B1" s="46"/>
      <c r="C1" s="46"/>
      <c r="D1" s="46"/>
      <c r="E1" s="46"/>
      <c r="F1" s="46"/>
      <c r="G1" s="46"/>
      <c r="H1" s="46"/>
    </row>
    <row r="3" spans="1:8" x14ac:dyDescent="0.25">
      <c r="A3" t="s">
        <v>149</v>
      </c>
      <c r="B3" s="13" t="s">
        <v>106</v>
      </c>
    </row>
    <row r="5" spans="1:8" x14ac:dyDescent="0.25">
      <c r="A5" t="s">
        <v>74</v>
      </c>
      <c r="B5" t="s">
        <v>107</v>
      </c>
      <c r="D5" s="54" t="s">
        <v>333</v>
      </c>
      <c r="E5" s="54"/>
      <c r="F5" s="54"/>
      <c r="G5" s="54"/>
      <c r="H5" s="54"/>
    </row>
    <row r="6" spans="1:8" x14ac:dyDescent="0.25">
      <c r="A6" t="s">
        <v>334</v>
      </c>
      <c r="B6">
        <v>1985</v>
      </c>
      <c r="D6" t="s">
        <v>335</v>
      </c>
      <c r="E6" s="9">
        <v>55806.718380000006</v>
      </c>
    </row>
    <row r="7" spans="1:8" x14ac:dyDescent="0.25">
      <c r="A7" t="s">
        <v>76</v>
      </c>
      <c r="B7" s="1">
        <v>44018</v>
      </c>
      <c r="D7" t="s">
        <v>336</v>
      </c>
      <c r="E7" s="9">
        <v>3627.4366946999994</v>
      </c>
    </row>
    <row r="8" spans="1:8" x14ac:dyDescent="0.25">
      <c r="A8" t="s">
        <v>77</v>
      </c>
      <c r="B8" s="4">
        <v>0.26069999999999999</v>
      </c>
      <c r="D8" t="s">
        <v>77</v>
      </c>
      <c r="E8" s="9">
        <v>14353.487967335997</v>
      </c>
    </row>
    <row r="9" spans="1:8" x14ac:dyDescent="0.25">
      <c r="A9" t="s">
        <v>78</v>
      </c>
      <c r="B9" s="4">
        <v>1</v>
      </c>
      <c r="D9" t="s">
        <v>337</v>
      </c>
      <c r="E9" s="9">
        <v>37825.793717963999</v>
      </c>
    </row>
    <row r="10" spans="1:8" x14ac:dyDescent="0.25">
      <c r="A10" t="s">
        <v>79</v>
      </c>
      <c r="B10" t="s">
        <v>141</v>
      </c>
      <c r="D10" t="s">
        <v>338</v>
      </c>
      <c r="E10" s="9">
        <v>17941.859959169993</v>
      </c>
    </row>
    <row r="11" spans="1:8" x14ac:dyDescent="0.25">
      <c r="A11" t="s">
        <v>82</v>
      </c>
      <c r="B11" s="9">
        <v>3559.84</v>
      </c>
      <c r="D11" t="s">
        <v>267</v>
      </c>
      <c r="E11" s="9">
        <v>73748.57833917001</v>
      </c>
    </row>
    <row r="12" spans="1:8" x14ac:dyDescent="0.25">
      <c r="A12" t="s">
        <v>81</v>
      </c>
      <c r="B12" s="4">
        <v>1.4999999999999999E-2</v>
      </c>
    </row>
    <row r="13" spans="1:8" x14ac:dyDescent="0.25">
      <c r="A13" s="35" t="s">
        <v>90</v>
      </c>
      <c r="B13" s="34">
        <v>11875</v>
      </c>
    </row>
    <row r="15" spans="1:8" x14ac:dyDescent="0.25">
      <c r="A15" s="6" t="s">
        <v>150</v>
      </c>
      <c r="B15" s="6" t="s">
        <v>339</v>
      </c>
      <c r="C15" s="6" t="s">
        <v>165</v>
      </c>
      <c r="D15" s="6" t="s">
        <v>94</v>
      </c>
      <c r="E15" s="6" t="s">
        <v>336</v>
      </c>
      <c r="F15" s="6" t="s">
        <v>77</v>
      </c>
      <c r="G15" s="6" t="s">
        <v>95</v>
      </c>
      <c r="H15" s="6" t="s">
        <v>267</v>
      </c>
    </row>
    <row r="16" spans="1:8" x14ac:dyDescent="0.25">
      <c r="A16" t="s">
        <v>173</v>
      </c>
      <c r="B16" s="4">
        <v>1</v>
      </c>
      <c r="C16" t="s">
        <v>175</v>
      </c>
      <c r="D16" s="9">
        <v>3986.1941699999998</v>
      </c>
      <c r="E16" s="9">
        <v>302.28639122499993</v>
      </c>
      <c r="F16" s="9">
        <v>1025.2491405239998</v>
      </c>
      <c r="G16" s="9">
        <v>2658.658638251</v>
      </c>
      <c r="H16" s="9">
        <v>5481.3491665974989</v>
      </c>
    </row>
    <row r="17" spans="1:11" x14ac:dyDescent="0.25">
      <c r="A17" t="s">
        <v>176</v>
      </c>
      <c r="B17" s="4">
        <v>1</v>
      </c>
      <c r="C17" t="s">
        <v>175</v>
      </c>
      <c r="D17" s="9">
        <v>3986.1941699999998</v>
      </c>
      <c r="E17" s="9">
        <v>302.28639122499993</v>
      </c>
      <c r="F17" s="9">
        <v>1025.2491405239998</v>
      </c>
      <c r="G17" s="9">
        <v>2658.658638251</v>
      </c>
      <c r="H17" s="9">
        <v>5481.3491665974989</v>
      </c>
    </row>
    <row r="18" spans="1:11" x14ac:dyDescent="0.25">
      <c r="A18" t="s">
        <v>177</v>
      </c>
      <c r="B18" s="4">
        <v>1</v>
      </c>
      <c r="C18" t="s">
        <v>175</v>
      </c>
      <c r="D18" s="9">
        <v>3986.1941699999998</v>
      </c>
      <c r="E18" s="9">
        <v>302.28639122499993</v>
      </c>
      <c r="F18" s="9">
        <v>1025.2491405239998</v>
      </c>
      <c r="G18" s="9">
        <v>2658.658638251</v>
      </c>
      <c r="H18" s="9">
        <v>5481.3491665974989</v>
      </c>
    </row>
    <row r="19" spans="1:11" x14ac:dyDescent="0.25">
      <c r="A19" t="s">
        <v>178</v>
      </c>
      <c r="B19" s="4">
        <v>1</v>
      </c>
      <c r="C19" t="s">
        <v>175</v>
      </c>
      <c r="D19" s="9">
        <v>3986.1941699999998</v>
      </c>
      <c r="E19" s="9">
        <v>302.28639122499993</v>
      </c>
      <c r="F19" s="9">
        <v>1025.2491405239998</v>
      </c>
      <c r="G19" s="9">
        <v>2658.658638251</v>
      </c>
      <c r="H19" s="9">
        <v>5481.3491665974989</v>
      </c>
    </row>
    <row r="20" spans="1:11" x14ac:dyDescent="0.25">
      <c r="A20" t="s">
        <v>179</v>
      </c>
      <c r="B20" s="4">
        <v>1</v>
      </c>
      <c r="C20" t="s">
        <v>175</v>
      </c>
      <c r="D20" s="9">
        <v>3986.1941699999998</v>
      </c>
      <c r="E20" s="9">
        <v>302.28639122499993</v>
      </c>
      <c r="F20" s="9">
        <v>1025.2491405239998</v>
      </c>
      <c r="G20" s="9">
        <v>2658.658638251</v>
      </c>
      <c r="H20" s="9">
        <v>5481.3491665974989</v>
      </c>
    </row>
    <row r="21" spans="1:11" x14ac:dyDescent="0.25">
      <c r="A21" t="s">
        <v>180</v>
      </c>
      <c r="B21" s="4">
        <v>1</v>
      </c>
      <c r="C21" t="s">
        <v>175</v>
      </c>
      <c r="D21" s="9">
        <v>3986.1941699999998</v>
      </c>
      <c r="E21" s="9">
        <v>302.28639122499993</v>
      </c>
      <c r="F21" s="9">
        <v>1025.2491405239998</v>
      </c>
      <c r="G21" s="9">
        <v>2658.658638251</v>
      </c>
      <c r="H21" s="9">
        <v>5481.3491665974989</v>
      </c>
    </row>
    <row r="22" spans="1:11" x14ac:dyDescent="0.25">
      <c r="A22" t="s">
        <v>181</v>
      </c>
      <c r="B22" s="4">
        <v>1</v>
      </c>
      <c r="C22" t="s">
        <v>175</v>
      </c>
      <c r="D22" s="9">
        <v>3986.1941699999998</v>
      </c>
      <c r="E22" s="9">
        <v>0</v>
      </c>
      <c r="F22" s="9">
        <v>1025.2491405239998</v>
      </c>
      <c r="G22" s="9">
        <v>2960.9450294759999</v>
      </c>
      <c r="H22" s="9">
        <v>3986.1941699999998</v>
      </c>
    </row>
    <row r="23" spans="1:11" x14ac:dyDescent="0.25">
      <c r="A23" t="s">
        <v>183</v>
      </c>
      <c r="B23" s="4">
        <v>1</v>
      </c>
      <c r="C23" t="s">
        <v>175</v>
      </c>
      <c r="D23" s="9">
        <v>3986.1941699999998</v>
      </c>
      <c r="E23" s="9">
        <v>302.28639122499993</v>
      </c>
      <c r="F23" s="9">
        <v>1025.2491405239998</v>
      </c>
      <c r="G23" s="9">
        <v>2658.658638251</v>
      </c>
      <c r="H23" s="9">
        <v>5481.3491665974989</v>
      </c>
    </row>
    <row r="24" spans="1:11" x14ac:dyDescent="0.25">
      <c r="A24" t="s">
        <v>184</v>
      </c>
      <c r="B24" s="4">
        <v>1</v>
      </c>
      <c r="C24" t="s">
        <v>175</v>
      </c>
      <c r="D24" s="9">
        <v>3986.1941699999998</v>
      </c>
      <c r="E24" s="9">
        <v>302.28639122499993</v>
      </c>
      <c r="F24" s="9">
        <v>1025.2491405239998</v>
      </c>
      <c r="G24" s="9">
        <v>2658.658638251</v>
      </c>
      <c r="H24" s="9">
        <v>5481.3491665974989</v>
      </c>
    </row>
    <row r="25" spans="1:11" x14ac:dyDescent="0.25">
      <c r="A25" t="s">
        <v>185</v>
      </c>
      <c r="B25" s="4">
        <v>1</v>
      </c>
      <c r="C25" t="s">
        <v>175</v>
      </c>
      <c r="D25" s="9">
        <v>3986.1941699999998</v>
      </c>
      <c r="E25" s="9">
        <v>302.28639122499993</v>
      </c>
      <c r="F25" s="9">
        <v>1025.2491405239998</v>
      </c>
      <c r="G25" s="9">
        <v>2658.658638251</v>
      </c>
      <c r="H25" s="9">
        <v>5481.3491665974989</v>
      </c>
    </row>
    <row r="26" spans="1:11" x14ac:dyDescent="0.25">
      <c r="A26" t="s">
        <v>186</v>
      </c>
      <c r="B26" s="4">
        <v>1</v>
      </c>
      <c r="C26" t="s">
        <v>175</v>
      </c>
      <c r="D26" s="9">
        <v>3986.1941699999998</v>
      </c>
      <c r="E26" s="9">
        <v>302.28639122499993</v>
      </c>
      <c r="F26" s="9">
        <v>1025.2491405239998</v>
      </c>
      <c r="G26" s="9">
        <v>2658.658638251</v>
      </c>
      <c r="H26" s="9">
        <v>5481.3491665974989</v>
      </c>
    </row>
    <row r="27" spans="1:11" x14ac:dyDescent="0.25">
      <c r="A27" t="s">
        <v>187</v>
      </c>
      <c r="B27" s="4">
        <v>1</v>
      </c>
      <c r="C27" t="s">
        <v>175</v>
      </c>
      <c r="D27" s="9">
        <v>3986.1941699999998</v>
      </c>
      <c r="E27" s="9">
        <v>302.28639122499993</v>
      </c>
      <c r="F27" s="9">
        <v>1025.2491405239998</v>
      </c>
      <c r="G27" s="9">
        <v>2658.658638251</v>
      </c>
      <c r="H27" s="9">
        <v>5481.3491665974989</v>
      </c>
    </row>
    <row r="28" spans="1:11" x14ac:dyDescent="0.25">
      <c r="A28" t="s">
        <v>188</v>
      </c>
      <c r="B28" s="4">
        <v>1</v>
      </c>
      <c r="C28" t="s">
        <v>175</v>
      </c>
      <c r="D28" s="9">
        <v>3986.1941699999998</v>
      </c>
      <c r="E28" s="9">
        <v>0</v>
      </c>
      <c r="F28" s="9">
        <v>1025.2491405239998</v>
      </c>
      <c r="G28" s="9">
        <v>2960.9450294759999</v>
      </c>
      <c r="H28" s="9">
        <v>3986.1941699999998</v>
      </c>
    </row>
    <row r="29" spans="1:11" x14ac:dyDescent="0.25">
      <c r="A29" t="s">
        <v>189</v>
      </c>
      <c r="B29" s="4">
        <v>1</v>
      </c>
      <c r="C29" t="s">
        <v>175</v>
      </c>
      <c r="D29" s="9">
        <v>3986.1941699999998</v>
      </c>
      <c r="E29" s="9">
        <v>302.28639122499993</v>
      </c>
      <c r="F29" s="9">
        <v>1025.2491405239998</v>
      </c>
      <c r="G29" s="9">
        <v>2658.658638251</v>
      </c>
      <c r="H29" s="9">
        <v>5481.3491665974989</v>
      </c>
    </row>
    <row r="30" spans="1:11" x14ac:dyDescent="0.25">
      <c r="A30" s="45" t="s">
        <v>340</v>
      </c>
      <c r="B30" s="45"/>
      <c r="C30" s="45"/>
      <c r="D30" s="14">
        <v>55806.718380000006</v>
      </c>
      <c r="E30" s="14">
        <v>3627.4366946999994</v>
      </c>
      <c r="F30" s="14">
        <v>14353.487967335997</v>
      </c>
      <c r="G30" s="14">
        <v>37825.793717963999</v>
      </c>
      <c r="H30" s="14">
        <v>73748.57833917001</v>
      </c>
    </row>
    <row r="32" spans="1:11" x14ac:dyDescent="0.25">
      <c r="A32" s="55" t="s">
        <v>279</v>
      </c>
      <c r="B32" s="55"/>
      <c r="C32" s="55"/>
      <c r="D32" s="55"/>
      <c r="E32" s="55"/>
      <c r="F32" s="55"/>
      <c r="G32" s="55"/>
      <c r="H32" s="55"/>
      <c r="I32" s="55"/>
      <c r="J32" s="55"/>
      <c r="K32" s="55"/>
    </row>
    <row r="33" spans="1:11" ht="30" x14ac:dyDescent="0.25">
      <c r="A33" s="36" t="s">
        <v>341</v>
      </c>
      <c r="B33" s="37">
        <v>11875</v>
      </c>
      <c r="C33" s="37"/>
      <c r="D33" s="38" t="s">
        <v>342</v>
      </c>
      <c r="E33" s="37">
        <v>989.58333333333337</v>
      </c>
      <c r="F33" s="37"/>
      <c r="G33" s="38" t="s">
        <v>343</v>
      </c>
      <c r="H33" s="37">
        <v>2172.6014858800017</v>
      </c>
      <c r="I33" s="39"/>
      <c r="J33" s="39"/>
      <c r="K33" s="39"/>
    </row>
    <row r="34" spans="1:11" x14ac:dyDescent="0.25">
      <c r="A34" s="39"/>
      <c r="B34" s="39"/>
      <c r="C34" s="39"/>
      <c r="D34" s="39"/>
      <c r="E34" s="39"/>
      <c r="F34" s="39"/>
      <c r="G34" s="39"/>
      <c r="H34" s="39"/>
      <c r="I34" s="39"/>
      <c r="J34" s="39"/>
      <c r="K34" s="39"/>
    </row>
    <row r="35" spans="1:11" ht="33.950000000000003" customHeight="1" x14ac:dyDescent="0.25">
      <c r="A35" s="33" t="s">
        <v>150</v>
      </c>
      <c r="B35" s="33" t="s">
        <v>344</v>
      </c>
      <c r="C35" s="33" t="s">
        <v>345</v>
      </c>
      <c r="D35" s="33" t="s">
        <v>346</v>
      </c>
      <c r="E35" s="33" t="s">
        <v>347</v>
      </c>
      <c r="F35" s="33" t="s">
        <v>348</v>
      </c>
      <c r="G35" s="33" t="s">
        <v>349</v>
      </c>
      <c r="H35" s="33" t="s">
        <v>327</v>
      </c>
      <c r="I35" s="33" t="s">
        <v>328</v>
      </c>
      <c r="J35" s="33" t="s">
        <v>350</v>
      </c>
      <c r="K35" s="33" t="s">
        <v>351</v>
      </c>
    </row>
    <row r="36" spans="1:11" x14ac:dyDescent="0.25">
      <c r="A36" s="39" t="s">
        <v>173</v>
      </c>
      <c r="B36" s="37">
        <v>989.58333333333337</v>
      </c>
      <c r="C36" s="37">
        <v>4568.4613333333336</v>
      </c>
      <c r="D36" s="37">
        <v>5692.2265316666662</v>
      </c>
      <c r="E36" s="37">
        <v>302.28639122499993</v>
      </c>
      <c r="F36" s="37">
        <v>332.71713171649998</v>
      </c>
      <c r="G36" s="37">
        <v>30.430740491500046</v>
      </c>
      <c r="H36" s="37">
        <v>1495.1549965974993</v>
      </c>
      <c r="I36" s="37">
        <v>1645.7743799293328</v>
      </c>
      <c r="J36" s="37">
        <v>150.61938333183343</v>
      </c>
      <c r="K36" s="37">
        <v>181.05012382333348</v>
      </c>
    </row>
    <row r="37" spans="1:11" x14ac:dyDescent="0.25">
      <c r="A37" s="39" t="s">
        <v>176</v>
      </c>
      <c r="B37" s="37">
        <v>989.58333333333337</v>
      </c>
      <c r="C37" s="37">
        <v>4568.4613333333336</v>
      </c>
      <c r="D37" s="37">
        <v>5692.2265316666662</v>
      </c>
      <c r="E37" s="37">
        <v>302.28639122499993</v>
      </c>
      <c r="F37" s="37">
        <v>332.71713171649998</v>
      </c>
      <c r="G37" s="37">
        <v>30.430740491500046</v>
      </c>
      <c r="H37" s="37">
        <v>1495.1549965974993</v>
      </c>
      <c r="I37" s="37">
        <v>1645.7743799293328</v>
      </c>
      <c r="J37" s="37">
        <v>150.61938333183343</v>
      </c>
      <c r="K37" s="37">
        <v>181.05012382333348</v>
      </c>
    </row>
    <row r="38" spans="1:11" x14ac:dyDescent="0.25">
      <c r="A38" s="39" t="s">
        <v>177</v>
      </c>
      <c r="B38" s="37">
        <v>989.58333333333337</v>
      </c>
      <c r="C38" s="37">
        <v>4568.4613333333336</v>
      </c>
      <c r="D38" s="37">
        <v>5692.2265316666662</v>
      </c>
      <c r="E38" s="37">
        <v>302.28639122499993</v>
      </c>
      <c r="F38" s="37">
        <v>332.71713171649998</v>
      </c>
      <c r="G38" s="37">
        <v>30.430740491500046</v>
      </c>
      <c r="H38" s="37">
        <v>1495.1549965974993</v>
      </c>
      <c r="I38" s="37">
        <v>1645.7743799293328</v>
      </c>
      <c r="J38" s="37">
        <v>150.61938333183343</v>
      </c>
      <c r="K38" s="37">
        <v>181.05012382333348</v>
      </c>
    </row>
    <row r="39" spans="1:11" x14ac:dyDescent="0.25">
      <c r="A39" s="39" t="s">
        <v>178</v>
      </c>
      <c r="B39" s="37">
        <v>989.58333333333337</v>
      </c>
      <c r="C39" s="37">
        <v>4568.4613333333336</v>
      </c>
      <c r="D39" s="37">
        <v>5692.2265316666662</v>
      </c>
      <c r="E39" s="37">
        <v>302.28639122499993</v>
      </c>
      <c r="F39" s="37">
        <v>332.71713171649998</v>
      </c>
      <c r="G39" s="37">
        <v>30.430740491500046</v>
      </c>
      <c r="H39" s="37">
        <v>1495.1549965974993</v>
      </c>
      <c r="I39" s="37">
        <v>1645.7743799293328</v>
      </c>
      <c r="J39" s="37">
        <v>150.61938333183343</v>
      </c>
      <c r="K39" s="37">
        <v>181.05012382333348</v>
      </c>
    </row>
    <row r="40" spans="1:11" x14ac:dyDescent="0.25">
      <c r="A40" s="39" t="s">
        <v>179</v>
      </c>
      <c r="B40" s="37">
        <v>989.58333333333337</v>
      </c>
      <c r="C40" s="37">
        <v>4568.4613333333336</v>
      </c>
      <c r="D40" s="37">
        <v>5692.2265316666662</v>
      </c>
      <c r="E40" s="37">
        <v>302.28639122499993</v>
      </c>
      <c r="F40" s="37">
        <v>332.71713171649998</v>
      </c>
      <c r="G40" s="37">
        <v>30.430740491500046</v>
      </c>
      <c r="H40" s="37">
        <v>1495.1549965974993</v>
      </c>
      <c r="I40" s="37">
        <v>1645.7743799293328</v>
      </c>
      <c r="J40" s="37">
        <v>150.61938333183343</v>
      </c>
      <c r="K40" s="37">
        <v>181.05012382333348</v>
      </c>
    </row>
    <row r="41" spans="1:11" x14ac:dyDescent="0.25">
      <c r="A41" s="39" t="s">
        <v>180</v>
      </c>
      <c r="B41" s="37">
        <v>989.58333333333337</v>
      </c>
      <c r="C41" s="37">
        <v>4568.4613333333336</v>
      </c>
      <c r="D41" s="37">
        <v>5692.2265316666662</v>
      </c>
      <c r="E41" s="37">
        <v>302.28639122499993</v>
      </c>
      <c r="F41" s="37">
        <v>332.71713171649998</v>
      </c>
      <c r="G41" s="37">
        <v>30.430740491500046</v>
      </c>
      <c r="H41" s="37">
        <v>1495.1549965974993</v>
      </c>
      <c r="I41" s="37">
        <v>1645.7743799293328</v>
      </c>
      <c r="J41" s="37">
        <v>150.61938333183343</v>
      </c>
      <c r="K41" s="37">
        <v>181.05012382333348</v>
      </c>
    </row>
    <row r="42" spans="1:11" x14ac:dyDescent="0.25">
      <c r="A42" s="39" t="s">
        <v>183</v>
      </c>
      <c r="B42" s="37">
        <v>989.58333333333337</v>
      </c>
      <c r="C42" s="37">
        <v>4568.4613333333336</v>
      </c>
      <c r="D42" s="37">
        <v>5692.2265316666662</v>
      </c>
      <c r="E42" s="37">
        <v>302.28639122499993</v>
      </c>
      <c r="F42" s="37">
        <v>332.71713171649998</v>
      </c>
      <c r="G42" s="37">
        <v>30.430740491500046</v>
      </c>
      <c r="H42" s="37">
        <v>1495.1549965974993</v>
      </c>
      <c r="I42" s="37">
        <v>1645.7743799293328</v>
      </c>
      <c r="J42" s="37">
        <v>150.61938333183343</v>
      </c>
      <c r="K42" s="37">
        <v>181.05012382333348</v>
      </c>
    </row>
    <row r="43" spans="1:11" x14ac:dyDescent="0.25">
      <c r="A43" s="39" t="s">
        <v>184</v>
      </c>
      <c r="B43" s="37">
        <v>989.58333333333337</v>
      </c>
      <c r="C43" s="37">
        <v>4776.1186666666672</v>
      </c>
      <c r="D43" s="37">
        <v>5692.2265316666662</v>
      </c>
      <c r="E43" s="37">
        <v>302.28639122499993</v>
      </c>
      <c r="F43" s="37">
        <v>332.71713171649998</v>
      </c>
      <c r="G43" s="37">
        <v>30.430740491500046</v>
      </c>
      <c r="H43" s="37">
        <v>1495.1549965974993</v>
      </c>
      <c r="I43" s="37">
        <v>1645.7743799293328</v>
      </c>
      <c r="J43" s="37">
        <v>150.61938333183343</v>
      </c>
      <c r="K43" s="37">
        <v>181.05012382333348</v>
      </c>
    </row>
    <row r="44" spans="1:11" x14ac:dyDescent="0.25">
      <c r="A44" s="39" t="s">
        <v>185</v>
      </c>
      <c r="B44" s="37">
        <v>989.58333333333337</v>
      </c>
      <c r="C44" s="37">
        <v>4776.1186666666672</v>
      </c>
      <c r="D44" s="37">
        <v>5692.2265316666662</v>
      </c>
      <c r="E44" s="37">
        <v>302.28639122499993</v>
      </c>
      <c r="F44" s="37">
        <v>332.71713171649998</v>
      </c>
      <c r="G44" s="37">
        <v>30.430740491500046</v>
      </c>
      <c r="H44" s="37">
        <v>1495.1549965974993</v>
      </c>
      <c r="I44" s="37">
        <v>1645.7743799293328</v>
      </c>
      <c r="J44" s="37">
        <v>150.61938333183343</v>
      </c>
      <c r="K44" s="37">
        <v>181.05012382333348</v>
      </c>
    </row>
    <row r="45" spans="1:11" x14ac:dyDescent="0.25">
      <c r="A45" s="39" t="s">
        <v>186</v>
      </c>
      <c r="B45" s="37">
        <v>989.58333333333337</v>
      </c>
      <c r="C45" s="37">
        <v>4776.1186666666672</v>
      </c>
      <c r="D45" s="37">
        <v>5692.2265316666662</v>
      </c>
      <c r="E45" s="37">
        <v>302.28639122499993</v>
      </c>
      <c r="F45" s="37">
        <v>332.71713171649998</v>
      </c>
      <c r="G45" s="37">
        <v>30.430740491500046</v>
      </c>
      <c r="H45" s="37">
        <v>1495.1549965974993</v>
      </c>
      <c r="I45" s="37">
        <v>1645.7743799293328</v>
      </c>
      <c r="J45" s="37">
        <v>150.61938333183343</v>
      </c>
      <c r="K45" s="37">
        <v>181.05012382333348</v>
      </c>
    </row>
    <row r="46" spans="1:11" x14ac:dyDescent="0.25">
      <c r="A46" s="39" t="s">
        <v>187</v>
      </c>
      <c r="B46" s="37">
        <v>989.58333333333337</v>
      </c>
      <c r="C46" s="37">
        <v>4776.1186666666672</v>
      </c>
      <c r="D46" s="37">
        <v>5692.2265316666662</v>
      </c>
      <c r="E46" s="37">
        <v>302.28639122499993</v>
      </c>
      <c r="F46" s="37">
        <v>332.71713171649998</v>
      </c>
      <c r="G46" s="37">
        <v>30.430740491500046</v>
      </c>
      <c r="H46" s="37">
        <v>1495.1549965974993</v>
      </c>
      <c r="I46" s="37">
        <v>1645.7743799293328</v>
      </c>
      <c r="J46" s="37">
        <v>150.61938333183343</v>
      </c>
      <c r="K46" s="37">
        <v>181.05012382333348</v>
      </c>
    </row>
    <row r="47" spans="1:11" x14ac:dyDescent="0.25">
      <c r="A47" s="39" t="s">
        <v>189</v>
      </c>
      <c r="B47" s="37">
        <v>989.58333333333337</v>
      </c>
      <c r="C47" s="37">
        <v>4776.1186666666672</v>
      </c>
      <c r="D47" s="37">
        <v>5692.2265316666662</v>
      </c>
      <c r="E47" s="37">
        <v>302.28639122499993</v>
      </c>
      <c r="F47" s="37">
        <v>332.71713171649998</v>
      </c>
      <c r="G47" s="37">
        <v>30.430740491500046</v>
      </c>
      <c r="H47" s="37">
        <v>1495.1549965974993</v>
      </c>
      <c r="I47" s="37">
        <v>1645.7743799293328</v>
      </c>
      <c r="J47" s="37">
        <v>150.61938333183343</v>
      </c>
      <c r="K47" s="37">
        <v>181.05012382333348</v>
      </c>
    </row>
    <row r="48" spans="1:11" x14ac:dyDescent="0.25">
      <c r="A48" s="40" t="s">
        <v>352</v>
      </c>
      <c r="B48" s="41">
        <f t="shared" ref="B48:K48" si="0">SUM(B36:B47)</f>
        <v>11875.000000000002</v>
      </c>
      <c r="C48" s="41">
        <f t="shared" si="0"/>
        <v>55859.822666666674</v>
      </c>
      <c r="D48" s="41">
        <f t="shared" si="0"/>
        <v>68306.718379999991</v>
      </c>
      <c r="E48" s="41">
        <f t="shared" si="0"/>
        <v>3627.4366946999994</v>
      </c>
      <c r="F48" s="41">
        <f t="shared" si="0"/>
        <v>3992.6055805979991</v>
      </c>
      <c r="G48" s="41">
        <f t="shared" si="0"/>
        <v>365.16888589800055</v>
      </c>
      <c r="H48" s="41">
        <f t="shared" si="0"/>
        <v>17941.859959169993</v>
      </c>
      <c r="I48" s="41">
        <f t="shared" si="0"/>
        <v>19749.292559151989</v>
      </c>
      <c r="J48" s="41">
        <f t="shared" si="0"/>
        <v>1807.4325999820012</v>
      </c>
      <c r="K48" s="41">
        <f t="shared" si="0"/>
        <v>2172.6014858800017</v>
      </c>
    </row>
  </sheetData>
  <mergeCells count="4">
    <mergeCell ref="A1:H1"/>
    <mergeCell ref="D5:H5"/>
    <mergeCell ref="A30:C30"/>
    <mergeCell ref="A32:K3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K48"/>
  <sheetViews>
    <sheetView workbookViewId="0"/>
  </sheetViews>
  <sheetFormatPr baseColWidth="10" defaultColWidth="9.140625" defaultRowHeight="15" x14ac:dyDescent="0.25"/>
  <cols>
    <col min="1" max="1" width="18" customWidth="1"/>
    <col min="2" max="11" width="16" customWidth="1"/>
  </cols>
  <sheetData>
    <row r="1" spans="1:8" ht="26.1" customHeight="1" x14ac:dyDescent="0.3">
      <c r="A1" s="46" t="s">
        <v>332</v>
      </c>
      <c r="B1" s="46"/>
      <c r="C1" s="46"/>
      <c r="D1" s="46"/>
      <c r="E1" s="46"/>
      <c r="F1" s="46"/>
      <c r="G1" s="46"/>
      <c r="H1" s="46"/>
    </row>
    <row r="3" spans="1:8" x14ac:dyDescent="0.25">
      <c r="A3" t="s">
        <v>149</v>
      </c>
      <c r="B3" s="13" t="s">
        <v>108</v>
      </c>
    </row>
    <row r="5" spans="1:8" x14ac:dyDescent="0.25">
      <c r="A5" t="s">
        <v>74</v>
      </c>
      <c r="B5" t="s">
        <v>109</v>
      </c>
      <c r="D5" s="54" t="s">
        <v>333</v>
      </c>
      <c r="E5" s="54"/>
      <c r="F5" s="54"/>
      <c r="G5" s="54"/>
      <c r="H5" s="54"/>
    </row>
    <row r="6" spans="1:8" x14ac:dyDescent="0.25">
      <c r="A6" t="s">
        <v>334</v>
      </c>
      <c r="B6">
        <v>1985</v>
      </c>
      <c r="D6" t="s">
        <v>335</v>
      </c>
      <c r="E6" s="9">
        <v>33598.167119999998</v>
      </c>
    </row>
    <row r="7" spans="1:8" x14ac:dyDescent="0.25">
      <c r="A7" t="s">
        <v>76</v>
      </c>
      <c r="B7" s="1">
        <v>44573</v>
      </c>
      <c r="D7" t="s">
        <v>336</v>
      </c>
      <c r="E7" s="9">
        <v>2177.8745897999997</v>
      </c>
    </row>
    <row r="8" spans="1:8" x14ac:dyDescent="0.25">
      <c r="A8" t="s">
        <v>77</v>
      </c>
      <c r="B8" s="4">
        <v>0.1522</v>
      </c>
      <c r="D8" t="s">
        <v>77</v>
      </c>
      <c r="E8" s="9">
        <v>5183.3415237239988</v>
      </c>
    </row>
    <row r="9" spans="1:8" x14ac:dyDescent="0.25">
      <c r="A9" t="s">
        <v>78</v>
      </c>
      <c r="B9" s="4">
        <v>1</v>
      </c>
      <c r="D9" t="s">
        <v>337</v>
      </c>
      <c r="E9" s="9">
        <v>26236.951006475989</v>
      </c>
    </row>
    <row r="10" spans="1:8" x14ac:dyDescent="0.25">
      <c r="A10" t="s">
        <v>79</v>
      </c>
      <c r="B10" t="s">
        <v>141</v>
      </c>
      <c r="D10" t="s">
        <v>338</v>
      </c>
      <c r="E10" s="9">
        <v>10772.102778779996</v>
      </c>
    </row>
    <row r="11" spans="1:8" x14ac:dyDescent="0.25">
      <c r="A11" t="s">
        <v>82</v>
      </c>
      <c r="B11" s="9">
        <v>2171.13</v>
      </c>
      <c r="D11" t="s">
        <v>267</v>
      </c>
      <c r="E11" s="9">
        <v>44370.269898779996</v>
      </c>
    </row>
    <row r="12" spans="1:8" x14ac:dyDescent="0.25">
      <c r="A12" t="s">
        <v>81</v>
      </c>
      <c r="B12" s="4">
        <v>1.4999999999999999E-2</v>
      </c>
    </row>
    <row r="13" spans="1:8" x14ac:dyDescent="0.25">
      <c r="A13" s="35" t="s">
        <v>90</v>
      </c>
      <c r="B13" s="34">
        <v>2388</v>
      </c>
    </row>
    <row r="15" spans="1:8" x14ac:dyDescent="0.25">
      <c r="A15" s="6" t="s">
        <v>150</v>
      </c>
      <c r="B15" s="6" t="s">
        <v>339</v>
      </c>
      <c r="C15" s="6" t="s">
        <v>165</v>
      </c>
      <c r="D15" s="6" t="s">
        <v>94</v>
      </c>
      <c r="E15" s="6" t="s">
        <v>336</v>
      </c>
      <c r="F15" s="6" t="s">
        <v>77</v>
      </c>
      <c r="G15" s="6" t="s">
        <v>95</v>
      </c>
      <c r="H15" s="6" t="s">
        <v>267</v>
      </c>
    </row>
    <row r="16" spans="1:8" x14ac:dyDescent="0.25">
      <c r="A16" t="s">
        <v>173</v>
      </c>
      <c r="B16" s="4">
        <v>1</v>
      </c>
      <c r="C16" t="s">
        <v>175</v>
      </c>
      <c r="D16" s="9">
        <v>2328.5858399999997</v>
      </c>
      <c r="E16" s="9">
        <v>176.58442619999997</v>
      </c>
      <c r="F16" s="9">
        <v>360.23222944799994</v>
      </c>
      <c r="G16" s="9">
        <v>1791.7691843519997</v>
      </c>
      <c r="H16" s="9">
        <v>3201.9995788199994</v>
      </c>
    </row>
    <row r="17" spans="1:11" x14ac:dyDescent="0.25">
      <c r="A17" t="s">
        <v>176</v>
      </c>
      <c r="B17" s="4">
        <v>1</v>
      </c>
      <c r="C17" t="s">
        <v>175</v>
      </c>
      <c r="D17" s="9">
        <v>2328.5858399999997</v>
      </c>
      <c r="E17" s="9">
        <v>176.58442619999997</v>
      </c>
      <c r="F17" s="9">
        <v>360.23222944799994</v>
      </c>
      <c r="G17" s="9">
        <v>1791.7691843519997</v>
      </c>
      <c r="H17" s="9">
        <v>3201.9995788199994</v>
      </c>
    </row>
    <row r="18" spans="1:11" x14ac:dyDescent="0.25">
      <c r="A18" t="s">
        <v>177</v>
      </c>
      <c r="B18" s="4">
        <v>1</v>
      </c>
      <c r="C18" t="s">
        <v>175</v>
      </c>
      <c r="D18" s="9">
        <v>2328.5858399999997</v>
      </c>
      <c r="E18" s="9">
        <v>176.58442619999997</v>
      </c>
      <c r="F18" s="9">
        <v>360.23222944799994</v>
      </c>
      <c r="G18" s="9">
        <v>1791.7691843519997</v>
      </c>
      <c r="H18" s="9">
        <v>3201.9995788199994</v>
      </c>
    </row>
    <row r="19" spans="1:11" x14ac:dyDescent="0.25">
      <c r="A19" t="s">
        <v>178</v>
      </c>
      <c r="B19" s="4">
        <v>1</v>
      </c>
      <c r="C19" t="s">
        <v>175</v>
      </c>
      <c r="D19" s="9">
        <v>2328.5858399999997</v>
      </c>
      <c r="E19" s="9">
        <v>176.58442619999997</v>
      </c>
      <c r="F19" s="9">
        <v>360.23222944799994</v>
      </c>
      <c r="G19" s="9">
        <v>1791.7691843519997</v>
      </c>
      <c r="H19" s="9">
        <v>3201.9995788199994</v>
      </c>
    </row>
    <row r="20" spans="1:11" x14ac:dyDescent="0.25">
      <c r="A20" t="s">
        <v>179</v>
      </c>
      <c r="B20" s="4">
        <v>1</v>
      </c>
      <c r="C20" t="s">
        <v>175</v>
      </c>
      <c r="D20" s="9">
        <v>2328.5858399999997</v>
      </c>
      <c r="E20" s="9">
        <v>176.58442619999997</v>
      </c>
      <c r="F20" s="9">
        <v>360.23222944799994</v>
      </c>
      <c r="G20" s="9">
        <v>1791.7691843519997</v>
      </c>
      <c r="H20" s="9">
        <v>3201.9995788199994</v>
      </c>
    </row>
    <row r="21" spans="1:11" x14ac:dyDescent="0.25">
      <c r="A21" t="s">
        <v>180</v>
      </c>
      <c r="B21" s="4">
        <v>1</v>
      </c>
      <c r="C21" t="s">
        <v>175</v>
      </c>
      <c r="D21" s="9">
        <v>2439.4708799999994</v>
      </c>
      <c r="E21" s="9">
        <v>184.99320839999999</v>
      </c>
      <c r="F21" s="9">
        <v>377.38614513599993</v>
      </c>
      <c r="G21" s="9">
        <v>1877.0915264639993</v>
      </c>
      <c r="H21" s="9">
        <v>3354.4757492399995</v>
      </c>
    </row>
    <row r="22" spans="1:11" x14ac:dyDescent="0.25">
      <c r="A22" t="s">
        <v>181</v>
      </c>
      <c r="B22" s="4">
        <v>1</v>
      </c>
      <c r="C22" t="s">
        <v>175</v>
      </c>
      <c r="D22" s="9">
        <v>2439.4708799999994</v>
      </c>
      <c r="E22" s="9">
        <v>0</v>
      </c>
      <c r="F22" s="9">
        <v>363.09121539599994</v>
      </c>
      <c r="G22" s="9">
        <v>2076.3796646039996</v>
      </c>
      <c r="H22" s="9">
        <v>2439.4708799999994</v>
      </c>
    </row>
    <row r="23" spans="1:11" x14ac:dyDescent="0.25">
      <c r="A23" t="s">
        <v>183</v>
      </c>
      <c r="B23" s="4">
        <v>1</v>
      </c>
      <c r="C23" t="s">
        <v>175</v>
      </c>
      <c r="D23" s="9">
        <v>2439.4708799999994</v>
      </c>
      <c r="E23" s="9">
        <v>184.99320839999999</v>
      </c>
      <c r="F23" s="9">
        <v>377.38614513599993</v>
      </c>
      <c r="G23" s="9">
        <v>1877.0915264639993</v>
      </c>
      <c r="H23" s="9">
        <v>3354.4757492399995</v>
      </c>
    </row>
    <row r="24" spans="1:11" x14ac:dyDescent="0.25">
      <c r="A24" t="s">
        <v>184</v>
      </c>
      <c r="B24" s="4">
        <v>1</v>
      </c>
      <c r="C24" t="s">
        <v>175</v>
      </c>
      <c r="D24" s="9">
        <v>2439.4708799999994</v>
      </c>
      <c r="E24" s="9">
        <v>184.99320839999999</v>
      </c>
      <c r="F24" s="9">
        <v>377.38614513599993</v>
      </c>
      <c r="G24" s="9">
        <v>1877.0915264639993</v>
      </c>
      <c r="H24" s="9">
        <v>3354.4757492399995</v>
      </c>
    </row>
    <row r="25" spans="1:11" x14ac:dyDescent="0.25">
      <c r="A25" t="s">
        <v>185</v>
      </c>
      <c r="B25" s="4">
        <v>1</v>
      </c>
      <c r="C25" t="s">
        <v>175</v>
      </c>
      <c r="D25" s="9">
        <v>2439.4708799999994</v>
      </c>
      <c r="E25" s="9">
        <v>184.99320839999999</v>
      </c>
      <c r="F25" s="9">
        <v>377.38614513599993</v>
      </c>
      <c r="G25" s="9">
        <v>1877.0915264639993</v>
      </c>
      <c r="H25" s="9">
        <v>3354.4757492399995</v>
      </c>
    </row>
    <row r="26" spans="1:11" x14ac:dyDescent="0.25">
      <c r="A26" t="s">
        <v>186</v>
      </c>
      <c r="B26" s="4">
        <v>1</v>
      </c>
      <c r="C26" t="s">
        <v>175</v>
      </c>
      <c r="D26" s="9">
        <v>2439.4708799999994</v>
      </c>
      <c r="E26" s="9">
        <v>184.99320839999999</v>
      </c>
      <c r="F26" s="9">
        <v>377.38614513599993</v>
      </c>
      <c r="G26" s="9">
        <v>1877.0915264639993</v>
      </c>
      <c r="H26" s="9">
        <v>3354.4757492399995</v>
      </c>
    </row>
    <row r="27" spans="1:11" x14ac:dyDescent="0.25">
      <c r="A27" t="s">
        <v>187</v>
      </c>
      <c r="B27" s="4">
        <v>1</v>
      </c>
      <c r="C27" t="s">
        <v>175</v>
      </c>
      <c r="D27" s="9">
        <v>2439.4708799999994</v>
      </c>
      <c r="E27" s="9">
        <v>184.99320839999999</v>
      </c>
      <c r="F27" s="9">
        <v>377.38614513599993</v>
      </c>
      <c r="G27" s="9">
        <v>1877.0915264639993</v>
      </c>
      <c r="H27" s="9">
        <v>3354.4757492399995</v>
      </c>
    </row>
    <row r="28" spans="1:11" x14ac:dyDescent="0.25">
      <c r="A28" t="s">
        <v>188</v>
      </c>
      <c r="B28" s="4">
        <v>1</v>
      </c>
      <c r="C28" t="s">
        <v>175</v>
      </c>
      <c r="D28" s="9">
        <v>2439.4708799999994</v>
      </c>
      <c r="E28" s="9">
        <v>0</v>
      </c>
      <c r="F28" s="9">
        <v>377.38614513599993</v>
      </c>
      <c r="G28" s="9">
        <v>2062.0847348639995</v>
      </c>
      <c r="H28" s="9">
        <v>2439.4708799999994</v>
      </c>
    </row>
    <row r="29" spans="1:11" x14ac:dyDescent="0.25">
      <c r="A29" t="s">
        <v>189</v>
      </c>
      <c r="B29" s="4">
        <v>1</v>
      </c>
      <c r="C29" t="s">
        <v>175</v>
      </c>
      <c r="D29" s="9">
        <v>2439.4708799999994</v>
      </c>
      <c r="E29" s="9">
        <v>184.99320839999999</v>
      </c>
      <c r="F29" s="9">
        <v>377.38614513599993</v>
      </c>
      <c r="G29" s="9">
        <v>1877.0915264639993</v>
      </c>
      <c r="H29" s="9">
        <v>3354.4757492399995</v>
      </c>
    </row>
    <row r="30" spans="1:11" x14ac:dyDescent="0.25">
      <c r="A30" s="45" t="s">
        <v>340</v>
      </c>
      <c r="B30" s="45"/>
      <c r="C30" s="45"/>
      <c r="D30" s="14">
        <v>33598.167119999998</v>
      </c>
      <c r="E30" s="14">
        <v>2177.8745897999997</v>
      </c>
      <c r="F30" s="14">
        <v>5183.3415237239988</v>
      </c>
      <c r="G30" s="14">
        <v>26236.951006475989</v>
      </c>
      <c r="H30" s="14">
        <v>44370.269898779996</v>
      </c>
    </row>
    <row r="32" spans="1:11" x14ac:dyDescent="0.25">
      <c r="A32" s="55" t="s">
        <v>279</v>
      </c>
      <c r="B32" s="55"/>
      <c r="C32" s="55"/>
      <c r="D32" s="55"/>
      <c r="E32" s="55"/>
      <c r="F32" s="55"/>
      <c r="G32" s="55"/>
      <c r="H32" s="55"/>
      <c r="I32" s="55"/>
      <c r="J32" s="55"/>
      <c r="K32" s="55"/>
    </row>
    <row r="33" spans="1:11" ht="30" x14ac:dyDescent="0.25">
      <c r="A33" s="36" t="s">
        <v>341</v>
      </c>
      <c r="B33" s="37">
        <v>2388</v>
      </c>
      <c r="C33" s="37"/>
      <c r="D33" s="38" t="s">
        <v>342</v>
      </c>
      <c r="E33" s="37">
        <v>199</v>
      </c>
      <c r="F33" s="37"/>
      <c r="G33" s="38" t="s">
        <v>343</v>
      </c>
      <c r="H33" s="37">
        <v>862.66800000000001</v>
      </c>
      <c r="I33" s="39"/>
      <c r="J33" s="39"/>
      <c r="K33" s="39"/>
    </row>
    <row r="34" spans="1:11" x14ac:dyDescent="0.25">
      <c r="A34" s="39"/>
      <c r="B34" s="39"/>
      <c r="C34" s="39"/>
      <c r="D34" s="39"/>
      <c r="E34" s="39"/>
      <c r="F34" s="39"/>
      <c r="G34" s="39"/>
      <c r="H34" s="39"/>
      <c r="I34" s="39"/>
      <c r="J34" s="39"/>
      <c r="K34" s="39"/>
    </row>
    <row r="35" spans="1:11" ht="33.950000000000003" customHeight="1" x14ac:dyDescent="0.25">
      <c r="A35" s="33" t="s">
        <v>150</v>
      </c>
      <c r="B35" s="33" t="s">
        <v>344</v>
      </c>
      <c r="C35" s="33" t="s">
        <v>345</v>
      </c>
      <c r="D35" s="33" t="s">
        <v>346</v>
      </c>
      <c r="E35" s="33" t="s">
        <v>347</v>
      </c>
      <c r="F35" s="33" t="s">
        <v>348</v>
      </c>
      <c r="G35" s="33" t="s">
        <v>349</v>
      </c>
      <c r="H35" s="33" t="s">
        <v>327</v>
      </c>
      <c r="I35" s="33" t="s">
        <v>328</v>
      </c>
      <c r="J35" s="33" t="s">
        <v>350</v>
      </c>
      <c r="K35" s="33" t="s">
        <v>351</v>
      </c>
    </row>
    <row r="36" spans="1:11" x14ac:dyDescent="0.25">
      <c r="A36" s="39" t="s">
        <v>173</v>
      </c>
      <c r="B36" s="37">
        <v>199</v>
      </c>
      <c r="C36" s="37">
        <v>2659.6342500000001</v>
      </c>
      <c r="D36" s="37">
        <v>2902.6834799999997</v>
      </c>
      <c r="E36" s="37">
        <v>176.58442619999997</v>
      </c>
      <c r="F36" s="37">
        <v>188.67442619999997</v>
      </c>
      <c r="G36" s="37">
        <v>12.090000000000003</v>
      </c>
      <c r="H36" s="37">
        <v>873.41373881999971</v>
      </c>
      <c r="I36" s="37">
        <v>933.21273881999969</v>
      </c>
      <c r="J36" s="37">
        <v>59.798999999999978</v>
      </c>
      <c r="K36" s="37">
        <v>71.888999999999982</v>
      </c>
    </row>
    <row r="37" spans="1:11" x14ac:dyDescent="0.25">
      <c r="A37" s="39" t="s">
        <v>176</v>
      </c>
      <c r="B37" s="37">
        <v>199</v>
      </c>
      <c r="C37" s="37">
        <v>2786.2835</v>
      </c>
      <c r="D37" s="37">
        <v>2902.6834799999997</v>
      </c>
      <c r="E37" s="37">
        <v>176.58442619999997</v>
      </c>
      <c r="F37" s="37">
        <v>188.67442619999997</v>
      </c>
      <c r="G37" s="37">
        <v>12.090000000000003</v>
      </c>
      <c r="H37" s="37">
        <v>873.41373881999971</v>
      </c>
      <c r="I37" s="37">
        <v>933.21273881999969</v>
      </c>
      <c r="J37" s="37">
        <v>59.798999999999978</v>
      </c>
      <c r="K37" s="37">
        <v>71.888999999999982</v>
      </c>
    </row>
    <row r="38" spans="1:11" x14ac:dyDescent="0.25">
      <c r="A38" s="39" t="s">
        <v>177</v>
      </c>
      <c r="B38" s="37">
        <v>199</v>
      </c>
      <c r="C38" s="37">
        <v>2786.2835</v>
      </c>
      <c r="D38" s="37">
        <v>2902.6834799999997</v>
      </c>
      <c r="E38" s="37">
        <v>176.58442619999997</v>
      </c>
      <c r="F38" s="37">
        <v>188.67442619999997</v>
      </c>
      <c r="G38" s="37">
        <v>12.090000000000003</v>
      </c>
      <c r="H38" s="37">
        <v>873.41373881999971</v>
      </c>
      <c r="I38" s="37">
        <v>933.21273881999969</v>
      </c>
      <c r="J38" s="37">
        <v>59.798999999999978</v>
      </c>
      <c r="K38" s="37">
        <v>71.888999999999982</v>
      </c>
    </row>
    <row r="39" spans="1:11" x14ac:dyDescent="0.25">
      <c r="A39" s="39" t="s">
        <v>178</v>
      </c>
      <c r="B39" s="37">
        <v>199</v>
      </c>
      <c r="C39" s="37">
        <v>2786.2835</v>
      </c>
      <c r="D39" s="37">
        <v>2902.6834799999997</v>
      </c>
      <c r="E39" s="37">
        <v>176.58442619999997</v>
      </c>
      <c r="F39" s="37">
        <v>188.67442619999997</v>
      </c>
      <c r="G39" s="37">
        <v>12.090000000000003</v>
      </c>
      <c r="H39" s="37">
        <v>873.41373881999971</v>
      </c>
      <c r="I39" s="37">
        <v>933.21273881999969</v>
      </c>
      <c r="J39" s="37">
        <v>59.798999999999978</v>
      </c>
      <c r="K39" s="37">
        <v>71.888999999999982</v>
      </c>
    </row>
    <row r="40" spans="1:11" x14ac:dyDescent="0.25">
      <c r="A40" s="39" t="s">
        <v>179</v>
      </c>
      <c r="B40" s="37">
        <v>199</v>
      </c>
      <c r="C40" s="37">
        <v>2786.2835</v>
      </c>
      <c r="D40" s="37">
        <v>2902.6834799999997</v>
      </c>
      <c r="E40" s="37">
        <v>176.58442619999997</v>
      </c>
      <c r="F40" s="37">
        <v>188.67442619999997</v>
      </c>
      <c r="G40" s="37">
        <v>12.090000000000003</v>
      </c>
      <c r="H40" s="37">
        <v>873.41373881999971</v>
      </c>
      <c r="I40" s="37">
        <v>933.21273881999969</v>
      </c>
      <c r="J40" s="37">
        <v>59.798999999999978</v>
      </c>
      <c r="K40" s="37">
        <v>71.888999999999982</v>
      </c>
    </row>
    <row r="41" spans="1:11" x14ac:dyDescent="0.25">
      <c r="A41" s="39" t="s">
        <v>180</v>
      </c>
      <c r="B41" s="37">
        <v>199</v>
      </c>
      <c r="C41" s="37">
        <v>2786.2835</v>
      </c>
      <c r="D41" s="37">
        <v>3032.0493599999995</v>
      </c>
      <c r="E41" s="37">
        <v>184.99320839999999</v>
      </c>
      <c r="F41" s="37">
        <v>197.08320839999999</v>
      </c>
      <c r="G41" s="37">
        <v>12.090000000000003</v>
      </c>
      <c r="H41" s="37">
        <v>915.00486923999983</v>
      </c>
      <c r="I41" s="37">
        <v>974.80386923999981</v>
      </c>
      <c r="J41" s="37">
        <v>59.798999999999978</v>
      </c>
      <c r="K41" s="37">
        <v>71.888999999999982</v>
      </c>
    </row>
    <row r="42" spans="1:11" x14ac:dyDescent="0.25">
      <c r="A42" s="39" t="s">
        <v>183</v>
      </c>
      <c r="B42" s="37">
        <v>199</v>
      </c>
      <c r="C42" s="37">
        <v>2786.2835</v>
      </c>
      <c r="D42" s="37">
        <v>3032.0493599999995</v>
      </c>
      <c r="E42" s="37">
        <v>184.99320839999999</v>
      </c>
      <c r="F42" s="37">
        <v>197.08320839999999</v>
      </c>
      <c r="G42" s="37">
        <v>12.090000000000003</v>
      </c>
      <c r="H42" s="37">
        <v>915.00486923999983</v>
      </c>
      <c r="I42" s="37">
        <v>974.80386923999981</v>
      </c>
      <c r="J42" s="37">
        <v>59.798999999999978</v>
      </c>
      <c r="K42" s="37">
        <v>71.888999999999982</v>
      </c>
    </row>
    <row r="43" spans="1:11" x14ac:dyDescent="0.25">
      <c r="A43" s="39" t="s">
        <v>184</v>
      </c>
      <c r="B43" s="37">
        <v>199</v>
      </c>
      <c r="C43" s="37">
        <v>2786.2835</v>
      </c>
      <c r="D43" s="37">
        <v>3032.0493599999995</v>
      </c>
      <c r="E43" s="37">
        <v>184.99320839999999</v>
      </c>
      <c r="F43" s="37">
        <v>197.08320839999999</v>
      </c>
      <c r="G43" s="37">
        <v>12.090000000000003</v>
      </c>
      <c r="H43" s="37">
        <v>915.00486923999983</v>
      </c>
      <c r="I43" s="37">
        <v>974.80386923999981</v>
      </c>
      <c r="J43" s="37">
        <v>59.798999999999978</v>
      </c>
      <c r="K43" s="37">
        <v>71.888999999999982</v>
      </c>
    </row>
    <row r="44" spans="1:11" x14ac:dyDescent="0.25">
      <c r="A44" s="39" t="s">
        <v>185</v>
      </c>
      <c r="B44" s="37">
        <v>199</v>
      </c>
      <c r="C44" s="37">
        <v>2786.2835</v>
      </c>
      <c r="D44" s="37">
        <v>3032.0493599999995</v>
      </c>
      <c r="E44" s="37">
        <v>184.99320839999999</v>
      </c>
      <c r="F44" s="37">
        <v>197.08320839999999</v>
      </c>
      <c r="G44" s="37">
        <v>12.090000000000003</v>
      </c>
      <c r="H44" s="37">
        <v>915.00486923999983</v>
      </c>
      <c r="I44" s="37">
        <v>974.80386923999981</v>
      </c>
      <c r="J44" s="37">
        <v>59.798999999999978</v>
      </c>
      <c r="K44" s="37">
        <v>71.888999999999982</v>
      </c>
    </row>
    <row r="45" spans="1:11" x14ac:dyDescent="0.25">
      <c r="A45" s="39" t="s">
        <v>186</v>
      </c>
      <c r="B45" s="37">
        <v>199</v>
      </c>
      <c r="C45" s="37">
        <v>2786.2835</v>
      </c>
      <c r="D45" s="37">
        <v>3032.0493599999995</v>
      </c>
      <c r="E45" s="37">
        <v>184.99320839999999</v>
      </c>
      <c r="F45" s="37">
        <v>197.08320839999999</v>
      </c>
      <c r="G45" s="37">
        <v>12.090000000000003</v>
      </c>
      <c r="H45" s="37">
        <v>915.00486923999983</v>
      </c>
      <c r="I45" s="37">
        <v>974.80386923999981</v>
      </c>
      <c r="J45" s="37">
        <v>59.798999999999978</v>
      </c>
      <c r="K45" s="37">
        <v>71.888999999999982</v>
      </c>
    </row>
    <row r="46" spans="1:11" x14ac:dyDescent="0.25">
      <c r="A46" s="39" t="s">
        <v>187</v>
      </c>
      <c r="B46" s="37">
        <v>199</v>
      </c>
      <c r="C46" s="37">
        <v>2786.2835</v>
      </c>
      <c r="D46" s="37">
        <v>3032.0493599999995</v>
      </c>
      <c r="E46" s="37">
        <v>184.99320839999999</v>
      </c>
      <c r="F46" s="37">
        <v>197.08320839999999</v>
      </c>
      <c r="G46" s="37">
        <v>12.090000000000003</v>
      </c>
      <c r="H46" s="37">
        <v>915.00486923999983</v>
      </c>
      <c r="I46" s="37">
        <v>974.80386923999981</v>
      </c>
      <c r="J46" s="37">
        <v>59.798999999999978</v>
      </c>
      <c r="K46" s="37">
        <v>71.888999999999982</v>
      </c>
    </row>
    <row r="47" spans="1:11" x14ac:dyDescent="0.25">
      <c r="A47" s="39" t="s">
        <v>189</v>
      </c>
      <c r="B47" s="37">
        <v>199</v>
      </c>
      <c r="C47" s="37">
        <v>2786.2835</v>
      </c>
      <c r="D47" s="37">
        <v>3032.0493599999995</v>
      </c>
      <c r="E47" s="37">
        <v>184.99320839999999</v>
      </c>
      <c r="F47" s="37">
        <v>197.08320839999999</v>
      </c>
      <c r="G47" s="37">
        <v>12.090000000000003</v>
      </c>
      <c r="H47" s="37">
        <v>915.00486923999983</v>
      </c>
      <c r="I47" s="37">
        <v>974.80386923999981</v>
      </c>
      <c r="J47" s="37">
        <v>59.798999999999978</v>
      </c>
      <c r="K47" s="37">
        <v>71.888999999999982</v>
      </c>
    </row>
    <row r="48" spans="1:11" x14ac:dyDescent="0.25">
      <c r="A48" s="40" t="s">
        <v>352</v>
      </c>
      <c r="B48" s="41">
        <f t="shared" ref="B48:K48" si="0">SUM(B36:B47)</f>
        <v>2388</v>
      </c>
      <c r="C48" s="41">
        <f t="shared" si="0"/>
        <v>33308.752750000007</v>
      </c>
      <c r="D48" s="41">
        <f t="shared" si="0"/>
        <v>35737.762920000001</v>
      </c>
      <c r="E48" s="41">
        <f t="shared" si="0"/>
        <v>2177.8745897999997</v>
      </c>
      <c r="F48" s="41">
        <f t="shared" si="0"/>
        <v>2322.9545897999992</v>
      </c>
      <c r="G48" s="41">
        <f t="shared" si="0"/>
        <v>145.08000000000004</v>
      </c>
      <c r="H48" s="41">
        <f t="shared" si="0"/>
        <v>10772.102778779996</v>
      </c>
      <c r="I48" s="41">
        <f t="shared" si="0"/>
        <v>11489.690778779999</v>
      </c>
      <c r="J48" s="41">
        <f t="shared" si="0"/>
        <v>717.58799999999974</v>
      </c>
      <c r="K48" s="41">
        <f t="shared" si="0"/>
        <v>862.66800000000001</v>
      </c>
    </row>
  </sheetData>
  <mergeCells count="4">
    <mergeCell ref="A1:H1"/>
    <mergeCell ref="D5:H5"/>
    <mergeCell ref="A30:C30"/>
    <mergeCell ref="A32:K3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K48"/>
  <sheetViews>
    <sheetView workbookViewId="0"/>
  </sheetViews>
  <sheetFormatPr baseColWidth="10" defaultColWidth="9.140625" defaultRowHeight="15" x14ac:dyDescent="0.25"/>
  <cols>
    <col min="1" max="1" width="18" customWidth="1"/>
    <col min="2" max="11" width="16" customWidth="1"/>
  </cols>
  <sheetData>
    <row r="1" spans="1:8" ht="26.1" customHeight="1" x14ac:dyDescent="0.3">
      <c r="A1" s="46" t="s">
        <v>332</v>
      </c>
      <c r="B1" s="46"/>
      <c r="C1" s="46"/>
      <c r="D1" s="46"/>
      <c r="E1" s="46"/>
      <c r="F1" s="46"/>
      <c r="G1" s="46"/>
      <c r="H1" s="46"/>
    </row>
    <row r="3" spans="1:8" x14ac:dyDescent="0.25">
      <c r="A3" t="s">
        <v>149</v>
      </c>
      <c r="B3" s="13" t="s">
        <v>110</v>
      </c>
    </row>
    <row r="5" spans="1:8" x14ac:dyDescent="0.25">
      <c r="A5" t="s">
        <v>74</v>
      </c>
      <c r="B5" t="s">
        <v>111</v>
      </c>
      <c r="D5" s="54" t="s">
        <v>333</v>
      </c>
      <c r="E5" s="54"/>
      <c r="F5" s="54"/>
      <c r="G5" s="54"/>
      <c r="H5" s="54"/>
    </row>
    <row r="6" spans="1:8" x14ac:dyDescent="0.25">
      <c r="A6" t="s">
        <v>334</v>
      </c>
      <c r="B6">
        <v>1955</v>
      </c>
      <c r="D6" t="s">
        <v>335</v>
      </c>
      <c r="E6" s="9">
        <v>185614.97499999995</v>
      </c>
    </row>
    <row r="7" spans="1:8" x14ac:dyDescent="0.25">
      <c r="A7" t="s">
        <v>76</v>
      </c>
      <c r="B7" s="1">
        <v>41455</v>
      </c>
      <c r="D7" t="s">
        <v>336</v>
      </c>
      <c r="E7" s="9">
        <v>4267.0909319999982</v>
      </c>
    </row>
    <row r="8" spans="1:8" x14ac:dyDescent="0.25">
      <c r="A8" t="s">
        <v>77</v>
      </c>
      <c r="B8" s="4">
        <v>0.38200000000000001</v>
      </c>
      <c r="D8" t="s">
        <v>77</v>
      </c>
      <c r="E8" s="9">
        <v>69647.165700000012</v>
      </c>
    </row>
    <row r="9" spans="1:8" x14ac:dyDescent="0.25">
      <c r="A9" t="s">
        <v>78</v>
      </c>
      <c r="B9" s="4">
        <v>1</v>
      </c>
      <c r="D9" t="s">
        <v>337</v>
      </c>
      <c r="E9" s="9">
        <v>111700.718368</v>
      </c>
    </row>
    <row r="10" spans="1:8" x14ac:dyDescent="0.25">
      <c r="A10" t="s">
        <v>79</v>
      </c>
      <c r="B10" t="s">
        <v>141</v>
      </c>
      <c r="D10" t="s">
        <v>338</v>
      </c>
      <c r="E10" s="9">
        <v>21138.126503</v>
      </c>
    </row>
    <row r="11" spans="1:8" x14ac:dyDescent="0.25">
      <c r="A11" t="s">
        <v>82</v>
      </c>
      <c r="B11" s="9">
        <v>10289.43</v>
      </c>
      <c r="D11" t="s">
        <v>267</v>
      </c>
      <c r="E11" s="9">
        <v>206753.10150300004</v>
      </c>
    </row>
    <row r="12" spans="1:8" x14ac:dyDescent="0.25">
      <c r="A12" t="s">
        <v>81</v>
      </c>
      <c r="B12" s="4">
        <v>1.4999999999999999E-2</v>
      </c>
    </row>
    <row r="13" spans="1:8" x14ac:dyDescent="0.25">
      <c r="A13" s="35" t="s">
        <v>90</v>
      </c>
      <c r="B13" s="34">
        <v>0</v>
      </c>
    </row>
    <row r="15" spans="1:8" x14ac:dyDescent="0.25">
      <c r="A15" s="6" t="s">
        <v>150</v>
      </c>
      <c r="B15" s="6" t="s">
        <v>339</v>
      </c>
      <c r="C15" s="6" t="s">
        <v>165</v>
      </c>
      <c r="D15" s="6" t="s">
        <v>94</v>
      </c>
      <c r="E15" s="6" t="s">
        <v>336</v>
      </c>
      <c r="F15" s="6" t="s">
        <v>77</v>
      </c>
      <c r="G15" s="6" t="s">
        <v>95</v>
      </c>
      <c r="H15" s="6" t="s">
        <v>267</v>
      </c>
    </row>
    <row r="16" spans="1:8" x14ac:dyDescent="0.25">
      <c r="A16" t="s">
        <v>173</v>
      </c>
      <c r="B16" s="4">
        <v>1</v>
      </c>
      <c r="C16" t="s">
        <v>175</v>
      </c>
      <c r="D16" s="9">
        <v>13258.2125</v>
      </c>
      <c r="E16" s="9">
        <v>355.59091099999995</v>
      </c>
      <c r="F16" s="9">
        <v>4974.7975500000002</v>
      </c>
      <c r="G16" s="9">
        <v>7927.8240390000001</v>
      </c>
      <c r="H16" s="9">
        <v>15019.723041916666</v>
      </c>
    </row>
    <row r="17" spans="1:11" x14ac:dyDescent="0.25">
      <c r="A17" t="s">
        <v>176</v>
      </c>
      <c r="B17" s="4">
        <v>1</v>
      </c>
      <c r="C17" t="s">
        <v>175</v>
      </c>
      <c r="D17" s="9">
        <v>13258.2125</v>
      </c>
      <c r="E17" s="9">
        <v>355.59091099999995</v>
      </c>
      <c r="F17" s="9">
        <v>4974.7975500000002</v>
      </c>
      <c r="G17" s="9">
        <v>7927.8240390000001</v>
      </c>
      <c r="H17" s="9">
        <v>15019.723041916666</v>
      </c>
    </row>
    <row r="18" spans="1:11" x14ac:dyDescent="0.25">
      <c r="A18" t="s">
        <v>177</v>
      </c>
      <c r="B18" s="4">
        <v>1</v>
      </c>
      <c r="C18" t="s">
        <v>175</v>
      </c>
      <c r="D18" s="9">
        <v>13258.2125</v>
      </c>
      <c r="E18" s="9">
        <v>355.59091099999995</v>
      </c>
      <c r="F18" s="9">
        <v>4974.7975500000002</v>
      </c>
      <c r="G18" s="9">
        <v>7927.8240390000001</v>
      </c>
      <c r="H18" s="9">
        <v>15019.723041916666</v>
      </c>
    </row>
    <row r="19" spans="1:11" x14ac:dyDescent="0.25">
      <c r="A19" t="s">
        <v>178</v>
      </c>
      <c r="B19" s="4">
        <v>1</v>
      </c>
      <c r="C19" t="s">
        <v>175</v>
      </c>
      <c r="D19" s="9">
        <v>13258.2125</v>
      </c>
      <c r="E19" s="9">
        <v>355.59091099999995</v>
      </c>
      <c r="F19" s="9">
        <v>4974.7975500000002</v>
      </c>
      <c r="G19" s="9">
        <v>7927.8240390000001</v>
      </c>
      <c r="H19" s="9">
        <v>15019.723041916666</v>
      </c>
    </row>
    <row r="20" spans="1:11" x14ac:dyDescent="0.25">
      <c r="A20" t="s">
        <v>179</v>
      </c>
      <c r="B20" s="4">
        <v>1</v>
      </c>
      <c r="C20" t="s">
        <v>175</v>
      </c>
      <c r="D20" s="9">
        <v>13258.2125</v>
      </c>
      <c r="E20" s="9">
        <v>355.59091099999995</v>
      </c>
      <c r="F20" s="9">
        <v>4974.7975500000002</v>
      </c>
      <c r="G20" s="9">
        <v>7927.8240390000001</v>
      </c>
      <c r="H20" s="9">
        <v>15019.723041916666</v>
      </c>
    </row>
    <row r="21" spans="1:11" x14ac:dyDescent="0.25">
      <c r="A21" t="s">
        <v>180</v>
      </c>
      <c r="B21" s="4">
        <v>1</v>
      </c>
      <c r="C21" t="s">
        <v>175</v>
      </c>
      <c r="D21" s="9">
        <v>13258.2125</v>
      </c>
      <c r="E21" s="9">
        <v>355.59091099999995</v>
      </c>
      <c r="F21" s="9">
        <v>4974.7975500000002</v>
      </c>
      <c r="G21" s="9">
        <v>7927.8240390000001</v>
      </c>
      <c r="H21" s="9">
        <v>15019.723041916666</v>
      </c>
    </row>
    <row r="22" spans="1:11" x14ac:dyDescent="0.25">
      <c r="A22" t="s">
        <v>181</v>
      </c>
      <c r="B22" s="4">
        <v>1</v>
      </c>
      <c r="C22" t="s">
        <v>175</v>
      </c>
      <c r="D22" s="9">
        <v>13258.2125</v>
      </c>
      <c r="E22" s="9">
        <v>0</v>
      </c>
      <c r="F22" s="9">
        <v>4974.7975500000002</v>
      </c>
      <c r="G22" s="9">
        <v>8283.4149499999985</v>
      </c>
      <c r="H22" s="9">
        <v>13258.2125</v>
      </c>
    </row>
    <row r="23" spans="1:11" x14ac:dyDescent="0.25">
      <c r="A23" t="s">
        <v>183</v>
      </c>
      <c r="B23" s="4">
        <v>1</v>
      </c>
      <c r="C23" t="s">
        <v>175</v>
      </c>
      <c r="D23" s="9">
        <v>13258.2125</v>
      </c>
      <c r="E23" s="9">
        <v>355.59091099999995</v>
      </c>
      <c r="F23" s="9">
        <v>4974.7975500000002</v>
      </c>
      <c r="G23" s="9">
        <v>7927.8240390000001</v>
      </c>
      <c r="H23" s="9">
        <v>15019.723041916666</v>
      </c>
    </row>
    <row r="24" spans="1:11" x14ac:dyDescent="0.25">
      <c r="A24" t="s">
        <v>184</v>
      </c>
      <c r="B24" s="4">
        <v>1</v>
      </c>
      <c r="C24" t="s">
        <v>175</v>
      </c>
      <c r="D24" s="9">
        <v>13258.2125</v>
      </c>
      <c r="E24" s="9">
        <v>355.59091099999995</v>
      </c>
      <c r="F24" s="9">
        <v>4974.7975500000002</v>
      </c>
      <c r="G24" s="9">
        <v>7927.8240390000001</v>
      </c>
      <c r="H24" s="9">
        <v>15019.723041916666</v>
      </c>
    </row>
    <row r="25" spans="1:11" x14ac:dyDescent="0.25">
      <c r="A25" t="s">
        <v>185</v>
      </c>
      <c r="B25" s="4">
        <v>1</v>
      </c>
      <c r="C25" t="s">
        <v>175</v>
      </c>
      <c r="D25" s="9">
        <v>13258.2125</v>
      </c>
      <c r="E25" s="9">
        <v>355.59091099999995</v>
      </c>
      <c r="F25" s="9">
        <v>4974.7975500000002</v>
      </c>
      <c r="G25" s="9">
        <v>7927.8240390000001</v>
      </c>
      <c r="H25" s="9">
        <v>15019.723041916666</v>
      </c>
    </row>
    <row r="26" spans="1:11" x14ac:dyDescent="0.25">
      <c r="A26" t="s">
        <v>186</v>
      </c>
      <c r="B26" s="4">
        <v>1</v>
      </c>
      <c r="C26" t="s">
        <v>175</v>
      </c>
      <c r="D26" s="9">
        <v>13258.2125</v>
      </c>
      <c r="E26" s="9">
        <v>355.59091099999995</v>
      </c>
      <c r="F26" s="9">
        <v>4974.7975500000002</v>
      </c>
      <c r="G26" s="9">
        <v>7927.8240390000001</v>
      </c>
      <c r="H26" s="9">
        <v>15019.723041916666</v>
      </c>
    </row>
    <row r="27" spans="1:11" x14ac:dyDescent="0.25">
      <c r="A27" t="s">
        <v>187</v>
      </c>
      <c r="B27" s="4">
        <v>1</v>
      </c>
      <c r="C27" t="s">
        <v>175</v>
      </c>
      <c r="D27" s="9">
        <v>13258.2125</v>
      </c>
      <c r="E27" s="9">
        <v>355.59091099999995</v>
      </c>
      <c r="F27" s="9">
        <v>4974.7975500000002</v>
      </c>
      <c r="G27" s="9">
        <v>7927.8240390000001</v>
      </c>
      <c r="H27" s="9">
        <v>15019.723041916666</v>
      </c>
    </row>
    <row r="28" spans="1:11" x14ac:dyDescent="0.25">
      <c r="A28" t="s">
        <v>188</v>
      </c>
      <c r="B28" s="4">
        <v>1</v>
      </c>
      <c r="C28" t="s">
        <v>175</v>
      </c>
      <c r="D28" s="9">
        <v>13258.2125</v>
      </c>
      <c r="E28" s="9">
        <v>0</v>
      </c>
      <c r="F28" s="9">
        <v>4974.7975500000002</v>
      </c>
      <c r="G28" s="9">
        <v>8283.4149499999985</v>
      </c>
      <c r="H28" s="9">
        <v>13258.2125</v>
      </c>
    </row>
    <row r="29" spans="1:11" x14ac:dyDescent="0.25">
      <c r="A29" t="s">
        <v>189</v>
      </c>
      <c r="B29" s="4">
        <v>1</v>
      </c>
      <c r="C29" t="s">
        <v>175</v>
      </c>
      <c r="D29" s="9">
        <v>13258.2125</v>
      </c>
      <c r="E29" s="9">
        <v>355.59091099999995</v>
      </c>
      <c r="F29" s="9">
        <v>4974.7975500000002</v>
      </c>
      <c r="G29" s="9">
        <v>7927.8240390000001</v>
      </c>
      <c r="H29" s="9">
        <v>15019.723041916666</v>
      </c>
    </row>
    <row r="30" spans="1:11" x14ac:dyDescent="0.25">
      <c r="A30" s="45" t="s">
        <v>340</v>
      </c>
      <c r="B30" s="45"/>
      <c r="C30" s="45"/>
      <c r="D30" s="14">
        <v>185614.97499999995</v>
      </c>
      <c r="E30" s="14">
        <v>4267.0909319999982</v>
      </c>
      <c r="F30" s="14">
        <v>69647.165700000012</v>
      </c>
      <c r="G30" s="14">
        <v>111700.718368</v>
      </c>
      <c r="H30" s="14">
        <v>206753.10150300004</v>
      </c>
    </row>
    <row r="32" spans="1:11" x14ac:dyDescent="0.25">
      <c r="A32" s="55" t="s">
        <v>279</v>
      </c>
      <c r="B32" s="55"/>
      <c r="C32" s="55"/>
      <c r="D32" s="55"/>
      <c r="E32" s="55"/>
      <c r="F32" s="55"/>
      <c r="G32" s="55"/>
      <c r="H32" s="55"/>
      <c r="I32" s="55"/>
      <c r="J32" s="55"/>
      <c r="K32" s="55"/>
    </row>
    <row r="33" spans="1:11" ht="30" x14ac:dyDescent="0.25">
      <c r="A33" s="36" t="s">
        <v>341</v>
      </c>
      <c r="B33" s="37">
        <v>0</v>
      </c>
      <c r="C33" s="37"/>
      <c r="D33" s="38" t="s">
        <v>342</v>
      </c>
      <c r="E33" s="37">
        <v>0</v>
      </c>
      <c r="F33" s="37"/>
      <c r="G33" s="38" t="s">
        <v>343</v>
      </c>
      <c r="H33" s="37">
        <v>0</v>
      </c>
      <c r="I33" s="39"/>
      <c r="J33" s="39"/>
      <c r="K33" s="39"/>
    </row>
    <row r="34" spans="1:11" x14ac:dyDescent="0.25">
      <c r="A34" s="39"/>
      <c r="B34" s="39"/>
      <c r="C34" s="39"/>
      <c r="D34" s="39"/>
      <c r="E34" s="39"/>
      <c r="F34" s="39"/>
      <c r="G34" s="39"/>
      <c r="H34" s="39"/>
      <c r="I34" s="39"/>
      <c r="J34" s="39"/>
      <c r="K34" s="39"/>
    </row>
    <row r="35" spans="1:11" ht="33.950000000000003" customHeight="1" x14ac:dyDescent="0.25">
      <c r="A35" s="33" t="s">
        <v>150</v>
      </c>
      <c r="B35" s="33" t="s">
        <v>344</v>
      </c>
      <c r="C35" s="33" t="s">
        <v>345</v>
      </c>
      <c r="D35" s="33" t="s">
        <v>346</v>
      </c>
      <c r="E35" s="33" t="s">
        <v>347</v>
      </c>
      <c r="F35" s="33" t="s">
        <v>348</v>
      </c>
      <c r="G35" s="33" t="s">
        <v>349</v>
      </c>
      <c r="H35" s="33" t="s">
        <v>327</v>
      </c>
      <c r="I35" s="33" t="s">
        <v>328</v>
      </c>
      <c r="J35" s="33" t="s">
        <v>350</v>
      </c>
      <c r="K35" s="33" t="s">
        <v>351</v>
      </c>
    </row>
    <row r="36" spans="1:11" x14ac:dyDescent="0.25">
      <c r="A36" s="39" t="s">
        <v>173</v>
      </c>
      <c r="B36" s="37">
        <v>0</v>
      </c>
      <c r="C36" s="37">
        <v>15740.433333333332</v>
      </c>
      <c r="D36" s="37">
        <v>15467.914583333333</v>
      </c>
      <c r="E36" s="37">
        <v>355.59091099999995</v>
      </c>
      <c r="F36" s="37">
        <v>355.59091099999995</v>
      </c>
      <c r="G36" s="37">
        <v>0</v>
      </c>
      <c r="H36" s="37">
        <v>1761.5105419166666</v>
      </c>
      <c r="I36" s="37">
        <v>1761.5105419166666</v>
      </c>
      <c r="J36" s="37">
        <v>0</v>
      </c>
      <c r="K36" s="37">
        <v>0</v>
      </c>
    </row>
    <row r="37" spans="1:11" x14ac:dyDescent="0.25">
      <c r="A37" s="39" t="s">
        <v>176</v>
      </c>
      <c r="B37" s="37">
        <v>0</v>
      </c>
      <c r="C37" s="37">
        <v>15740.433333333332</v>
      </c>
      <c r="D37" s="37">
        <v>15467.914583333333</v>
      </c>
      <c r="E37" s="37">
        <v>355.59091099999995</v>
      </c>
      <c r="F37" s="37">
        <v>355.59091099999995</v>
      </c>
      <c r="G37" s="37">
        <v>0</v>
      </c>
      <c r="H37" s="37">
        <v>1761.5105419166666</v>
      </c>
      <c r="I37" s="37">
        <v>1761.5105419166666</v>
      </c>
      <c r="J37" s="37">
        <v>0</v>
      </c>
      <c r="K37" s="37">
        <v>0</v>
      </c>
    </row>
    <row r="38" spans="1:11" x14ac:dyDescent="0.25">
      <c r="A38" s="39" t="s">
        <v>177</v>
      </c>
      <c r="B38" s="37">
        <v>0</v>
      </c>
      <c r="C38" s="37">
        <v>15740.433333333332</v>
      </c>
      <c r="D38" s="37">
        <v>15467.914583333333</v>
      </c>
      <c r="E38" s="37">
        <v>355.59091099999995</v>
      </c>
      <c r="F38" s="37">
        <v>355.59091099999995</v>
      </c>
      <c r="G38" s="37">
        <v>0</v>
      </c>
      <c r="H38" s="37">
        <v>1761.5105419166666</v>
      </c>
      <c r="I38" s="37">
        <v>1761.5105419166666</v>
      </c>
      <c r="J38" s="37">
        <v>0</v>
      </c>
      <c r="K38" s="37">
        <v>0</v>
      </c>
    </row>
    <row r="39" spans="1:11" x14ac:dyDescent="0.25">
      <c r="A39" s="39" t="s">
        <v>178</v>
      </c>
      <c r="B39" s="37">
        <v>0</v>
      </c>
      <c r="C39" s="37">
        <v>15740.433333333332</v>
      </c>
      <c r="D39" s="37">
        <v>15467.914583333333</v>
      </c>
      <c r="E39" s="37">
        <v>355.59091099999995</v>
      </c>
      <c r="F39" s="37">
        <v>355.59091099999995</v>
      </c>
      <c r="G39" s="37">
        <v>0</v>
      </c>
      <c r="H39" s="37">
        <v>1761.5105419166666</v>
      </c>
      <c r="I39" s="37">
        <v>1761.5105419166666</v>
      </c>
      <c r="J39" s="37">
        <v>0</v>
      </c>
      <c r="K39" s="37">
        <v>0</v>
      </c>
    </row>
    <row r="40" spans="1:11" x14ac:dyDescent="0.25">
      <c r="A40" s="39" t="s">
        <v>179</v>
      </c>
      <c r="B40" s="37">
        <v>0</v>
      </c>
      <c r="C40" s="37">
        <v>15740.433333333332</v>
      </c>
      <c r="D40" s="37">
        <v>15467.914583333333</v>
      </c>
      <c r="E40" s="37">
        <v>355.59091099999995</v>
      </c>
      <c r="F40" s="37">
        <v>355.59091099999995</v>
      </c>
      <c r="G40" s="37">
        <v>0</v>
      </c>
      <c r="H40" s="37">
        <v>1761.5105419166666</v>
      </c>
      <c r="I40" s="37">
        <v>1761.5105419166666</v>
      </c>
      <c r="J40" s="37">
        <v>0</v>
      </c>
      <c r="K40" s="37">
        <v>0</v>
      </c>
    </row>
    <row r="41" spans="1:11" x14ac:dyDescent="0.25">
      <c r="A41" s="39" t="s">
        <v>180</v>
      </c>
      <c r="B41" s="37">
        <v>0</v>
      </c>
      <c r="C41" s="37">
        <v>15740.433333333332</v>
      </c>
      <c r="D41" s="37">
        <v>15467.914583333333</v>
      </c>
      <c r="E41" s="37">
        <v>355.59091099999995</v>
      </c>
      <c r="F41" s="37">
        <v>355.59091099999995</v>
      </c>
      <c r="G41" s="37">
        <v>0</v>
      </c>
      <c r="H41" s="37">
        <v>1761.5105419166666</v>
      </c>
      <c r="I41" s="37">
        <v>1761.5105419166666</v>
      </c>
      <c r="J41" s="37">
        <v>0</v>
      </c>
      <c r="K41" s="37">
        <v>0</v>
      </c>
    </row>
    <row r="42" spans="1:11" x14ac:dyDescent="0.25">
      <c r="A42" s="39" t="s">
        <v>183</v>
      </c>
      <c r="B42" s="37">
        <v>0</v>
      </c>
      <c r="C42" s="37">
        <v>15740.433333333332</v>
      </c>
      <c r="D42" s="37">
        <v>15467.914583333333</v>
      </c>
      <c r="E42" s="37">
        <v>355.59091099999995</v>
      </c>
      <c r="F42" s="37">
        <v>355.59091099999995</v>
      </c>
      <c r="G42" s="37">
        <v>0</v>
      </c>
      <c r="H42" s="37">
        <v>1761.5105419166666</v>
      </c>
      <c r="I42" s="37">
        <v>1761.5105419166666</v>
      </c>
      <c r="J42" s="37">
        <v>0</v>
      </c>
      <c r="K42" s="37">
        <v>0</v>
      </c>
    </row>
    <row r="43" spans="1:11" x14ac:dyDescent="0.25">
      <c r="A43" s="39" t="s">
        <v>184</v>
      </c>
      <c r="B43" s="37">
        <v>0</v>
      </c>
      <c r="C43" s="37">
        <v>15740.433333333332</v>
      </c>
      <c r="D43" s="37">
        <v>15467.914583333333</v>
      </c>
      <c r="E43" s="37">
        <v>355.59091099999995</v>
      </c>
      <c r="F43" s="37">
        <v>355.59091099999995</v>
      </c>
      <c r="G43" s="37">
        <v>0</v>
      </c>
      <c r="H43" s="37">
        <v>1761.5105419166666</v>
      </c>
      <c r="I43" s="37">
        <v>1761.5105419166666</v>
      </c>
      <c r="J43" s="37">
        <v>0</v>
      </c>
      <c r="K43" s="37">
        <v>0</v>
      </c>
    </row>
    <row r="44" spans="1:11" x14ac:dyDescent="0.25">
      <c r="A44" s="39" t="s">
        <v>185</v>
      </c>
      <c r="B44" s="37">
        <v>0</v>
      </c>
      <c r="C44" s="37">
        <v>15740.433333333332</v>
      </c>
      <c r="D44" s="37">
        <v>15467.914583333333</v>
      </c>
      <c r="E44" s="37">
        <v>355.59091099999995</v>
      </c>
      <c r="F44" s="37">
        <v>355.59091099999995</v>
      </c>
      <c r="G44" s="37">
        <v>0</v>
      </c>
      <c r="H44" s="37">
        <v>1761.5105419166666</v>
      </c>
      <c r="I44" s="37">
        <v>1761.5105419166666</v>
      </c>
      <c r="J44" s="37">
        <v>0</v>
      </c>
      <c r="K44" s="37">
        <v>0</v>
      </c>
    </row>
    <row r="45" spans="1:11" x14ac:dyDescent="0.25">
      <c r="A45" s="39" t="s">
        <v>186</v>
      </c>
      <c r="B45" s="37">
        <v>0</v>
      </c>
      <c r="C45" s="37">
        <v>15740.433333333332</v>
      </c>
      <c r="D45" s="37">
        <v>15467.914583333333</v>
      </c>
      <c r="E45" s="37">
        <v>355.59091099999995</v>
      </c>
      <c r="F45" s="37">
        <v>355.59091099999995</v>
      </c>
      <c r="G45" s="37">
        <v>0</v>
      </c>
      <c r="H45" s="37">
        <v>1761.5105419166666</v>
      </c>
      <c r="I45" s="37">
        <v>1761.5105419166666</v>
      </c>
      <c r="J45" s="37">
        <v>0</v>
      </c>
      <c r="K45" s="37">
        <v>0</v>
      </c>
    </row>
    <row r="46" spans="1:11" x14ac:dyDescent="0.25">
      <c r="A46" s="39" t="s">
        <v>187</v>
      </c>
      <c r="B46" s="37">
        <v>0</v>
      </c>
      <c r="C46" s="37">
        <v>15740.433333333332</v>
      </c>
      <c r="D46" s="37">
        <v>15467.914583333333</v>
      </c>
      <c r="E46" s="37">
        <v>355.59091099999995</v>
      </c>
      <c r="F46" s="37">
        <v>355.59091099999995</v>
      </c>
      <c r="G46" s="37">
        <v>0</v>
      </c>
      <c r="H46" s="37">
        <v>1761.5105419166666</v>
      </c>
      <c r="I46" s="37">
        <v>1761.5105419166666</v>
      </c>
      <c r="J46" s="37">
        <v>0</v>
      </c>
      <c r="K46" s="37">
        <v>0</v>
      </c>
    </row>
    <row r="47" spans="1:11" x14ac:dyDescent="0.25">
      <c r="A47" s="39" t="s">
        <v>189</v>
      </c>
      <c r="B47" s="37">
        <v>0</v>
      </c>
      <c r="C47" s="37">
        <v>15740.433333333332</v>
      </c>
      <c r="D47" s="37">
        <v>15467.914583333333</v>
      </c>
      <c r="E47" s="37">
        <v>355.59091099999995</v>
      </c>
      <c r="F47" s="37">
        <v>355.59091099999995</v>
      </c>
      <c r="G47" s="37">
        <v>0</v>
      </c>
      <c r="H47" s="37">
        <v>1761.5105419166666</v>
      </c>
      <c r="I47" s="37">
        <v>1761.5105419166666</v>
      </c>
      <c r="J47" s="37">
        <v>0</v>
      </c>
      <c r="K47" s="37">
        <v>0</v>
      </c>
    </row>
    <row r="48" spans="1:11" x14ac:dyDescent="0.25">
      <c r="A48" s="40" t="s">
        <v>352</v>
      </c>
      <c r="B48" s="41">
        <f t="shared" ref="B48:K48" si="0">SUM(B36:B47)</f>
        <v>0</v>
      </c>
      <c r="C48" s="41">
        <f t="shared" si="0"/>
        <v>188885.19999999995</v>
      </c>
      <c r="D48" s="41">
        <f t="shared" si="0"/>
        <v>185614.97500000001</v>
      </c>
      <c r="E48" s="41">
        <f t="shared" si="0"/>
        <v>4267.0909319999982</v>
      </c>
      <c r="F48" s="41">
        <f t="shared" si="0"/>
        <v>4267.0909319999982</v>
      </c>
      <c r="G48" s="41">
        <f t="shared" si="0"/>
        <v>0</v>
      </c>
      <c r="H48" s="41">
        <f t="shared" si="0"/>
        <v>21138.126503</v>
      </c>
      <c r="I48" s="41">
        <f t="shared" si="0"/>
        <v>21138.126503</v>
      </c>
      <c r="J48" s="41">
        <f t="shared" si="0"/>
        <v>0</v>
      </c>
      <c r="K48" s="41">
        <f t="shared" si="0"/>
        <v>0</v>
      </c>
    </row>
  </sheetData>
  <mergeCells count="4">
    <mergeCell ref="A1:H1"/>
    <mergeCell ref="D5:H5"/>
    <mergeCell ref="A30:C30"/>
    <mergeCell ref="A32:K3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K48"/>
  <sheetViews>
    <sheetView workbookViewId="0"/>
  </sheetViews>
  <sheetFormatPr baseColWidth="10" defaultColWidth="9.140625" defaultRowHeight="15" x14ac:dyDescent="0.25"/>
  <cols>
    <col min="1" max="1" width="18" customWidth="1"/>
    <col min="2" max="11" width="16" customWidth="1"/>
  </cols>
  <sheetData>
    <row r="1" spans="1:8" ht="26.1" customHeight="1" x14ac:dyDescent="0.3">
      <c r="A1" s="46" t="s">
        <v>332</v>
      </c>
      <c r="B1" s="46"/>
      <c r="C1" s="46"/>
      <c r="D1" s="46"/>
      <c r="E1" s="46"/>
      <c r="F1" s="46"/>
      <c r="G1" s="46"/>
      <c r="H1" s="46"/>
    </row>
    <row r="3" spans="1:8" x14ac:dyDescent="0.25">
      <c r="A3" t="s">
        <v>149</v>
      </c>
      <c r="B3" s="13" t="s">
        <v>112</v>
      </c>
    </row>
    <row r="5" spans="1:8" x14ac:dyDescent="0.25">
      <c r="A5" t="s">
        <v>74</v>
      </c>
      <c r="B5" t="s">
        <v>113</v>
      </c>
      <c r="D5" s="54" t="s">
        <v>333</v>
      </c>
      <c r="E5" s="54"/>
      <c r="F5" s="54"/>
      <c r="G5" s="54"/>
      <c r="H5" s="54"/>
    </row>
    <row r="6" spans="1:8" x14ac:dyDescent="0.25">
      <c r="A6" t="s">
        <v>334</v>
      </c>
      <c r="B6">
        <v>1987</v>
      </c>
      <c r="D6" t="s">
        <v>335</v>
      </c>
      <c r="E6" s="9">
        <v>26871.542129999998</v>
      </c>
    </row>
    <row r="7" spans="1:8" x14ac:dyDescent="0.25">
      <c r="A7" t="s">
        <v>76</v>
      </c>
      <c r="B7" s="1">
        <v>44760</v>
      </c>
      <c r="D7" t="s">
        <v>336</v>
      </c>
      <c r="E7" s="9">
        <v>1745.1013966749999</v>
      </c>
    </row>
    <row r="8" spans="1:8" x14ac:dyDescent="0.25">
      <c r="A8" t="s">
        <v>77</v>
      </c>
      <c r="B8" s="4">
        <v>0.14779999999999999</v>
      </c>
      <c r="D8" t="s">
        <v>77</v>
      </c>
      <c r="E8" s="9">
        <v>4087.2956867820008</v>
      </c>
    </row>
    <row r="9" spans="1:8" x14ac:dyDescent="0.25">
      <c r="A9" t="s">
        <v>78</v>
      </c>
      <c r="B9" s="4">
        <v>1</v>
      </c>
      <c r="D9" t="s">
        <v>337</v>
      </c>
      <c r="E9" s="9">
        <v>21039.145046543003</v>
      </c>
    </row>
    <row r="10" spans="1:8" x14ac:dyDescent="0.25">
      <c r="A10" t="s">
        <v>79</v>
      </c>
      <c r="B10" t="s">
        <v>141</v>
      </c>
      <c r="D10" t="s">
        <v>338</v>
      </c>
      <c r="E10" s="9">
        <v>8631.5399850925005</v>
      </c>
    </row>
    <row r="11" spans="1:8" x14ac:dyDescent="0.25">
      <c r="A11" t="s">
        <v>82</v>
      </c>
      <c r="B11" s="9">
        <v>1701.56</v>
      </c>
      <c r="D11" t="s">
        <v>267</v>
      </c>
      <c r="E11" s="9">
        <v>35503.082115092497</v>
      </c>
    </row>
    <row r="12" spans="1:8" x14ac:dyDescent="0.25">
      <c r="A12" t="s">
        <v>81</v>
      </c>
      <c r="B12" s="4">
        <v>1.4999999999999999E-2</v>
      </c>
    </row>
    <row r="13" spans="1:8" x14ac:dyDescent="0.25">
      <c r="A13" s="35" t="s">
        <v>90</v>
      </c>
      <c r="B13" s="34">
        <v>3158</v>
      </c>
    </row>
    <row r="15" spans="1:8" x14ac:dyDescent="0.25">
      <c r="A15" s="6" t="s">
        <v>150</v>
      </c>
      <c r="B15" s="6" t="s">
        <v>339</v>
      </c>
      <c r="C15" s="6" t="s">
        <v>165</v>
      </c>
      <c r="D15" s="6" t="s">
        <v>94</v>
      </c>
      <c r="E15" s="6" t="s">
        <v>336</v>
      </c>
      <c r="F15" s="6" t="s">
        <v>77</v>
      </c>
      <c r="G15" s="6" t="s">
        <v>95</v>
      </c>
      <c r="H15" s="6" t="s">
        <v>267</v>
      </c>
    </row>
    <row r="16" spans="1:8" x14ac:dyDescent="0.25">
      <c r="A16" t="s">
        <v>173</v>
      </c>
      <c r="B16" s="4">
        <v>1</v>
      </c>
      <c r="C16" t="s">
        <v>175</v>
      </c>
      <c r="D16" s="9">
        <v>1929.6080099999999</v>
      </c>
      <c r="E16" s="9">
        <v>146.328607425</v>
      </c>
      <c r="F16" s="9">
        <v>291.94969191299998</v>
      </c>
      <c r="G16" s="9">
        <v>1491.329710662</v>
      </c>
      <c r="H16" s="9">
        <v>2653.3718144175</v>
      </c>
    </row>
    <row r="17" spans="1:11" x14ac:dyDescent="0.25">
      <c r="A17" t="s">
        <v>176</v>
      </c>
      <c r="B17" s="4">
        <v>1</v>
      </c>
      <c r="C17" t="s">
        <v>175</v>
      </c>
      <c r="D17" s="9">
        <v>1929.6080099999999</v>
      </c>
      <c r="E17" s="9">
        <v>146.328607425</v>
      </c>
      <c r="F17" s="9">
        <v>291.94969191299998</v>
      </c>
      <c r="G17" s="9">
        <v>1491.329710662</v>
      </c>
      <c r="H17" s="9">
        <v>2653.3718144175</v>
      </c>
    </row>
    <row r="18" spans="1:11" x14ac:dyDescent="0.25">
      <c r="A18" t="s">
        <v>177</v>
      </c>
      <c r="B18" s="4">
        <v>1</v>
      </c>
      <c r="C18" t="s">
        <v>175</v>
      </c>
      <c r="D18" s="9">
        <v>1786.6379999999999</v>
      </c>
      <c r="E18" s="9">
        <v>135.486715</v>
      </c>
      <c r="F18" s="9">
        <v>291.94969191299998</v>
      </c>
      <c r="G18" s="9">
        <v>1359.201593087</v>
      </c>
      <c r="H18" s="9">
        <v>2456.7761365000001</v>
      </c>
    </row>
    <row r="19" spans="1:11" x14ac:dyDescent="0.25">
      <c r="A19" t="s">
        <v>178</v>
      </c>
      <c r="B19" s="4">
        <v>1</v>
      </c>
      <c r="C19" t="s">
        <v>175</v>
      </c>
      <c r="D19" s="9">
        <v>1929.6080099999999</v>
      </c>
      <c r="E19" s="9">
        <v>146.328607425</v>
      </c>
      <c r="F19" s="9">
        <v>291.94969191299998</v>
      </c>
      <c r="G19" s="9">
        <v>1491.329710662</v>
      </c>
      <c r="H19" s="9">
        <v>2653.3718144175</v>
      </c>
    </row>
    <row r="20" spans="1:11" x14ac:dyDescent="0.25">
      <c r="A20" t="s">
        <v>179</v>
      </c>
      <c r="B20" s="4">
        <v>1</v>
      </c>
      <c r="C20" t="s">
        <v>175</v>
      </c>
      <c r="D20" s="9">
        <v>1929.6080099999999</v>
      </c>
      <c r="E20" s="9">
        <v>146.328607425</v>
      </c>
      <c r="F20" s="9">
        <v>291.94969191299998</v>
      </c>
      <c r="G20" s="9">
        <v>1491.329710662</v>
      </c>
      <c r="H20" s="9">
        <v>2653.3718144175</v>
      </c>
    </row>
    <row r="21" spans="1:11" x14ac:dyDescent="0.25">
      <c r="A21" t="s">
        <v>180</v>
      </c>
      <c r="B21" s="4">
        <v>1</v>
      </c>
      <c r="C21" t="s">
        <v>175</v>
      </c>
      <c r="D21" s="9">
        <v>1929.6080099999999</v>
      </c>
      <c r="E21" s="9">
        <v>146.328607425</v>
      </c>
      <c r="F21" s="9">
        <v>291.94969191299998</v>
      </c>
      <c r="G21" s="9">
        <v>1491.329710662</v>
      </c>
      <c r="H21" s="9">
        <v>2653.3718144175</v>
      </c>
    </row>
    <row r="22" spans="1:11" x14ac:dyDescent="0.25">
      <c r="A22" t="s">
        <v>181</v>
      </c>
      <c r="B22" s="4">
        <v>1</v>
      </c>
      <c r="C22" t="s">
        <v>175</v>
      </c>
      <c r="D22" s="9">
        <v>1929.6080099999999</v>
      </c>
      <c r="E22" s="9">
        <v>0</v>
      </c>
      <c r="F22" s="9">
        <v>291.94969191299998</v>
      </c>
      <c r="G22" s="9">
        <v>1637.658318087</v>
      </c>
      <c r="H22" s="9">
        <v>1929.6080099999999</v>
      </c>
    </row>
    <row r="23" spans="1:11" x14ac:dyDescent="0.25">
      <c r="A23" t="s">
        <v>183</v>
      </c>
      <c r="B23" s="4">
        <v>1</v>
      </c>
      <c r="C23" t="s">
        <v>175</v>
      </c>
      <c r="D23" s="9">
        <v>1929.6080099999999</v>
      </c>
      <c r="E23" s="9">
        <v>146.328607425</v>
      </c>
      <c r="F23" s="9">
        <v>291.94969191299998</v>
      </c>
      <c r="G23" s="9">
        <v>1491.329710662</v>
      </c>
      <c r="H23" s="9">
        <v>2653.3718144175</v>
      </c>
    </row>
    <row r="24" spans="1:11" x14ac:dyDescent="0.25">
      <c r="A24" t="s">
        <v>184</v>
      </c>
      <c r="B24" s="4">
        <v>1</v>
      </c>
      <c r="C24" t="s">
        <v>175</v>
      </c>
      <c r="D24" s="9">
        <v>1929.6080099999999</v>
      </c>
      <c r="E24" s="9">
        <v>146.328607425</v>
      </c>
      <c r="F24" s="9">
        <v>291.94969191299998</v>
      </c>
      <c r="G24" s="9">
        <v>1491.329710662</v>
      </c>
      <c r="H24" s="9">
        <v>2653.3718144175</v>
      </c>
    </row>
    <row r="25" spans="1:11" x14ac:dyDescent="0.25">
      <c r="A25" t="s">
        <v>185</v>
      </c>
      <c r="B25" s="4">
        <v>1</v>
      </c>
      <c r="C25" t="s">
        <v>175</v>
      </c>
      <c r="D25" s="9">
        <v>1929.6080099999999</v>
      </c>
      <c r="E25" s="9">
        <v>146.328607425</v>
      </c>
      <c r="F25" s="9">
        <v>291.94969191299998</v>
      </c>
      <c r="G25" s="9">
        <v>1491.329710662</v>
      </c>
      <c r="H25" s="9">
        <v>2653.3718144175</v>
      </c>
    </row>
    <row r="26" spans="1:11" x14ac:dyDescent="0.25">
      <c r="A26" t="s">
        <v>186</v>
      </c>
      <c r="B26" s="4">
        <v>1</v>
      </c>
      <c r="C26" t="s">
        <v>175</v>
      </c>
      <c r="D26" s="9">
        <v>1929.6080099999999</v>
      </c>
      <c r="E26" s="9">
        <v>146.328607425</v>
      </c>
      <c r="F26" s="9">
        <v>291.94969191299998</v>
      </c>
      <c r="G26" s="9">
        <v>1491.329710662</v>
      </c>
      <c r="H26" s="9">
        <v>2653.3718144175</v>
      </c>
    </row>
    <row r="27" spans="1:11" x14ac:dyDescent="0.25">
      <c r="A27" t="s">
        <v>187</v>
      </c>
      <c r="B27" s="4">
        <v>1</v>
      </c>
      <c r="C27" t="s">
        <v>175</v>
      </c>
      <c r="D27" s="9">
        <v>1929.6080099999999</v>
      </c>
      <c r="E27" s="9">
        <v>146.328607425</v>
      </c>
      <c r="F27" s="9">
        <v>291.94969191299998</v>
      </c>
      <c r="G27" s="9">
        <v>1491.329710662</v>
      </c>
      <c r="H27" s="9">
        <v>2653.3718144175</v>
      </c>
    </row>
    <row r="28" spans="1:11" x14ac:dyDescent="0.25">
      <c r="A28" t="s">
        <v>188</v>
      </c>
      <c r="B28" s="4">
        <v>1</v>
      </c>
      <c r="C28" t="s">
        <v>175</v>
      </c>
      <c r="D28" s="9">
        <v>1929.6080099999999</v>
      </c>
      <c r="E28" s="9">
        <v>0</v>
      </c>
      <c r="F28" s="9">
        <v>291.94969191299998</v>
      </c>
      <c r="G28" s="9">
        <v>1637.658318087</v>
      </c>
      <c r="H28" s="9">
        <v>1929.6080099999999</v>
      </c>
    </row>
    <row r="29" spans="1:11" x14ac:dyDescent="0.25">
      <c r="A29" t="s">
        <v>189</v>
      </c>
      <c r="B29" s="4">
        <v>1</v>
      </c>
      <c r="C29" t="s">
        <v>175</v>
      </c>
      <c r="D29" s="9">
        <v>1929.6080099999999</v>
      </c>
      <c r="E29" s="9">
        <v>146.328607425</v>
      </c>
      <c r="F29" s="9">
        <v>291.94969191299998</v>
      </c>
      <c r="G29" s="9">
        <v>1491.329710662</v>
      </c>
      <c r="H29" s="9">
        <v>2653.3718144175</v>
      </c>
    </row>
    <row r="30" spans="1:11" x14ac:dyDescent="0.25">
      <c r="A30" s="45" t="s">
        <v>340</v>
      </c>
      <c r="B30" s="45"/>
      <c r="C30" s="45"/>
      <c r="D30" s="14">
        <v>26871.542129999998</v>
      </c>
      <c r="E30" s="14">
        <v>1745.1013966749999</v>
      </c>
      <c r="F30" s="14">
        <v>4087.2956867820008</v>
      </c>
      <c r="G30" s="14">
        <v>21039.145046543003</v>
      </c>
      <c r="H30" s="14">
        <v>35503.082115092497</v>
      </c>
    </row>
    <row r="32" spans="1:11" x14ac:dyDescent="0.25">
      <c r="A32" s="55" t="s">
        <v>279</v>
      </c>
      <c r="B32" s="55"/>
      <c r="C32" s="55"/>
      <c r="D32" s="55"/>
      <c r="E32" s="55"/>
      <c r="F32" s="55"/>
      <c r="G32" s="55"/>
      <c r="H32" s="55"/>
      <c r="I32" s="55"/>
      <c r="J32" s="55"/>
      <c r="K32" s="55"/>
    </row>
    <row r="33" spans="1:11" ht="30" x14ac:dyDescent="0.25">
      <c r="A33" s="36" t="s">
        <v>341</v>
      </c>
      <c r="B33" s="37">
        <v>3158</v>
      </c>
      <c r="C33" s="37"/>
      <c r="D33" s="38" t="s">
        <v>342</v>
      </c>
      <c r="E33" s="37">
        <v>263.16666666666669</v>
      </c>
      <c r="F33" s="37"/>
      <c r="G33" s="38" t="s">
        <v>343</v>
      </c>
      <c r="H33" s="37">
        <v>1298.6400000000001</v>
      </c>
      <c r="I33" s="39"/>
      <c r="J33" s="39"/>
      <c r="K33" s="39"/>
    </row>
    <row r="34" spans="1:11" x14ac:dyDescent="0.25">
      <c r="A34" s="39"/>
      <c r="B34" s="39"/>
      <c r="C34" s="39"/>
      <c r="D34" s="39"/>
      <c r="E34" s="39"/>
      <c r="F34" s="39"/>
      <c r="G34" s="39"/>
      <c r="H34" s="39"/>
      <c r="I34" s="39"/>
      <c r="J34" s="39"/>
      <c r="K34" s="39"/>
    </row>
    <row r="35" spans="1:11" ht="33.950000000000003" customHeight="1" x14ac:dyDescent="0.25">
      <c r="A35" s="33" t="s">
        <v>150</v>
      </c>
      <c r="B35" s="33" t="s">
        <v>344</v>
      </c>
      <c r="C35" s="33" t="s">
        <v>345</v>
      </c>
      <c r="D35" s="33" t="s">
        <v>346</v>
      </c>
      <c r="E35" s="33" t="s">
        <v>347</v>
      </c>
      <c r="F35" s="33" t="s">
        <v>348</v>
      </c>
      <c r="G35" s="33" t="s">
        <v>349</v>
      </c>
      <c r="H35" s="33" t="s">
        <v>327</v>
      </c>
      <c r="I35" s="33" t="s">
        <v>328</v>
      </c>
      <c r="J35" s="33" t="s">
        <v>350</v>
      </c>
      <c r="K35" s="33" t="s">
        <v>351</v>
      </c>
    </row>
    <row r="36" spans="1:11" x14ac:dyDescent="0.25">
      <c r="A36" s="39" t="s">
        <v>173</v>
      </c>
      <c r="B36" s="37">
        <v>263.16666666666669</v>
      </c>
      <c r="C36" s="37">
        <v>2084.4110000000001</v>
      </c>
      <c r="D36" s="37">
        <v>2531.2093449999998</v>
      </c>
      <c r="E36" s="37">
        <v>146.328607425</v>
      </c>
      <c r="F36" s="37">
        <v>164.52860742500002</v>
      </c>
      <c r="G36" s="37">
        <v>18.200000000000017</v>
      </c>
      <c r="H36" s="37">
        <v>723.76380441750007</v>
      </c>
      <c r="I36" s="37">
        <v>813.78380441750005</v>
      </c>
      <c r="J36" s="37">
        <v>90.019999999999982</v>
      </c>
      <c r="K36" s="37">
        <v>108.22</v>
      </c>
    </row>
    <row r="37" spans="1:11" x14ac:dyDescent="0.25">
      <c r="A37" s="39" t="s">
        <v>176</v>
      </c>
      <c r="B37" s="37">
        <v>263.16666666666669</v>
      </c>
      <c r="C37" s="37">
        <v>2084.4110000000001</v>
      </c>
      <c r="D37" s="37">
        <v>2531.2093449999998</v>
      </c>
      <c r="E37" s="37">
        <v>146.328607425</v>
      </c>
      <c r="F37" s="37">
        <v>164.52860742500002</v>
      </c>
      <c r="G37" s="37">
        <v>18.200000000000017</v>
      </c>
      <c r="H37" s="37">
        <v>723.76380441750007</v>
      </c>
      <c r="I37" s="37">
        <v>813.78380441750005</v>
      </c>
      <c r="J37" s="37">
        <v>90.019999999999982</v>
      </c>
      <c r="K37" s="37">
        <v>108.22</v>
      </c>
    </row>
    <row r="38" spans="1:11" x14ac:dyDescent="0.25">
      <c r="A38" s="39" t="s">
        <v>177</v>
      </c>
      <c r="B38" s="37">
        <v>263.16666666666669</v>
      </c>
      <c r="C38" s="37">
        <v>2084.4110000000001</v>
      </c>
      <c r="D38" s="37">
        <v>2531.2093449999998</v>
      </c>
      <c r="E38" s="37">
        <v>135.486715</v>
      </c>
      <c r="F38" s="37">
        <v>164.52860742500002</v>
      </c>
      <c r="G38" s="37">
        <v>18.200000000000017</v>
      </c>
      <c r="H38" s="37">
        <v>670.13813650000009</v>
      </c>
      <c r="I38" s="37">
        <v>813.78380441750005</v>
      </c>
      <c r="J38" s="37">
        <v>90.019999999999982</v>
      </c>
      <c r="K38" s="37">
        <v>108.22</v>
      </c>
    </row>
    <row r="39" spans="1:11" x14ac:dyDescent="0.25">
      <c r="A39" s="39" t="s">
        <v>178</v>
      </c>
      <c r="B39" s="37">
        <v>263.16666666666669</v>
      </c>
      <c r="C39" s="37">
        <v>2084.4110000000001</v>
      </c>
      <c r="D39" s="37">
        <v>2531.2093449999998</v>
      </c>
      <c r="E39" s="37">
        <v>146.328607425</v>
      </c>
      <c r="F39" s="37">
        <v>164.52860742500002</v>
      </c>
      <c r="G39" s="37">
        <v>18.200000000000017</v>
      </c>
      <c r="H39" s="37">
        <v>723.76380441750007</v>
      </c>
      <c r="I39" s="37">
        <v>813.78380441750005</v>
      </c>
      <c r="J39" s="37">
        <v>90.019999999999982</v>
      </c>
      <c r="K39" s="37">
        <v>108.22</v>
      </c>
    </row>
    <row r="40" spans="1:11" x14ac:dyDescent="0.25">
      <c r="A40" s="39" t="s">
        <v>179</v>
      </c>
      <c r="B40" s="37">
        <v>263.16666666666669</v>
      </c>
      <c r="C40" s="37">
        <v>2084.4110000000001</v>
      </c>
      <c r="D40" s="37">
        <v>2531.2093449999998</v>
      </c>
      <c r="E40" s="37">
        <v>146.328607425</v>
      </c>
      <c r="F40" s="37">
        <v>164.52860742500002</v>
      </c>
      <c r="G40" s="37">
        <v>18.200000000000017</v>
      </c>
      <c r="H40" s="37">
        <v>723.76380441750007</v>
      </c>
      <c r="I40" s="37">
        <v>813.78380441750005</v>
      </c>
      <c r="J40" s="37">
        <v>90.019999999999982</v>
      </c>
      <c r="K40" s="37">
        <v>108.22</v>
      </c>
    </row>
    <row r="41" spans="1:11" x14ac:dyDescent="0.25">
      <c r="A41" s="39" t="s">
        <v>180</v>
      </c>
      <c r="B41" s="37">
        <v>263.16666666666669</v>
      </c>
      <c r="C41" s="37">
        <v>2084.4110000000001</v>
      </c>
      <c r="D41" s="37">
        <v>2531.2093449999998</v>
      </c>
      <c r="E41" s="37">
        <v>146.328607425</v>
      </c>
      <c r="F41" s="37">
        <v>164.52860742500002</v>
      </c>
      <c r="G41" s="37">
        <v>18.200000000000017</v>
      </c>
      <c r="H41" s="37">
        <v>723.76380441750007</v>
      </c>
      <c r="I41" s="37">
        <v>813.78380441750005</v>
      </c>
      <c r="J41" s="37">
        <v>90.019999999999982</v>
      </c>
      <c r="K41" s="37">
        <v>108.22</v>
      </c>
    </row>
    <row r="42" spans="1:11" x14ac:dyDescent="0.25">
      <c r="A42" s="39" t="s">
        <v>183</v>
      </c>
      <c r="B42" s="37">
        <v>263.16666666666669</v>
      </c>
      <c r="C42" s="37">
        <v>2084.4110000000001</v>
      </c>
      <c r="D42" s="37">
        <v>2531.2093449999998</v>
      </c>
      <c r="E42" s="37">
        <v>146.328607425</v>
      </c>
      <c r="F42" s="37">
        <v>164.52860742500002</v>
      </c>
      <c r="G42" s="37">
        <v>18.200000000000017</v>
      </c>
      <c r="H42" s="37">
        <v>723.76380441750007</v>
      </c>
      <c r="I42" s="37">
        <v>813.78380441750005</v>
      </c>
      <c r="J42" s="37">
        <v>90.019999999999982</v>
      </c>
      <c r="K42" s="37">
        <v>108.22</v>
      </c>
    </row>
    <row r="43" spans="1:11" x14ac:dyDescent="0.25">
      <c r="A43" s="39" t="s">
        <v>184</v>
      </c>
      <c r="B43" s="37">
        <v>263.16666666666669</v>
      </c>
      <c r="C43" s="37">
        <v>2183.6686666666665</v>
      </c>
      <c r="D43" s="37">
        <v>2531.2093449999998</v>
      </c>
      <c r="E43" s="37">
        <v>146.328607425</v>
      </c>
      <c r="F43" s="37">
        <v>164.52860742500002</v>
      </c>
      <c r="G43" s="37">
        <v>18.200000000000017</v>
      </c>
      <c r="H43" s="37">
        <v>723.76380441750007</v>
      </c>
      <c r="I43" s="37">
        <v>813.78380441750005</v>
      </c>
      <c r="J43" s="37">
        <v>90.019999999999982</v>
      </c>
      <c r="K43" s="37">
        <v>108.22</v>
      </c>
    </row>
    <row r="44" spans="1:11" x14ac:dyDescent="0.25">
      <c r="A44" s="39" t="s">
        <v>185</v>
      </c>
      <c r="B44" s="37">
        <v>263.16666666666669</v>
      </c>
      <c r="C44" s="37">
        <v>2183.6686666666665</v>
      </c>
      <c r="D44" s="37">
        <v>2531.2093449999998</v>
      </c>
      <c r="E44" s="37">
        <v>146.328607425</v>
      </c>
      <c r="F44" s="37">
        <v>164.52860742500002</v>
      </c>
      <c r="G44" s="37">
        <v>18.200000000000017</v>
      </c>
      <c r="H44" s="37">
        <v>723.76380441750007</v>
      </c>
      <c r="I44" s="37">
        <v>813.78380441750005</v>
      </c>
      <c r="J44" s="37">
        <v>90.019999999999982</v>
      </c>
      <c r="K44" s="37">
        <v>108.22</v>
      </c>
    </row>
    <row r="45" spans="1:11" x14ac:dyDescent="0.25">
      <c r="A45" s="39" t="s">
        <v>186</v>
      </c>
      <c r="B45" s="37">
        <v>263.16666666666669</v>
      </c>
      <c r="C45" s="37">
        <v>2183.6686666666665</v>
      </c>
      <c r="D45" s="37">
        <v>2531.2093449999998</v>
      </c>
      <c r="E45" s="37">
        <v>146.328607425</v>
      </c>
      <c r="F45" s="37">
        <v>164.52860742500002</v>
      </c>
      <c r="G45" s="37">
        <v>18.200000000000017</v>
      </c>
      <c r="H45" s="37">
        <v>723.76380441750007</v>
      </c>
      <c r="I45" s="37">
        <v>813.78380441750005</v>
      </c>
      <c r="J45" s="37">
        <v>90.019999999999982</v>
      </c>
      <c r="K45" s="37">
        <v>108.22</v>
      </c>
    </row>
    <row r="46" spans="1:11" x14ac:dyDescent="0.25">
      <c r="A46" s="39" t="s">
        <v>187</v>
      </c>
      <c r="B46" s="37">
        <v>263.16666666666669</v>
      </c>
      <c r="C46" s="37">
        <v>2183.6686666666665</v>
      </c>
      <c r="D46" s="37">
        <v>2531.2093449999998</v>
      </c>
      <c r="E46" s="37">
        <v>146.328607425</v>
      </c>
      <c r="F46" s="37">
        <v>164.52860742500002</v>
      </c>
      <c r="G46" s="37">
        <v>18.200000000000017</v>
      </c>
      <c r="H46" s="37">
        <v>723.76380441750007</v>
      </c>
      <c r="I46" s="37">
        <v>813.78380441750005</v>
      </c>
      <c r="J46" s="37">
        <v>90.019999999999982</v>
      </c>
      <c r="K46" s="37">
        <v>108.22</v>
      </c>
    </row>
    <row r="47" spans="1:11" x14ac:dyDescent="0.25">
      <c r="A47" s="39" t="s">
        <v>189</v>
      </c>
      <c r="B47" s="37">
        <v>263.16666666666669</v>
      </c>
      <c r="C47" s="37">
        <v>2183.6686666666665</v>
      </c>
      <c r="D47" s="37">
        <v>2531.2093449999998</v>
      </c>
      <c r="E47" s="37">
        <v>146.328607425</v>
      </c>
      <c r="F47" s="37">
        <v>164.52860742500002</v>
      </c>
      <c r="G47" s="37">
        <v>18.200000000000017</v>
      </c>
      <c r="H47" s="37">
        <v>723.76380441750007</v>
      </c>
      <c r="I47" s="37">
        <v>813.78380441750005</v>
      </c>
      <c r="J47" s="37">
        <v>90.019999999999982</v>
      </c>
      <c r="K47" s="37">
        <v>108.22</v>
      </c>
    </row>
    <row r="48" spans="1:11" x14ac:dyDescent="0.25">
      <c r="A48" s="40" t="s">
        <v>352</v>
      </c>
      <c r="B48" s="41">
        <f t="shared" ref="B48:K48" si="0">SUM(B36:B47)</f>
        <v>3157.9999999999995</v>
      </c>
      <c r="C48" s="41">
        <f t="shared" si="0"/>
        <v>25509.220333333324</v>
      </c>
      <c r="D48" s="41">
        <f t="shared" si="0"/>
        <v>30374.512139999995</v>
      </c>
      <c r="E48" s="41">
        <f t="shared" si="0"/>
        <v>1745.1013966749999</v>
      </c>
      <c r="F48" s="41">
        <f t="shared" si="0"/>
        <v>1974.3432891000002</v>
      </c>
      <c r="G48" s="41">
        <f t="shared" si="0"/>
        <v>218.4000000000002</v>
      </c>
      <c r="H48" s="41">
        <f t="shared" si="0"/>
        <v>8631.5399850925005</v>
      </c>
      <c r="I48" s="41">
        <f t="shared" si="0"/>
        <v>9765.4056530100024</v>
      </c>
      <c r="J48" s="41">
        <f t="shared" si="0"/>
        <v>1080.2399999999998</v>
      </c>
      <c r="K48" s="41">
        <f t="shared" si="0"/>
        <v>1298.6400000000001</v>
      </c>
    </row>
  </sheetData>
  <mergeCells count="4">
    <mergeCell ref="A1:H1"/>
    <mergeCell ref="D5:H5"/>
    <mergeCell ref="A30:C30"/>
    <mergeCell ref="A32:K3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K48"/>
  <sheetViews>
    <sheetView workbookViewId="0"/>
  </sheetViews>
  <sheetFormatPr baseColWidth="10" defaultColWidth="9.140625" defaultRowHeight="15" x14ac:dyDescent="0.25"/>
  <cols>
    <col min="1" max="1" width="18" customWidth="1"/>
    <col min="2" max="11" width="16" customWidth="1"/>
  </cols>
  <sheetData>
    <row r="1" spans="1:8" ht="26.1" customHeight="1" x14ac:dyDescent="0.3">
      <c r="A1" s="46" t="s">
        <v>332</v>
      </c>
      <c r="B1" s="46"/>
      <c r="C1" s="46"/>
      <c r="D1" s="46"/>
      <c r="E1" s="46"/>
      <c r="F1" s="46"/>
      <c r="G1" s="46"/>
      <c r="H1" s="46"/>
    </row>
    <row r="3" spans="1:8" x14ac:dyDescent="0.25">
      <c r="A3" t="s">
        <v>149</v>
      </c>
      <c r="B3" s="13" t="s">
        <v>114</v>
      </c>
    </row>
    <row r="5" spans="1:8" x14ac:dyDescent="0.25">
      <c r="A5" t="s">
        <v>74</v>
      </c>
      <c r="B5" t="s">
        <v>115</v>
      </c>
      <c r="D5" s="54" t="s">
        <v>333</v>
      </c>
      <c r="E5" s="54"/>
      <c r="F5" s="54"/>
      <c r="G5" s="54"/>
      <c r="H5" s="54"/>
    </row>
    <row r="6" spans="1:8" x14ac:dyDescent="0.25">
      <c r="A6" t="s">
        <v>334</v>
      </c>
      <c r="B6">
        <v>1987</v>
      </c>
      <c r="D6" t="s">
        <v>335</v>
      </c>
      <c r="E6" s="9">
        <v>104964.61500000003</v>
      </c>
    </row>
    <row r="7" spans="1:8" x14ac:dyDescent="0.25">
      <c r="A7" t="s">
        <v>76</v>
      </c>
      <c r="B7" s="1">
        <v>42046</v>
      </c>
      <c r="D7" t="s">
        <v>336</v>
      </c>
      <c r="E7" s="9">
        <v>4073.5300679999987</v>
      </c>
    </row>
    <row r="8" spans="1:8" x14ac:dyDescent="0.25">
      <c r="A8" t="s">
        <v>77</v>
      </c>
      <c r="B8" s="4">
        <v>0.3306</v>
      </c>
      <c r="D8" t="s">
        <v>77</v>
      </c>
      <c r="E8" s="9">
        <v>34386.407873999997</v>
      </c>
    </row>
    <row r="9" spans="1:8" x14ac:dyDescent="0.25">
      <c r="A9" t="s">
        <v>78</v>
      </c>
      <c r="B9" s="4">
        <v>1</v>
      </c>
      <c r="D9" t="s">
        <v>337</v>
      </c>
      <c r="E9" s="9">
        <v>66504.677058000001</v>
      </c>
    </row>
    <row r="10" spans="1:8" x14ac:dyDescent="0.25">
      <c r="A10" t="s">
        <v>79</v>
      </c>
      <c r="B10" t="s">
        <v>141</v>
      </c>
      <c r="D10" t="s">
        <v>338</v>
      </c>
      <c r="E10" s="9">
        <v>20154.192110999997</v>
      </c>
    </row>
    <row r="11" spans="1:8" x14ac:dyDescent="0.25">
      <c r="A11" t="s">
        <v>82</v>
      </c>
      <c r="B11" s="9">
        <v>6129.93</v>
      </c>
      <c r="D11" t="s">
        <v>267</v>
      </c>
      <c r="E11" s="9">
        <v>125118.80711100002</v>
      </c>
    </row>
    <row r="12" spans="1:8" x14ac:dyDescent="0.25">
      <c r="A12" t="s">
        <v>81</v>
      </c>
      <c r="B12" s="4">
        <v>1.4999999999999999E-2</v>
      </c>
    </row>
    <row r="13" spans="1:8" x14ac:dyDescent="0.25">
      <c r="A13" s="35" t="s">
        <v>90</v>
      </c>
      <c r="B13" s="34">
        <v>82400</v>
      </c>
    </row>
    <row r="15" spans="1:8" x14ac:dyDescent="0.25">
      <c r="A15" s="6" t="s">
        <v>150</v>
      </c>
      <c r="B15" s="6" t="s">
        <v>339</v>
      </c>
      <c r="C15" s="6" t="s">
        <v>165</v>
      </c>
      <c r="D15" s="6" t="s">
        <v>94</v>
      </c>
      <c r="E15" s="6" t="s">
        <v>336</v>
      </c>
      <c r="F15" s="6" t="s">
        <v>77</v>
      </c>
      <c r="G15" s="6" t="s">
        <v>95</v>
      </c>
      <c r="H15" s="6" t="s">
        <v>267</v>
      </c>
    </row>
    <row r="16" spans="1:8" x14ac:dyDescent="0.25">
      <c r="A16" t="s">
        <v>173</v>
      </c>
      <c r="B16" s="4">
        <v>1</v>
      </c>
      <c r="C16" t="s">
        <v>175</v>
      </c>
      <c r="D16" s="9">
        <v>7497.4724999999999</v>
      </c>
      <c r="E16" s="9">
        <v>339.46083899999996</v>
      </c>
      <c r="F16" s="9">
        <v>2456.1719910000002</v>
      </c>
      <c r="G16" s="9">
        <v>4701.8396699999994</v>
      </c>
      <c r="H16" s="9">
        <v>9176.988509249999</v>
      </c>
    </row>
    <row r="17" spans="1:11" x14ac:dyDescent="0.25">
      <c r="A17" t="s">
        <v>176</v>
      </c>
      <c r="B17" s="4">
        <v>1</v>
      </c>
      <c r="C17" t="s">
        <v>175</v>
      </c>
      <c r="D17" s="9">
        <v>7497.4724999999999</v>
      </c>
      <c r="E17" s="9">
        <v>339.46083899999996</v>
      </c>
      <c r="F17" s="9">
        <v>2456.1719910000002</v>
      </c>
      <c r="G17" s="9">
        <v>4701.8396699999994</v>
      </c>
      <c r="H17" s="9">
        <v>9176.988509249999</v>
      </c>
    </row>
    <row r="18" spans="1:11" x14ac:dyDescent="0.25">
      <c r="A18" t="s">
        <v>177</v>
      </c>
      <c r="B18" s="4">
        <v>1</v>
      </c>
      <c r="C18" t="s">
        <v>175</v>
      </c>
      <c r="D18" s="9">
        <v>7497.4724999999999</v>
      </c>
      <c r="E18" s="9">
        <v>339.46083899999996</v>
      </c>
      <c r="F18" s="9">
        <v>2456.1719910000002</v>
      </c>
      <c r="G18" s="9">
        <v>4701.8396699999994</v>
      </c>
      <c r="H18" s="9">
        <v>9176.988509249999</v>
      </c>
    </row>
    <row r="19" spans="1:11" x14ac:dyDescent="0.25">
      <c r="A19" t="s">
        <v>178</v>
      </c>
      <c r="B19" s="4">
        <v>1</v>
      </c>
      <c r="C19" t="s">
        <v>175</v>
      </c>
      <c r="D19" s="9">
        <v>7497.4724999999999</v>
      </c>
      <c r="E19" s="9">
        <v>339.46083899999996</v>
      </c>
      <c r="F19" s="9">
        <v>2456.1719910000002</v>
      </c>
      <c r="G19" s="9">
        <v>4701.8396699999994</v>
      </c>
      <c r="H19" s="9">
        <v>9176.988509249999</v>
      </c>
    </row>
    <row r="20" spans="1:11" x14ac:dyDescent="0.25">
      <c r="A20" t="s">
        <v>179</v>
      </c>
      <c r="B20" s="4">
        <v>1</v>
      </c>
      <c r="C20" t="s">
        <v>175</v>
      </c>
      <c r="D20" s="9">
        <v>7497.4724999999999</v>
      </c>
      <c r="E20" s="9">
        <v>339.46083899999996</v>
      </c>
      <c r="F20" s="9">
        <v>2456.1719910000002</v>
      </c>
      <c r="G20" s="9">
        <v>4701.8396699999994</v>
      </c>
      <c r="H20" s="9">
        <v>9176.988509249999</v>
      </c>
    </row>
    <row r="21" spans="1:11" x14ac:dyDescent="0.25">
      <c r="A21" t="s">
        <v>180</v>
      </c>
      <c r="B21" s="4">
        <v>1</v>
      </c>
      <c r="C21" t="s">
        <v>175</v>
      </c>
      <c r="D21" s="9">
        <v>7497.4724999999999</v>
      </c>
      <c r="E21" s="9">
        <v>339.46083899999996</v>
      </c>
      <c r="F21" s="9">
        <v>2456.1719910000002</v>
      </c>
      <c r="G21" s="9">
        <v>4701.8396699999994</v>
      </c>
      <c r="H21" s="9">
        <v>9176.988509249999</v>
      </c>
    </row>
    <row r="22" spans="1:11" x14ac:dyDescent="0.25">
      <c r="A22" t="s">
        <v>181</v>
      </c>
      <c r="B22" s="4">
        <v>1</v>
      </c>
      <c r="C22" t="s">
        <v>175</v>
      </c>
      <c r="D22" s="9">
        <v>7497.4724999999999</v>
      </c>
      <c r="E22" s="9">
        <v>0</v>
      </c>
      <c r="F22" s="9">
        <v>2456.1719910000002</v>
      </c>
      <c r="G22" s="9">
        <v>5041.3005089999997</v>
      </c>
      <c r="H22" s="9">
        <v>7497.4724999999999</v>
      </c>
    </row>
    <row r="23" spans="1:11" x14ac:dyDescent="0.25">
      <c r="A23" t="s">
        <v>183</v>
      </c>
      <c r="B23" s="4">
        <v>1</v>
      </c>
      <c r="C23" t="s">
        <v>175</v>
      </c>
      <c r="D23" s="9">
        <v>7497.4724999999999</v>
      </c>
      <c r="E23" s="9">
        <v>339.46083899999996</v>
      </c>
      <c r="F23" s="9">
        <v>2456.1719910000002</v>
      </c>
      <c r="G23" s="9">
        <v>4701.8396699999994</v>
      </c>
      <c r="H23" s="9">
        <v>9176.988509249999</v>
      </c>
    </row>
    <row r="24" spans="1:11" x14ac:dyDescent="0.25">
      <c r="A24" t="s">
        <v>184</v>
      </c>
      <c r="B24" s="4">
        <v>1</v>
      </c>
      <c r="C24" t="s">
        <v>175</v>
      </c>
      <c r="D24" s="9">
        <v>7497.4724999999999</v>
      </c>
      <c r="E24" s="9">
        <v>339.46083899999996</v>
      </c>
      <c r="F24" s="9">
        <v>2456.1719910000002</v>
      </c>
      <c r="G24" s="9">
        <v>4701.8396699999994</v>
      </c>
      <c r="H24" s="9">
        <v>9176.988509249999</v>
      </c>
    </row>
    <row r="25" spans="1:11" x14ac:dyDescent="0.25">
      <c r="A25" t="s">
        <v>185</v>
      </c>
      <c r="B25" s="4">
        <v>1</v>
      </c>
      <c r="C25" t="s">
        <v>175</v>
      </c>
      <c r="D25" s="9">
        <v>7497.4724999999999</v>
      </c>
      <c r="E25" s="9">
        <v>339.46083899999996</v>
      </c>
      <c r="F25" s="9">
        <v>2456.1719910000002</v>
      </c>
      <c r="G25" s="9">
        <v>4701.8396699999994</v>
      </c>
      <c r="H25" s="9">
        <v>9176.988509249999</v>
      </c>
    </row>
    <row r="26" spans="1:11" x14ac:dyDescent="0.25">
      <c r="A26" t="s">
        <v>186</v>
      </c>
      <c r="B26" s="4">
        <v>1</v>
      </c>
      <c r="C26" t="s">
        <v>175</v>
      </c>
      <c r="D26" s="9">
        <v>7497.4724999999999</v>
      </c>
      <c r="E26" s="9">
        <v>339.46083899999996</v>
      </c>
      <c r="F26" s="9">
        <v>2456.1719910000002</v>
      </c>
      <c r="G26" s="9">
        <v>4701.8396699999994</v>
      </c>
      <c r="H26" s="9">
        <v>9176.988509249999</v>
      </c>
    </row>
    <row r="27" spans="1:11" x14ac:dyDescent="0.25">
      <c r="A27" t="s">
        <v>187</v>
      </c>
      <c r="B27" s="4">
        <v>1</v>
      </c>
      <c r="C27" t="s">
        <v>175</v>
      </c>
      <c r="D27" s="9">
        <v>7497.4724999999999</v>
      </c>
      <c r="E27" s="9">
        <v>339.46083899999996</v>
      </c>
      <c r="F27" s="9">
        <v>2456.1719910000002</v>
      </c>
      <c r="G27" s="9">
        <v>4701.8396699999994</v>
      </c>
      <c r="H27" s="9">
        <v>9176.988509249999</v>
      </c>
    </row>
    <row r="28" spans="1:11" x14ac:dyDescent="0.25">
      <c r="A28" t="s">
        <v>188</v>
      </c>
      <c r="B28" s="4">
        <v>1</v>
      </c>
      <c r="C28" t="s">
        <v>175</v>
      </c>
      <c r="D28" s="9">
        <v>7497.4724999999999</v>
      </c>
      <c r="E28" s="9">
        <v>0</v>
      </c>
      <c r="F28" s="9">
        <v>2456.1719910000002</v>
      </c>
      <c r="G28" s="9">
        <v>5041.3005089999997</v>
      </c>
      <c r="H28" s="9">
        <v>7497.4724999999999</v>
      </c>
    </row>
    <row r="29" spans="1:11" x14ac:dyDescent="0.25">
      <c r="A29" t="s">
        <v>189</v>
      </c>
      <c r="B29" s="4">
        <v>1</v>
      </c>
      <c r="C29" t="s">
        <v>175</v>
      </c>
      <c r="D29" s="9">
        <v>7497.4724999999999</v>
      </c>
      <c r="E29" s="9">
        <v>339.46083899999996</v>
      </c>
      <c r="F29" s="9">
        <v>2456.1719910000002</v>
      </c>
      <c r="G29" s="9">
        <v>4701.8396699999994</v>
      </c>
      <c r="H29" s="9">
        <v>9176.988509249999</v>
      </c>
    </row>
    <row r="30" spans="1:11" x14ac:dyDescent="0.25">
      <c r="A30" s="45" t="s">
        <v>340</v>
      </c>
      <c r="B30" s="45"/>
      <c r="C30" s="45"/>
      <c r="D30" s="14">
        <v>104964.61500000003</v>
      </c>
      <c r="E30" s="14">
        <v>4073.5300679999987</v>
      </c>
      <c r="F30" s="14">
        <v>34386.407873999997</v>
      </c>
      <c r="G30" s="14">
        <v>66504.677058000001</v>
      </c>
      <c r="H30" s="14">
        <v>125118.80711100002</v>
      </c>
    </row>
    <row r="32" spans="1:11" x14ac:dyDescent="0.25">
      <c r="A32" s="55" t="s">
        <v>279</v>
      </c>
      <c r="B32" s="55"/>
      <c r="C32" s="55"/>
      <c r="D32" s="55"/>
      <c r="E32" s="55"/>
      <c r="F32" s="55"/>
      <c r="G32" s="55"/>
      <c r="H32" s="55"/>
      <c r="I32" s="55"/>
      <c r="J32" s="55"/>
      <c r="K32" s="55"/>
    </row>
    <row r="33" spans="1:11" ht="30" x14ac:dyDescent="0.25">
      <c r="A33" s="36" t="s">
        <v>341</v>
      </c>
      <c r="B33" s="37">
        <v>82400</v>
      </c>
      <c r="C33" s="37"/>
      <c r="D33" s="38" t="s">
        <v>342</v>
      </c>
      <c r="E33" s="37">
        <v>6866.666666666667</v>
      </c>
      <c r="F33" s="37"/>
      <c r="G33" s="38" t="s">
        <v>343</v>
      </c>
      <c r="H33" s="37">
        <v>1170.9199999999992</v>
      </c>
      <c r="I33" s="39"/>
      <c r="J33" s="39"/>
      <c r="K33" s="39"/>
    </row>
    <row r="34" spans="1:11" x14ac:dyDescent="0.25">
      <c r="A34" s="39"/>
      <c r="B34" s="39"/>
      <c r="C34" s="39"/>
      <c r="D34" s="39"/>
      <c r="E34" s="39"/>
      <c r="F34" s="39"/>
      <c r="G34" s="39"/>
      <c r="H34" s="39"/>
      <c r="I34" s="39"/>
      <c r="J34" s="39"/>
      <c r="K34" s="39"/>
    </row>
    <row r="35" spans="1:11" ht="33.950000000000003" customHeight="1" x14ac:dyDescent="0.25">
      <c r="A35" s="33" t="s">
        <v>150</v>
      </c>
      <c r="B35" s="33" t="s">
        <v>344</v>
      </c>
      <c r="C35" s="33" t="s">
        <v>345</v>
      </c>
      <c r="D35" s="33" t="s">
        <v>346</v>
      </c>
      <c r="E35" s="33" t="s">
        <v>347</v>
      </c>
      <c r="F35" s="33" t="s">
        <v>348</v>
      </c>
      <c r="G35" s="33" t="s">
        <v>349</v>
      </c>
      <c r="H35" s="33" t="s">
        <v>327</v>
      </c>
      <c r="I35" s="33" t="s">
        <v>328</v>
      </c>
      <c r="J35" s="33" t="s">
        <v>350</v>
      </c>
      <c r="K35" s="33" t="s">
        <v>351</v>
      </c>
    </row>
    <row r="36" spans="1:11" x14ac:dyDescent="0.25">
      <c r="A36" s="39" t="s">
        <v>173</v>
      </c>
      <c r="B36" s="37">
        <v>6866.666666666667</v>
      </c>
      <c r="C36" s="37">
        <v>8939.4812500000007</v>
      </c>
      <c r="D36" s="37">
        <v>15413.717916666668</v>
      </c>
      <c r="E36" s="37">
        <v>339.46083899999996</v>
      </c>
      <c r="F36" s="37">
        <v>355.46083899999996</v>
      </c>
      <c r="G36" s="37">
        <v>16</v>
      </c>
      <c r="H36" s="37">
        <v>1679.5160092499998</v>
      </c>
      <c r="I36" s="37">
        <v>1760.8493425833331</v>
      </c>
      <c r="J36" s="37">
        <v>81.333333333333258</v>
      </c>
      <c r="K36" s="37">
        <v>97.333333333333258</v>
      </c>
    </row>
    <row r="37" spans="1:11" x14ac:dyDescent="0.25">
      <c r="A37" s="39" t="s">
        <v>176</v>
      </c>
      <c r="B37" s="37">
        <v>6866.666666666667</v>
      </c>
      <c r="C37" s="37">
        <v>8939.4812500000007</v>
      </c>
      <c r="D37" s="37">
        <v>15413.717916666668</v>
      </c>
      <c r="E37" s="37">
        <v>339.46083899999996</v>
      </c>
      <c r="F37" s="37">
        <v>355.46083899999996</v>
      </c>
      <c r="G37" s="37">
        <v>16</v>
      </c>
      <c r="H37" s="37">
        <v>1679.5160092499998</v>
      </c>
      <c r="I37" s="37">
        <v>1760.8493425833331</v>
      </c>
      <c r="J37" s="37">
        <v>81.333333333333258</v>
      </c>
      <c r="K37" s="37">
        <v>97.333333333333258</v>
      </c>
    </row>
    <row r="38" spans="1:11" x14ac:dyDescent="0.25">
      <c r="A38" s="39" t="s">
        <v>177</v>
      </c>
      <c r="B38" s="37">
        <v>6866.666666666667</v>
      </c>
      <c r="C38" s="37">
        <v>8939.4812500000007</v>
      </c>
      <c r="D38" s="37">
        <v>15413.717916666668</v>
      </c>
      <c r="E38" s="37">
        <v>339.46083899999996</v>
      </c>
      <c r="F38" s="37">
        <v>355.46083899999996</v>
      </c>
      <c r="G38" s="37">
        <v>16</v>
      </c>
      <c r="H38" s="37">
        <v>1679.5160092499998</v>
      </c>
      <c r="I38" s="37">
        <v>1760.8493425833331</v>
      </c>
      <c r="J38" s="37">
        <v>81.333333333333258</v>
      </c>
      <c r="K38" s="37">
        <v>97.333333333333258</v>
      </c>
    </row>
    <row r="39" spans="1:11" x14ac:dyDescent="0.25">
      <c r="A39" s="39" t="s">
        <v>178</v>
      </c>
      <c r="B39" s="37">
        <v>6866.666666666667</v>
      </c>
      <c r="C39" s="37">
        <v>8939.4812500000007</v>
      </c>
      <c r="D39" s="37">
        <v>15413.717916666668</v>
      </c>
      <c r="E39" s="37">
        <v>339.46083899999996</v>
      </c>
      <c r="F39" s="37">
        <v>355.46083899999996</v>
      </c>
      <c r="G39" s="37">
        <v>16</v>
      </c>
      <c r="H39" s="37">
        <v>1679.5160092499998</v>
      </c>
      <c r="I39" s="37">
        <v>1760.8493425833331</v>
      </c>
      <c r="J39" s="37">
        <v>81.333333333333258</v>
      </c>
      <c r="K39" s="37">
        <v>97.333333333333258</v>
      </c>
    </row>
    <row r="40" spans="1:11" x14ac:dyDescent="0.25">
      <c r="A40" s="39" t="s">
        <v>179</v>
      </c>
      <c r="B40" s="37">
        <v>6866.666666666667</v>
      </c>
      <c r="C40" s="37">
        <v>8939.4812500000007</v>
      </c>
      <c r="D40" s="37">
        <v>15413.717916666668</v>
      </c>
      <c r="E40" s="37">
        <v>339.46083899999996</v>
      </c>
      <c r="F40" s="37">
        <v>355.46083899999996</v>
      </c>
      <c r="G40" s="37">
        <v>16</v>
      </c>
      <c r="H40" s="37">
        <v>1679.5160092499998</v>
      </c>
      <c r="I40" s="37">
        <v>1760.8493425833331</v>
      </c>
      <c r="J40" s="37">
        <v>81.333333333333258</v>
      </c>
      <c r="K40" s="37">
        <v>97.333333333333258</v>
      </c>
    </row>
    <row r="41" spans="1:11" x14ac:dyDescent="0.25">
      <c r="A41" s="39" t="s">
        <v>180</v>
      </c>
      <c r="B41" s="37">
        <v>6866.666666666667</v>
      </c>
      <c r="C41" s="37">
        <v>8939.4812500000007</v>
      </c>
      <c r="D41" s="37">
        <v>15413.717916666668</v>
      </c>
      <c r="E41" s="37">
        <v>339.46083899999996</v>
      </c>
      <c r="F41" s="37">
        <v>355.46083899999996</v>
      </c>
      <c r="G41" s="37">
        <v>16</v>
      </c>
      <c r="H41" s="37">
        <v>1679.5160092499998</v>
      </c>
      <c r="I41" s="37">
        <v>1760.8493425833331</v>
      </c>
      <c r="J41" s="37">
        <v>81.333333333333258</v>
      </c>
      <c r="K41" s="37">
        <v>97.333333333333258</v>
      </c>
    </row>
    <row r="42" spans="1:11" x14ac:dyDescent="0.25">
      <c r="A42" s="39" t="s">
        <v>183</v>
      </c>
      <c r="B42" s="37">
        <v>6866.666666666667</v>
      </c>
      <c r="C42" s="37">
        <v>8939.4812500000007</v>
      </c>
      <c r="D42" s="37">
        <v>15413.717916666668</v>
      </c>
      <c r="E42" s="37">
        <v>339.46083899999996</v>
      </c>
      <c r="F42" s="37">
        <v>355.46083899999996</v>
      </c>
      <c r="G42" s="37">
        <v>16</v>
      </c>
      <c r="H42" s="37">
        <v>1679.5160092499998</v>
      </c>
      <c r="I42" s="37">
        <v>1760.8493425833331</v>
      </c>
      <c r="J42" s="37">
        <v>81.333333333333258</v>
      </c>
      <c r="K42" s="37">
        <v>97.333333333333258</v>
      </c>
    </row>
    <row r="43" spans="1:11" x14ac:dyDescent="0.25">
      <c r="A43" s="39" t="s">
        <v>184</v>
      </c>
      <c r="B43" s="37">
        <v>6866.666666666667</v>
      </c>
      <c r="C43" s="37">
        <v>8939.4812500000007</v>
      </c>
      <c r="D43" s="37">
        <v>15413.717916666668</v>
      </c>
      <c r="E43" s="37">
        <v>339.46083899999996</v>
      </c>
      <c r="F43" s="37">
        <v>355.46083899999996</v>
      </c>
      <c r="G43" s="37">
        <v>16</v>
      </c>
      <c r="H43" s="37">
        <v>1679.5160092499998</v>
      </c>
      <c r="I43" s="37">
        <v>1760.8493425833331</v>
      </c>
      <c r="J43" s="37">
        <v>81.333333333333258</v>
      </c>
      <c r="K43" s="37">
        <v>97.333333333333258</v>
      </c>
    </row>
    <row r="44" spans="1:11" x14ac:dyDescent="0.25">
      <c r="A44" s="39" t="s">
        <v>185</v>
      </c>
      <c r="B44" s="37">
        <v>6866.666666666667</v>
      </c>
      <c r="C44" s="37">
        <v>8939.4812500000007</v>
      </c>
      <c r="D44" s="37">
        <v>15806.147916666669</v>
      </c>
      <c r="E44" s="37">
        <v>339.46083899999996</v>
      </c>
      <c r="F44" s="37">
        <v>355.94083899999998</v>
      </c>
      <c r="G44" s="37">
        <v>16.480000000000018</v>
      </c>
      <c r="H44" s="37">
        <v>1679.5160092499998</v>
      </c>
      <c r="I44" s="37">
        <v>1763.2893425833331</v>
      </c>
      <c r="J44" s="37">
        <v>83.773333333333312</v>
      </c>
      <c r="K44" s="37">
        <v>100.25333333333333</v>
      </c>
    </row>
    <row r="45" spans="1:11" x14ac:dyDescent="0.25">
      <c r="A45" s="39" t="s">
        <v>186</v>
      </c>
      <c r="B45" s="37">
        <v>6866.666666666667</v>
      </c>
      <c r="C45" s="37">
        <v>8939.4812500000007</v>
      </c>
      <c r="D45" s="37">
        <v>15413.717916666668</v>
      </c>
      <c r="E45" s="37">
        <v>339.46083899999996</v>
      </c>
      <c r="F45" s="37">
        <v>355.46083899999996</v>
      </c>
      <c r="G45" s="37">
        <v>16</v>
      </c>
      <c r="H45" s="37">
        <v>1679.5160092499998</v>
      </c>
      <c r="I45" s="37">
        <v>1760.8493425833331</v>
      </c>
      <c r="J45" s="37">
        <v>81.333333333333258</v>
      </c>
      <c r="K45" s="37">
        <v>97.333333333333258</v>
      </c>
    </row>
    <row r="46" spans="1:11" x14ac:dyDescent="0.25">
      <c r="A46" s="39" t="s">
        <v>187</v>
      </c>
      <c r="B46" s="37">
        <v>6866.666666666667</v>
      </c>
      <c r="C46" s="37">
        <v>8939.4812500000007</v>
      </c>
      <c r="D46" s="37">
        <v>15413.717916666668</v>
      </c>
      <c r="E46" s="37">
        <v>339.46083899999996</v>
      </c>
      <c r="F46" s="37">
        <v>355.46083899999996</v>
      </c>
      <c r="G46" s="37">
        <v>16</v>
      </c>
      <c r="H46" s="37">
        <v>1679.5160092499998</v>
      </c>
      <c r="I46" s="37">
        <v>1760.8493425833331</v>
      </c>
      <c r="J46" s="37">
        <v>81.333333333333258</v>
      </c>
      <c r="K46" s="37">
        <v>97.333333333333258</v>
      </c>
    </row>
    <row r="47" spans="1:11" x14ac:dyDescent="0.25">
      <c r="A47" s="39" t="s">
        <v>189</v>
      </c>
      <c r="B47" s="37">
        <v>6866.666666666667</v>
      </c>
      <c r="C47" s="37">
        <v>8939.4812500000007</v>
      </c>
      <c r="D47" s="37">
        <v>15413.717916666668</v>
      </c>
      <c r="E47" s="37">
        <v>339.46083899999996</v>
      </c>
      <c r="F47" s="37">
        <v>355.46083899999996</v>
      </c>
      <c r="G47" s="37">
        <v>16</v>
      </c>
      <c r="H47" s="37">
        <v>1679.5160092499998</v>
      </c>
      <c r="I47" s="37">
        <v>1760.8493425833331</v>
      </c>
      <c r="J47" s="37">
        <v>81.333333333333258</v>
      </c>
      <c r="K47" s="37">
        <v>97.333333333333258</v>
      </c>
    </row>
    <row r="48" spans="1:11" x14ac:dyDescent="0.25">
      <c r="A48" s="40" t="s">
        <v>352</v>
      </c>
      <c r="B48" s="41">
        <f t="shared" ref="B48:K48" si="0">SUM(B36:B47)</f>
        <v>82400</v>
      </c>
      <c r="C48" s="41">
        <f t="shared" si="0"/>
        <v>107273.77499999998</v>
      </c>
      <c r="D48" s="41">
        <f t="shared" si="0"/>
        <v>185357.04500000007</v>
      </c>
      <c r="E48" s="41">
        <f t="shared" si="0"/>
        <v>4073.5300679999987</v>
      </c>
      <c r="F48" s="41">
        <f t="shared" si="0"/>
        <v>4266.0100679999987</v>
      </c>
      <c r="G48" s="41">
        <f t="shared" si="0"/>
        <v>192.48000000000002</v>
      </c>
      <c r="H48" s="41">
        <f t="shared" si="0"/>
        <v>20154.192110999997</v>
      </c>
      <c r="I48" s="41">
        <f t="shared" si="0"/>
        <v>21132.632110999999</v>
      </c>
      <c r="J48" s="41">
        <f t="shared" si="0"/>
        <v>978.43999999999915</v>
      </c>
      <c r="K48" s="41">
        <f t="shared" si="0"/>
        <v>1170.9199999999992</v>
      </c>
    </row>
  </sheetData>
  <mergeCells count="4">
    <mergeCell ref="A1:H1"/>
    <mergeCell ref="D5:H5"/>
    <mergeCell ref="A30:C30"/>
    <mergeCell ref="A32:K32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K48"/>
  <sheetViews>
    <sheetView workbookViewId="0"/>
  </sheetViews>
  <sheetFormatPr baseColWidth="10" defaultColWidth="9.140625" defaultRowHeight="15" x14ac:dyDescent="0.25"/>
  <cols>
    <col min="1" max="1" width="18" customWidth="1"/>
    <col min="2" max="11" width="16" customWidth="1"/>
  </cols>
  <sheetData>
    <row r="1" spans="1:8" ht="26.1" customHeight="1" x14ac:dyDescent="0.3">
      <c r="A1" s="46" t="s">
        <v>332</v>
      </c>
      <c r="B1" s="46"/>
      <c r="C1" s="46"/>
      <c r="D1" s="46"/>
      <c r="E1" s="46"/>
      <c r="F1" s="46"/>
      <c r="G1" s="46"/>
      <c r="H1" s="46"/>
    </row>
    <row r="3" spans="1:8" x14ac:dyDescent="0.25">
      <c r="A3" t="s">
        <v>149</v>
      </c>
      <c r="B3" s="13" t="s">
        <v>116</v>
      </c>
    </row>
    <row r="5" spans="1:8" x14ac:dyDescent="0.25">
      <c r="A5" t="s">
        <v>74</v>
      </c>
      <c r="B5" t="s">
        <v>117</v>
      </c>
      <c r="D5" s="54" t="s">
        <v>333</v>
      </c>
      <c r="E5" s="54"/>
      <c r="F5" s="54"/>
      <c r="G5" s="54"/>
      <c r="H5" s="54"/>
    </row>
    <row r="6" spans="1:8" x14ac:dyDescent="0.25">
      <c r="A6" t="s">
        <v>334</v>
      </c>
      <c r="B6">
        <v>1989</v>
      </c>
      <c r="D6" t="s">
        <v>335</v>
      </c>
      <c r="E6" s="9">
        <v>80769.029374999984</v>
      </c>
    </row>
    <row r="7" spans="1:8" x14ac:dyDescent="0.25">
      <c r="A7" t="s">
        <v>76</v>
      </c>
      <c r="B7" s="1">
        <v>42296</v>
      </c>
      <c r="D7" t="s">
        <v>336</v>
      </c>
      <c r="E7" s="9">
        <v>3899.59883240625</v>
      </c>
    </row>
    <row r="8" spans="1:8" x14ac:dyDescent="0.25">
      <c r="A8" t="s">
        <v>77</v>
      </c>
      <c r="B8" s="4">
        <v>0.29399999999999998</v>
      </c>
      <c r="D8" t="s">
        <v>77</v>
      </c>
      <c r="E8" s="9">
        <v>24404.109837916658</v>
      </c>
    </row>
    <row r="9" spans="1:8" x14ac:dyDescent="0.25">
      <c r="A9" t="s">
        <v>78</v>
      </c>
      <c r="B9" s="4">
        <v>1</v>
      </c>
      <c r="D9" t="s">
        <v>337</v>
      </c>
      <c r="E9" s="9">
        <v>52572.425548427076</v>
      </c>
    </row>
    <row r="10" spans="1:8" x14ac:dyDescent="0.25">
      <c r="A10" t="s">
        <v>79</v>
      </c>
      <c r="B10" t="s">
        <v>141</v>
      </c>
      <c r="D10" t="s">
        <v>338</v>
      </c>
      <c r="E10" s="9">
        <v>19863.325745249997</v>
      </c>
    </row>
    <row r="11" spans="1:8" x14ac:dyDescent="0.25">
      <c r="A11" t="s">
        <v>82</v>
      </c>
      <c r="B11" s="9">
        <v>4646.1499999999996</v>
      </c>
      <c r="D11" t="s">
        <v>267</v>
      </c>
      <c r="E11" s="9">
        <v>100774.98137025</v>
      </c>
    </row>
    <row r="12" spans="1:8" x14ac:dyDescent="0.25">
      <c r="A12" t="s">
        <v>81</v>
      </c>
      <c r="B12" s="4">
        <v>1.4999999999999999E-2</v>
      </c>
    </row>
    <row r="13" spans="1:8" x14ac:dyDescent="0.25">
      <c r="A13" s="35" t="s">
        <v>90</v>
      </c>
      <c r="B13" s="34">
        <v>28800</v>
      </c>
    </row>
    <row r="15" spans="1:8" x14ac:dyDescent="0.25">
      <c r="A15" s="6" t="s">
        <v>150</v>
      </c>
      <c r="B15" s="6" t="s">
        <v>339</v>
      </c>
      <c r="C15" s="6" t="s">
        <v>165</v>
      </c>
      <c r="D15" s="6" t="s">
        <v>94</v>
      </c>
      <c r="E15" s="6" t="s">
        <v>336</v>
      </c>
      <c r="F15" s="6" t="s">
        <v>77</v>
      </c>
      <c r="G15" s="6" t="s">
        <v>95</v>
      </c>
      <c r="H15" s="6" t="s">
        <v>267</v>
      </c>
    </row>
    <row r="16" spans="1:8" x14ac:dyDescent="0.25">
      <c r="A16" t="s">
        <v>173</v>
      </c>
      <c r="B16" s="4">
        <v>1</v>
      </c>
      <c r="C16" t="s">
        <v>175</v>
      </c>
      <c r="D16" s="9">
        <v>5993.7749999999996</v>
      </c>
      <c r="E16" s="9">
        <v>335.02250849999996</v>
      </c>
      <c r="F16" s="9">
        <v>1761.8112399999998</v>
      </c>
      <c r="G16" s="9">
        <v>3896.9412514999995</v>
      </c>
      <c r="H16" s="9">
        <v>7650.9664839999996</v>
      </c>
    </row>
    <row r="17" spans="1:11" x14ac:dyDescent="0.25">
      <c r="A17" t="s">
        <v>176</v>
      </c>
      <c r="B17" s="4">
        <v>1</v>
      </c>
      <c r="C17" t="s">
        <v>175</v>
      </c>
      <c r="D17" s="9">
        <v>5993.7749999999996</v>
      </c>
      <c r="E17" s="9">
        <v>335.02250849999996</v>
      </c>
      <c r="F17" s="9">
        <v>1761.8112399999998</v>
      </c>
      <c r="G17" s="9">
        <v>3896.9412514999995</v>
      </c>
      <c r="H17" s="9">
        <v>7650.9664839999996</v>
      </c>
    </row>
    <row r="18" spans="1:11" x14ac:dyDescent="0.25">
      <c r="A18" t="s">
        <v>177</v>
      </c>
      <c r="B18" s="4">
        <v>1</v>
      </c>
      <c r="C18" t="s">
        <v>175</v>
      </c>
      <c r="D18" s="9">
        <v>5993.7749999999996</v>
      </c>
      <c r="E18" s="9">
        <v>335.02250849999996</v>
      </c>
      <c r="F18" s="9">
        <v>1761.8112399999998</v>
      </c>
      <c r="G18" s="9">
        <v>3896.9412514999995</v>
      </c>
      <c r="H18" s="9">
        <v>7650.9664839999996</v>
      </c>
    </row>
    <row r="19" spans="1:11" x14ac:dyDescent="0.25">
      <c r="A19" t="s">
        <v>178</v>
      </c>
      <c r="B19" s="4">
        <v>1</v>
      </c>
      <c r="C19" t="s">
        <v>175</v>
      </c>
      <c r="D19" s="9">
        <v>5993.7749999999996</v>
      </c>
      <c r="E19" s="9">
        <v>335.02250849999996</v>
      </c>
      <c r="F19" s="9">
        <v>1761.8112399999998</v>
      </c>
      <c r="G19" s="9">
        <v>3896.9412514999995</v>
      </c>
      <c r="H19" s="9">
        <v>7650.9664839999996</v>
      </c>
    </row>
    <row r="20" spans="1:11" x14ac:dyDescent="0.25">
      <c r="A20" t="s">
        <v>179</v>
      </c>
      <c r="B20" s="4">
        <v>1</v>
      </c>
      <c r="C20" t="s">
        <v>175</v>
      </c>
      <c r="D20" s="9">
        <v>5993.7749999999996</v>
      </c>
      <c r="E20" s="9">
        <v>335.02250849999996</v>
      </c>
      <c r="F20" s="9">
        <v>1761.8112399999998</v>
      </c>
      <c r="G20" s="9">
        <v>3896.9412514999995</v>
      </c>
      <c r="H20" s="9">
        <v>7650.9664839999996</v>
      </c>
    </row>
    <row r="21" spans="1:11" x14ac:dyDescent="0.25">
      <c r="A21" t="s">
        <v>180</v>
      </c>
      <c r="B21" s="4">
        <v>1</v>
      </c>
      <c r="C21" t="s">
        <v>175</v>
      </c>
      <c r="D21" s="9">
        <v>5993.7749999999996</v>
      </c>
      <c r="E21" s="9">
        <v>335.02250849999996</v>
      </c>
      <c r="F21" s="9">
        <v>1761.8112399999998</v>
      </c>
      <c r="G21" s="9">
        <v>3896.9412514999995</v>
      </c>
      <c r="H21" s="9">
        <v>7650.9664839999996</v>
      </c>
    </row>
    <row r="22" spans="1:11" x14ac:dyDescent="0.25">
      <c r="A22" t="s">
        <v>181</v>
      </c>
      <c r="B22" s="4">
        <v>1</v>
      </c>
      <c r="C22" t="s">
        <v>175</v>
      </c>
      <c r="D22" s="9">
        <v>5993.7749999999996</v>
      </c>
      <c r="E22" s="9">
        <v>0</v>
      </c>
      <c r="F22" s="9">
        <v>1761.8112399999998</v>
      </c>
      <c r="G22" s="9">
        <v>4231.9637599999996</v>
      </c>
      <c r="H22" s="9">
        <v>5993.7749999999996</v>
      </c>
    </row>
    <row r="23" spans="1:11" x14ac:dyDescent="0.25">
      <c r="A23" t="s">
        <v>183</v>
      </c>
      <c r="B23" s="4">
        <v>0.77500000000000002</v>
      </c>
      <c r="C23" t="s">
        <v>190</v>
      </c>
      <c r="D23" s="9">
        <v>3673.4362500000002</v>
      </c>
      <c r="E23" s="9">
        <v>256.97294999999997</v>
      </c>
      <c r="F23" s="9">
        <v>1761.8112399999998</v>
      </c>
      <c r="G23" s="9">
        <v>1713.8533100000002</v>
      </c>
      <c r="H23" s="9">
        <v>5372.6732999999995</v>
      </c>
    </row>
    <row r="24" spans="1:11" x14ac:dyDescent="0.25">
      <c r="A24" t="s">
        <v>184</v>
      </c>
      <c r="B24" s="4">
        <v>1</v>
      </c>
      <c r="C24" t="s">
        <v>175</v>
      </c>
      <c r="D24" s="9">
        <v>5993.7749999999996</v>
      </c>
      <c r="E24" s="9">
        <v>335.02250849999996</v>
      </c>
      <c r="F24" s="9">
        <v>1761.8112399999998</v>
      </c>
      <c r="G24" s="9">
        <v>3896.9412514999995</v>
      </c>
      <c r="H24" s="9">
        <v>7650.9664839999996</v>
      </c>
    </row>
    <row r="25" spans="1:11" x14ac:dyDescent="0.25">
      <c r="A25" t="s">
        <v>185</v>
      </c>
      <c r="B25" s="4">
        <v>0.875</v>
      </c>
      <c r="C25" t="s">
        <v>190</v>
      </c>
      <c r="D25" s="9">
        <v>5170.2931249999992</v>
      </c>
      <c r="E25" s="9">
        <v>292.40079740625004</v>
      </c>
      <c r="F25" s="9">
        <v>1537.2681187499998</v>
      </c>
      <c r="G25" s="9">
        <v>3388.5278025937505</v>
      </c>
      <c r="H25" s="9">
        <v>6905.0932302500005</v>
      </c>
    </row>
    <row r="26" spans="1:11" x14ac:dyDescent="0.25">
      <c r="A26" t="s">
        <v>186</v>
      </c>
      <c r="B26" s="4">
        <v>1</v>
      </c>
      <c r="C26" t="s">
        <v>175</v>
      </c>
      <c r="D26" s="9">
        <v>5993.7749999999996</v>
      </c>
      <c r="E26" s="9">
        <v>335.02250849999996</v>
      </c>
      <c r="F26" s="9">
        <v>1761.8112399999998</v>
      </c>
      <c r="G26" s="9">
        <v>3896.9412514999995</v>
      </c>
      <c r="H26" s="9">
        <v>7650.9664839999996</v>
      </c>
    </row>
    <row r="27" spans="1:11" x14ac:dyDescent="0.25">
      <c r="A27" t="s">
        <v>187</v>
      </c>
      <c r="B27" s="4">
        <v>1</v>
      </c>
      <c r="C27" t="s">
        <v>175</v>
      </c>
      <c r="D27" s="9">
        <v>5993.7749999999996</v>
      </c>
      <c r="E27" s="9">
        <v>335.02250849999996</v>
      </c>
      <c r="F27" s="9">
        <v>1761.8112399999998</v>
      </c>
      <c r="G27" s="9">
        <v>3896.9412514999995</v>
      </c>
      <c r="H27" s="9">
        <v>7650.9664839999996</v>
      </c>
    </row>
    <row r="28" spans="1:11" x14ac:dyDescent="0.25">
      <c r="A28" t="s">
        <v>188</v>
      </c>
      <c r="B28" s="4">
        <v>1</v>
      </c>
      <c r="C28" t="s">
        <v>175</v>
      </c>
      <c r="D28" s="9">
        <v>5993.7749999999996</v>
      </c>
      <c r="E28" s="9">
        <v>0</v>
      </c>
      <c r="F28" s="9">
        <v>1725.1068391666665</v>
      </c>
      <c r="G28" s="9">
        <v>4268.6681608333329</v>
      </c>
      <c r="H28" s="9">
        <v>5993.7749999999996</v>
      </c>
    </row>
    <row r="29" spans="1:11" x14ac:dyDescent="0.25">
      <c r="A29" t="s">
        <v>189</v>
      </c>
      <c r="B29" s="4">
        <v>1</v>
      </c>
      <c r="C29" t="s">
        <v>175</v>
      </c>
      <c r="D29" s="9">
        <v>5993.7749999999996</v>
      </c>
      <c r="E29" s="9">
        <v>335.02250849999996</v>
      </c>
      <c r="F29" s="9">
        <v>1761.8112399999998</v>
      </c>
      <c r="G29" s="9">
        <v>3896.9412514999995</v>
      </c>
      <c r="H29" s="9">
        <v>7650.9664839999996</v>
      </c>
    </row>
    <row r="30" spans="1:11" x14ac:dyDescent="0.25">
      <c r="A30" s="45" t="s">
        <v>340</v>
      </c>
      <c r="B30" s="45"/>
      <c r="C30" s="45"/>
      <c r="D30" s="14">
        <v>80769.029374999984</v>
      </c>
      <c r="E30" s="14">
        <v>3899.59883240625</v>
      </c>
      <c r="F30" s="14">
        <v>24404.109837916658</v>
      </c>
      <c r="G30" s="14">
        <v>52572.425548427076</v>
      </c>
      <c r="H30" s="14">
        <v>100774.98137025</v>
      </c>
    </row>
    <row r="32" spans="1:11" x14ac:dyDescent="0.25">
      <c r="A32" s="55" t="s">
        <v>279</v>
      </c>
      <c r="B32" s="55"/>
      <c r="C32" s="55"/>
      <c r="D32" s="55"/>
      <c r="E32" s="55"/>
      <c r="F32" s="55"/>
      <c r="G32" s="55"/>
      <c r="H32" s="55"/>
      <c r="I32" s="55"/>
      <c r="J32" s="55"/>
      <c r="K32" s="55"/>
    </row>
    <row r="33" spans="1:11" ht="30" x14ac:dyDescent="0.25">
      <c r="A33" s="36" t="s">
        <v>341</v>
      </c>
      <c r="B33" s="37">
        <v>28800</v>
      </c>
      <c r="C33" s="37"/>
      <c r="D33" s="38" t="s">
        <v>342</v>
      </c>
      <c r="E33" s="37">
        <v>2400</v>
      </c>
      <c r="F33" s="37"/>
      <c r="G33" s="38" t="s">
        <v>343</v>
      </c>
      <c r="H33" s="37">
        <v>401.74021328124996</v>
      </c>
      <c r="I33" s="39"/>
      <c r="J33" s="39"/>
      <c r="K33" s="39"/>
    </row>
    <row r="34" spans="1:11" x14ac:dyDescent="0.25">
      <c r="A34" s="39"/>
      <c r="B34" s="39"/>
      <c r="C34" s="39"/>
      <c r="D34" s="39"/>
      <c r="E34" s="39"/>
      <c r="F34" s="39"/>
      <c r="G34" s="39"/>
      <c r="H34" s="39"/>
      <c r="I34" s="39"/>
      <c r="J34" s="39"/>
      <c r="K34" s="39"/>
    </row>
    <row r="35" spans="1:11" ht="33.950000000000003" customHeight="1" x14ac:dyDescent="0.25">
      <c r="A35" s="33" t="s">
        <v>150</v>
      </c>
      <c r="B35" s="33" t="s">
        <v>344</v>
      </c>
      <c r="C35" s="33" t="s">
        <v>345</v>
      </c>
      <c r="D35" s="33" t="s">
        <v>346</v>
      </c>
      <c r="E35" s="33" t="s">
        <v>347</v>
      </c>
      <c r="F35" s="33" t="s">
        <v>348</v>
      </c>
      <c r="G35" s="33" t="s">
        <v>349</v>
      </c>
      <c r="H35" s="33" t="s">
        <v>327</v>
      </c>
      <c r="I35" s="33" t="s">
        <v>328</v>
      </c>
      <c r="J35" s="33" t="s">
        <v>350</v>
      </c>
      <c r="K35" s="33" t="s">
        <v>351</v>
      </c>
    </row>
    <row r="36" spans="1:11" x14ac:dyDescent="0.25">
      <c r="A36" s="39" t="s">
        <v>173</v>
      </c>
      <c r="B36" s="37">
        <v>2400</v>
      </c>
      <c r="C36" s="37">
        <v>6682.0349999999999</v>
      </c>
      <c r="D36" s="37">
        <v>9290.0249999999996</v>
      </c>
      <c r="E36" s="37">
        <v>335.02250849999996</v>
      </c>
      <c r="F36" s="37">
        <v>340.76397599999996</v>
      </c>
      <c r="G36" s="37">
        <v>5.7414674999999988</v>
      </c>
      <c r="H36" s="37">
        <v>1657.1914839999999</v>
      </c>
      <c r="I36" s="37">
        <v>1686.1402889999999</v>
      </c>
      <c r="J36" s="37">
        <v>28.948804999999993</v>
      </c>
      <c r="K36" s="37">
        <v>34.690272499999992</v>
      </c>
    </row>
    <row r="37" spans="1:11" x14ac:dyDescent="0.25">
      <c r="A37" s="39" t="s">
        <v>176</v>
      </c>
      <c r="B37" s="37">
        <v>2400</v>
      </c>
      <c r="C37" s="37">
        <v>6682.0349999999999</v>
      </c>
      <c r="D37" s="37">
        <v>9290.0249999999996</v>
      </c>
      <c r="E37" s="37">
        <v>335.02250849999996</v>
      </c>
      <c r="F37" s="37">
        <v>340.76397599999996</v>
      </c>
      <c r="G37" s="37">
        <v>5.7414674999999988</v>
      </c>
      <c r="H37" s="37">
        <v>1657.1914839999999</v>
      </c>
      <c r="I37" s="37">
        <v>1686.1402889999999</v>
      </c>
      <c r="J37" s="37">
        <v>28.948804999999993</v>
      </c>
      <c r="K37" s="37">
        <v>34.690272499999992</v>
      </c>
    </row>
    <row r="38" spans="1:11" x14ac:dyDescent="0.25">
      <c r="A38" s="39" t="s">
        <v>177</v>
      </c>
      <c r="B38" s="37">
        <v>2400</v>
      </c>
      <c r="C38" s="37">
        <v>6682.0349999999999</v>
      </c>
      <c r="D38" s="37">
        <v>9290.0249999999996</v>
      </c>
      <c r="E38" s="37">
        <v>335.02250849999996</v>
      </c>
      <c r="F38" s="37">
        <v>340.76397599999996</v>
      </c>
      <c r="G38" s="37">
        <v>5.7414674999999988</v>
      </c>
      <c r="H38" s="37">
        <v>1657.1914839999999</v>
      </c>
      <c r="I38" s="37">
        <v>1686.1402889999999</v>
      </c>
      <c r="J38" s="37">
        <v>28.948804999999993</v>
      </c>
      <c r="K38" s="37">
        <v>34.690272499999992</v>
      </c>
    </row>
    <row r="39" spans="1:11" x14ac:dyDescent="0.25">
      <c r="A39" s="39" t="s">
        <v>178</v>
      </c>
      <c r="B39" s="37">
        <v>2400</v>
      </c>
      <c r="C39" s="37">
        <v>6682.0349999999999</v>
      </c>
      <c r="D39" s="37">
        <v>9290.0249999999996</v>
      </c>
      <c r="E39" s="37">
        <v>335.02250849999996</v>
      </c>
      <c r="F39" s="37">
        <v>340.76397599999996</v>
      </c>
      <c r="G39" s="37">
        <v>5.7414674999999988</v>
      </c>
      <c r="H39" s="37">
        <v>1657.1914839999999</v>
      </c>
      <c r="I39" s="37">
        <v>1686.1402889999999</v>
      </c>
      <c r="J39" s="37">
        <v>28.948804999999993</v>
      </c>
      <c r="K39" s="37">
        <v>34.690272499999992</v>
      </c>
    </row>
    <row r="40" spans="1:11" x14ac:dyDescent="0.25">
      <c r="A40" s="39" t="s">
        <v>179</v>
      </c>
      <c r="B40" s="37">
        <v>2400</v>
      </c>
      <c r="C40" s="37">
        <v>6682.0349999999999</v>
      </c>
      <c r="D40" s="37">
        <v>9290.0249999999996</v>
      </c>
      <c r="E40" s="37">
        <v>335.02250849999996</v>
      </c>
      <c r="F40" s="37">
        <v>340.76397599999996</v>
      </c>
      <c r="G40" s="37">
        <v>5.7414674999999988</v>
      </c>
      <c r="H40" s="37">
        <v>1657.1914839999999</v>
      </c>
      <c r="I40" s="37">
        <v>1686.1402889999999</v>
      </c>
      <c r="J40" s="37">
        <v>28.948804999999993</v>
      </c>
      <c r="K40" s="37">
        <v>34.690272499999992</v>
      </c>
    </row>
    <row r="41" spans="1:11" x14ac:dyDescent="0.25">
      <c r="A41" s="39" t="s">
        <v>180</v>
      </c>
      <c r="B41" s="37">
        <v>2400</v>
      </c>
      <c r="C41" s="37">
        <v>6682.0349999999999</v>
      </c>
      <c r="D41" s="37">
        <v>9290.0249999999996</v>
      </c>
      <c r="E41" s="37">
        <v>335.02250849999996</v>
      </c>
      <c r="F41" s="37">
        <v>340.76397599999996</v>
      </c>
      <c r="G41" s="37">
        <v>5.7414674999999988</v>
      </c>
      <c r="H41" s="37">
        <v>1657.1914839999999</v>
      </c>
      <c r="I41" s="37">
        <v>1686.1402889999999</v>
      </c>
      <c r="J41" s="37">
        <v>28.948804999999993</v>
      </c>
      <c r="K41" s="37">
        <v>34.690272499999992</v>
      </c>
    </row>
    <row r="42" spans="1:11" x14ac:dyDescent="0.25">
      <c r="A42" s="39" t="s">
        <v>183</v>
      </c>
      <c r="B42" s="37">
        <v>2400</v>
      </c>
      <c r="C42" s="37">
        <v>4278.6756249999999</v>
      </c>
      <c r="D42" s="37">
        <v>6847.7437499999996</v>
      </c>
      <c r="E42" s="37">
        <v>256.97294999999997</v>
      </c>
      <c r="F42" s="37">
        <v>260.53866787499999</v>
      </c>
      <c r="G42" s="37">
        <v>3.5657178750000185</v>
      </c>
      <c r="H42" s="37">
        <v>1640.0357999999999</v>
      </c>
      <c r="I42" s="37">
        <v>1657.791759</v>
      </c>
      <c r="J42" s="37">
        <v>17.755959000000075</v>
      </c>
      <c r="K42" s="37">
        <v>21.321676875000094</v>
      </c>
    </row>
    <row r="43" spans="1:11" x14ac:dyDescent="0.25">
      <c r="A43" s="39" t="s">
        <v>184</v>
      </c>
      <c r="B43" s="37">
        <v>2400</v>
      </c>
      <c r="C43" s="37">
        <v>6682.0349999999999</v>
      </c>
      <c r="D43" s="37">
        <v>9290.0249999999996</v>
      </c>
      <c r="E43" s="37">
        <v>335.02250849999996</v>
      </c>
      <c r="F43" s="37">
        <v>340.76397599999996</v>
      </c>
      <c r="G43" s="37">
        <v>5.7414674999999988</v>
      </c>
      <c r="H43" s="37">
        <v>1657.1914839999999</v>
      </c>
      <c r="I43" s="37">
        <v>1686.1402889999999</v>
      </c>
      <c r="J43" s="37">
        <v>28.948804999999993</v>
      </c>
      <c r="K43" s="37">
        <v>34.690272499999992</v>
      </c>
    </row>
    <row r="44" spans="1:11" x14ac:dyDescent="0.25">
      <c r="A44" s="39" t="s">
        <v>185</v>
      </c>
      <c r="B44" s="37">
        <v>2400</v>
      </c>
      <c r="C44" s="37">
        <v>6131.8086458333328</v>
      </c>
      <c r="D44" s="37">
        <v>8730.7578125</v>
      </c>
      <c r="E44" s="37">
        <v>292.40079740625004</v>
      </c>
      <c r="F44" s="37">
        <v>297.97448475000004</v>
      </c>
      <c r="G44" s="37">
        <v>5.5736873437500094</v>
      </c>
      <c r="H44" s="37">
        <v>1651.3751052499999</v>
      </c>
      <c r="I44" s="37">
        <v>1679.3172293124999</v>
      </c>
      <c r="J44" s="37">
        <v>27.942124062499943</v>
      </c>
      <c r="K44" s="37">
        <v>33.515811406249952</v>
      </c>
    </row>
    <row r="45" spans="1:11" x14ac:dyDescent="0.25">
      <c r="A45" s="39" t="s">
        <v>186</v>
      </c>
      <c r="B45" s="37">
        <v>2400</v>
      </c>
      <c r="C45" s="37">
        <v>6682.0349999999999</v>
      </c>
      <c r="D45" s="37">
        <v>9290.0249999999996</v>
      </c>
      <c r="E45" s="37">
        <v>335.02250849999996</v>
      </c>
      <c r="F45" s="37">
        <v>340.76397599999996</v>
      </c>
      <c r="G45" s="37">
        <v>5.7414674999999988</v>
      </c>
      <c r="H45" s="37">
        <v>1657.1914839999999</v>
      </c>
      <c r="I45" s="37">
        <v>1686.1402889999999</v>
      </c>
      <c r="J45" s="37">
        <v>28.948804999999993</v>
      </c>
      <c r="K45" s="37">
        <v>34.690272499999992</v>
      </c>
    </row>
    <row r="46" spans="1:11" x14ac:dyDescent="0.25">
      <c r="A46" s="39" t="s">
        <v>187</v>
      </c>
      <c r="B46" s="37">
        <v>2400</v>
      </c>
      <c r="C46" s="37">
        <v>6682.0349999999999</v>
      </c>
      <c r="D46" s="37">
        <v>9290.0249999999996</v>
      </c>
      <c r="E46" s="37">
        <v>335.02250849999996</v>
      </c>
      <c r="F46" s="37">
        <v>340.76397599999996</v>
      </c>
      <c r="G46" s="37">
        <v>5.7414674999999988</v>
      </c>
      <c r="H46" s="37">
        <v>1657.1914839999999</v>
      </c>
      <c r="I46" s="37">
        <v>1686.1402889999999</v>
      </c>
      <c r="J46" s="37">
        <v>28.948804999999993</v>
      </c>
      <c r="K46" s="37">
        <v>34.690272499999992</v>
      </c>
    </row>
    <row r="47" spans="1:11" x14ac:dyDescent="0.25">
      <c r="A47" s="39" t="s">
        <v>189</v>
      </c>
      <c r="B47" s="37">
        <v>2400</v>
      </c>
      <c r="C47" s="37">
        <v>6682.0349999999999</v>
      </c>
      <c r="D47" s="37">
        <v>9290.0249999999996</v>
      </c>
      <c r="E47" s="37">
        <v>335.02250849999996</v>
      </c>
      <c r="F47" s="37">
        <v>340.76397599999996</v>
      </c>
      <c r="G47" s="37">
        <v>5.7414674999999988</v>
      </c>
      <c r="H47" s="37">
        <v>1657.1914839999999</v>
      </c>
      <c r="I47" s="37">
        <v>1686.1402889999999</v>
      </c>
      <c r="J47" s="37">
        <v>28.948804999999993</v>
      </c>
      <c r="K47" s="37">
        <v>34.690272499999992</v>
      </c>
    </row>
    <row r="48" spans="1:11" x14ac:dyDescent="0.25">
      <c r="A48" s="40" t="s">
        <v>352</v>
      </c>
      <c r="B48" s="41">
        <f t="shared" ref="B48:K48" si="0">SUM(B36:B47)</f>
        <v>28800</v>
      </c>
      <c r="C48" s="41">
        <f t="shared" si="0"/>
        <v>77230.834270833351</v>
      </c>
      <c r="D48" s="41">
        <f t="shared" si="0"/>
        <v>108478.75156249998</v>
      </c>
      <c r="E48" s="41">
        <f t="shared" si="0"/>
        <v>3899.59883240625</v>
      </c>
      <c r="F48" s="41">
        <f t="shared" si="0"/>
        <v>3966.1529126249998</v>
      </c>
      <c r="G48" s="41">
        <f t="shared" si="0"/>
        <v>66.554080218750016</v>
      </c>
      <c r="H48" s="41">
        <f t="shared" si="0"/>
        <v>19863.325745249997</v>
      </c>
      <c r="I48" s="41">
        <f t="shared" si="0"/>
        <v>20198.511878312493</v>
      </c>
      <c r="J48" s="41">
        <f t="shared" si="0"/>
        <v>335.18613306249995</v>
      </c>
      <c r="K48" s="41">
        <f t="shared" si="0"/>
        <v>401.74021328124996</v>
      </c>
    </row>
  </sheetData>
  <mergeCells count="4">
    <mergeCell ref="A1:H1"/>
    <mergeCell ref="D5:H5"/>
    <mergeCell ref="A30:C30"/>
    <mergeCell ref="A32:K32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K48"/>
  <sheetViews>
    <sheetView workbookViewId="0"/>
  </sheetViews>
  <sheetFormatPr baseColWidth="10" defaultColWidth="9.140625" defaultRowHeight="15" x14ac:dyDescent="0.25"/>
  <cols>
    <col min="1" max="1" width="18" customWidth="1"/>
    <col min="2" max="11" width="16" customWidth="1"/>
  </cols>
  <sheetData>
    <row r="1" spans="1:8" ht="26.1" customHeight="1" x14ac:dyDescent="0.3">
      <c r="A1" s="46" t="s">
        <v>332</v>
      </c>
      <c r="B1" s="46"/>
      <c r="C1" s="46"/>
      <c r="D1" s="46"/>
      <c r="E1" s="46"/>
      <c r="F1" s="46"/>
      <c r="G1" s="46"/>
      <c r="H1" s="46"/>
    </row>
    <row r="3" spans="1:8" x14ac:dyDescent="0.25">
      <c r="A3" t="s">
        <v>149</v>
      </c>
      <c r="B3" s="13" t="s">
        <v>118</v>
      </c>
    </row>
    <row r="5" spans="1:8" x14ac:dyDescent="0.25">
      <c r="A5" t="s">
        <v>74</v>
      </c>
      <c r="B5" t="s">
        <v>119</v>
      </c>
      <c r="D5" s="54" t="s">
        <v>333</v>
      </c>
      <c r="E5" s="54"/>
      <c r="F5" s="54"/>
      <c r="G5" s="54"/>
      <c r="H5" s="54"/>
    </row>
    <row r="6" spans="1:8" x14ac:dyDescent="0.25">
      <c r="A6" t="s">
        <v>334</v>
      </c>
      <c r="B6">
        <v>1964</v>
      </c>
      <c r="D6" t="s">
        <v>335</v>
      </c>
      <c r="E6" s="9">
        <v>106986.15899999997</v>
      </c>
    </row>
    <row r="7" spans="1:8" x14ac:dyDescent="0.25">
      <c r="A7" t="s">
        <v>76</v>
      </c>
      <c r="B7" s="1">
        <v>42020</v>
      </c>
      <c r="D7" t="s">
        <v>336</v>
      </c>
      <c r="E7" s="9">
        <v>4078.3817736000005</v>
      </c>
    </row>
    <row r="8" spans="1:8" x14ac:dyDescent="0.25">
      <c r="A8" t="s">
        <v>77</v>
      </c>
      <c r="B8" s="4">
        <v>0.33389999999999997</v>
      </c>
      <c r="D8" t="s">
        <v>77</v>
      </c>
      <c r="E8" s="9">
        <v>35294.733854099999</v>
      </c>
    </row>
    <row r="9" spans="1:8" x14ac:dyDescent="0.25">
      <c r="A9" t="s">
        <v>78</v>
      </c>
      <c r="B9" s="4">
        <v>1</v>
      </c>
      <c r="D9" t="s">
        <v>337</v>
      </c>
      <c r="E9" s="9">
        <v>67613.043372299988</v>
      </c>
    </row>
    <row r="10" spans="1:8" x14ac:dyDescent="0.25">
      <c r="A10" t="s">
        <v>79</v>
      </c>
      <c r="B10" t="s">
        <v>141</v>
      </c>
      <c r="D10" t="s">
        <v>338</v>
      </c>
      <c r="E10" s="9">
        <v>20178.854947800002</v>
      </c>
    </row>
    <row r="11" spans="1:8" x14ac:dyDescent="0.25">
      <c r="A11" t="s">
        <v>82</v>
      </c>
      <c r="B11" s="9">
        <v>6290.79</v>
      </c>
      <c r="D11" t="s">
        <v>267</v>
      </c>
      <c r="E11" s="9">
        <v>127165.01394779999</v>
      </c>
    </row>
    <row r="12" spans="1:8" x14ac:dyDescent="0.25">
      <c r="A12" t="s">
        <v>81</v>
      </c>
      <c r="B12" s="4">
        <v>1.4999999999999999E-2</v>
      </c>
    </row>
    <row r="13" spans="1:8" x14ac:dyDescent="0.25">
      <c r="A13" s="35" t="s">
        <v>90</v>
      </c>
      <c r="B13" s="34">
        <v>91980</v>
      </c>
    </row>
    <row r="15" spans="1:8" x14ac:dyDescent="0.25">
      <c r="A15" s="6" t="s">
        <v>150</v>
      </c>
      <c r="B15" s="6" t="s">
        <v>339</v>
      </c>
      <c r="C15" s="6" t="s">
        <v>165</v>
      </c>
      <c r="D15" s="6" t="s">
        <v>94</v>
      </c>
      <c r="E15" s="6" t="s">
        <v>336</v>
      </c>
      <c r="F15" s="6" t="s">
        <v>77</v>
      </c>
      <c r="G15" s="6" t="s">
        <v>95</v>
      </c>
      <c r="H15" s="6" t="s">
        <v>267</v>
      </c>
    </row>
    <row r="16" spans="1:8" x14ac:dyDescent="0.25">
      <c r="A16" t="s">
        <v>173</v>
      </c>
      <c r="B16" s="4">
        <v>1</v>
      </c>
      <c r="C16" t="s">
        <v>175</v>
      </c>
      <c r="D16" s="9">
        <v>7641.8684999999996</v>
      </c>
      <c r="E16" s="9">
        <v>339.86514779999999</v>
      </c>
      <c r="F16" s="9">
        <v>2521.05241815</v>
      </c>
      <c r="G16" s="9">
        <v>4780.950934049999</v>
      </c>
      <c r="H16" s="9">
        <v>9323.4397456499992</v>
      </c>
    </row>
    <row r="17" spans="1:11" x14ac:dyDescent="0.25">
      <c r="A17" t="s">
        <v>176</v>
      </c>
      <c r="B17" s="4">
        <v>1</v>
      </c>
      <c r="C17" t="s">
        <v>175</v>
      </c>
      <c r="D17" s="9">
        <v>7641.8684999999996</v>
      </c>
      <c r="E17" s="9">
        <v>339.86514779999999</v>
      </c>
      <c r="F17" s="9">
        <v>2521.05241815</v>
      </c>
      <c r="G17" s="9">
        <v>4780.950934049999</v>
      </c>
      <c r="H17" s="9">
        <v>9323.4397456499992</v>
      </c>
    </row>
    <row r="18" spans="1:11" x14ac:dyDescent="0.25">
      <c r="A18" t="s">
        <v>177</v>
      </c>
      <c r="B18" s="4">
        <v>1</v>
      </c>
      <c r="C18" t="s">
        <v>175</v>
      </c>
      <c r="D18" s="9">
        <v>7641.8684999999996</v>
      </c>
      <c r="E18" s="9">
        <v>339.86514779999999</v>
      </c>
      <c r="F18" s="9">
        <v>2521.05241815</v>
      </c>
      <c r="G18" s="9">
        <v>4780.950934049999</v>
      </c>
      <c r="H18" s="9">
        <v>9323.4397456499992</v>
      </c>
    </row>
    <row r="19" spans="1:11" x14ac:dyDescent="0.25">
      <c r="A19" t="s">
        <v>178</v>
      </c>
      <c r="B19" s="4">
        <v>1</v>
      </c>
      <c r="C19" t="s">
        <v>175</v>
      </c>
      <c r="D19" s="9">
        <v>7641.8684999999996</v>
      </c>
      <c r="E19" s="9">
        <v>339.86514779999999</v>
      </c>
      <c r="F19" s="9">
        <v>2521.05241815</v>
      </c>
      <c r="G19" s="9">
        <v>4780.950934049999</v>
      </c>
      <c r="H19" s="9">
        <v>9323.4397456499992</v>
      </c>
    </row>
    <row r="20" spans="1:11" x14ac:dyDescent="0.25">
      <c r="A20" t="s">
        <v>179</v>
      </c>
      <c r="B20" s="4">
        <v>1</v>
      </c>
      <c r="C20" t="s">
        <v>175</v>
      </c>
      <c r="D20" s="9">
        <v>7641.8684999999996</v>
      </c>
      <c r="E20" s="9">
        <v>339.86514779999999</v>
      </c>
      <c r="F20" s="9">
        <v>2521.05241815</v>
      </c>
      <c r="G20" s="9">
        <v>4780.950934049999</v>
      </c>
      <c r="H20" s="9">
        <v>9323.4397456499992</v>
      </c>
    </row>
    <row r="21" spans="1:11" x14ac:dyDescent="0.25">
      <c r="A21" t="s">
        <v>180</v>
      </c>
      <c r="B21" s="4">
        <v>1</v>
      </c>
      <c r="C21" t="s">
        <v>175</v>
      </c>
      <c r="D21" s="9">
        <v>7641.8684999999996</v>
      </c>
      <c r="E21" s="9">
        <v>339.86514779999999</v>
      </c>
      <c r="F21" s="9">
        <v>2521.05241815</v>
      </c>
      <c r="G21" s="9">
        <v>4780.950934049999</v>
      </c>
      <c r="H21" s="9">
        <v>9323.4397456499992</v>
      </c>
    </row>
    <row r="22" spans="1:11" x14ac:dyDescent="0.25">
      <c r="A22" t="s">
        <v>181</v>
      </c>
      <c r="B22" s="4">
        <v>1</v>
      </c>
      <c r="C22" t="s">
        <v>175</v>
      </c>
      <c r="D22" s="9">
        <v>7641.8684999999996</v>
      </c>
      <c r="E22" s="9">
        <v>0</v>
      </c>
      <c r="F22" s="9">
        <v>2521.05241815</v>
      </c>
      <c r="G22" s="9">
        <v>5120.81608185</v>
      </c>
      <c r="H22" s="9">
        <v>7641.8684999999996</v>
      </c>
    </row>
    <row r="23" spans="1:11" x14ac:dyDescent="0.25">
      <c r="A23" t="s">
        <v>183</v>
      </c>
      <c r="B23" s="4">
        <v>1</v>
      </c>
      <c r="C23" t="s">
        <v>175</v>
      </c>
      <c r="D23" s="9">
        <v>7641.8684999999996</v>
      </c>
      <c r="E23" s="9">
        <v>339.86514779999999</v>
      </c>
      <c r="F23" s="9">
        <v>2521.05241815</v>
      </c>
      <c r="G23" s="9">
        <v>4780.950934049999</v>
      </c>
      <c r="H23" s="9">
        <v>9323.4397456499992</v>
      </c>
    </row>
    <row r="24" spans="1:11" x14ac:dyDescent="0.25">
      <c r="A24" t="s">
        <v>184</v>
      </c>
      <c r="B24" s="4">
        <v>1</v>
      </c>
      <c r="C24" t="s">
        <v>175</v>
      </c>
      <c r="D24" s="9">
        <v>7641.8684999999996</v>
      </c>
      <c r="E24" s="9">
        <v>339.86514779999999</v>
      </c>
      <c r="F24" s="9">
        <v>2521.05241815</v>
      </c>
      <c r="G24" s="9">
        <v>4780.950934049999</v>
      </c>
      <c r="H24" s="9">
        <v>9323.4397456499992</v>
      </c>
    </row>
    <row r="25" spans="1:11" x14ac:dyDescent="0.25">
      <c r="A25" t="s">
        <v>185</v>
      </c>
      <c r="B25" s="4">
        <v>1</v>
      </c>
      <c r="C25" t="s">
        <v>175</v>
      </c>
      <c r="D25" s="9">
        <v>7641.8684999999996</v>
      </c>
      <c r="E25" s="9">
        <v>339.86514779999999</v>
      </c>
      <c r="F25" s="9">
        <v>2521.05241815</v>
      </c>
      <c r="G25" s="9">
        <v>4780.950934049999</v>
      </c>
      <c r="H25" s="9">
        <v>9323.4397456499992</v>
      </c>
    </row>
    <row r="26" spans="1:11" x14ac:dyDescent="0.25">
      <c r="A26" t="s">
        <v>186</v>
      </c>
      <c r="B26" s="4">
        <v>1</v>
      </c>
      <c r="C26" t="s">
        <v>175</v>
      </c>
      <c r="D26" s="9">
        <v>7641.8684999999996</v>
      </c>
      <c r="E26" s="9">
        <v>339.86514779999999</v>
      </c>
      <c r="F26" s="9">
        <v>2521.05241815</v>
      </c>
      <c r="G26" s="9">
        <v>4780.950934049999</v>
      </c>
      <c r="H26" s="9">
        <v>9323.4397456499992</v>
      </c>
    </row>
    <row r="27" spans="1:11" x14ac:dyDescent="0.25">
      <c r="A27" t="s">
        <v>187</v>
      </c>
      <c r="B27" s="4">
        <v>1</v>
      </c>
      <c r="C27" t="s">
        <v>175</v>
      </c>
      <c r="D27" s="9">
        <v>7641.8684999999996</v>
      </c>
      <c r="E27" s="9">
        <v>339.86514779999999</v>
      </c>
      <c r="F27" s="9">
        <v>2521.05241815</v>
      </c>
      <c r="G27" s="9">
        <v>4780.950934049999</v>
      </c>
      <c r="H27" s="9">
        <v>9323.4397456499992</v>
      </c>
    </row>
    <row r="28" spans="1:11" x14ac:dyDescent="0.25">
      <c r="A28" t="s">
        <v>188</v>
      </c>
      <c r="B28" s="4">
        <v>1</v>
      </c>
      <c r="C28" t="s">
        <v>175</v>
      </c>
      <c r="D28" s="9">
        <v>7641.8684999999996</v>
      </c>
      <c r="E28" s="9">
        <v>0</v>
      </c>
      <c r="F28" s="9">
        <v>2521.05241815</v>
      </c>
      <c r="G28" s="9">
        <v>5120.81608185</v>
      </c>
      <c r="H28" s="9">
        <v>7641.8684999999996</v>
      </c>
    </row>
    <row r="29" spans="1:11" x14ac:dyDescent="0.25">
      <c r="A29" t="s">
        <v>189</v>
      </c>
      <c r="B29" s="4">
        <v>1</v>
      </c>
      <c r="C29" t="s">
        <v>175</v>
      </c>
      <c r="D29" s="9">
        <v>7641.8684999999996</v>
      </c>
      <c r="E29" s="9">
        <v>339.86514779999999</v>
      </c>
      <c r="F29" s="9">
        <v>2521.05241815</v>
      </c>
      <c r="G29" s="9">
        <v>4780.950934049999</v>
      </c>
      <c r="H29" s="9">
        <v>9323.4397456499992</v>
      </c>
    </row>
    <row r="30" spans="1:11" x14ac:dyDescent="0.25">
      <c r="A30" s="45" t="s">
        <v>340</v>
      </c>
      <c r="B30" s="45"/>
      <c r="C30" s="45"/>
      <c r="D30" s="14">
        <v>106986.15899999997</v>
      </c>
      <c r="E30" s="14">
        <v>4078.3817736000005</v>
      </c>
      <c r="F30" s="14">
        <v>35294.733854099999</v>
      </c>
      <c r="G30" s="14">
        <v>67613.043372299988</v>
      </c>
      <c r="H30" s="14">
        <v>127165.01394779999</v>
      </c>
    </row>
    <row r="32" spans="1:11" x14ac:dyDescent="0.25">
      <c r="A32" s="55" t="s">
        <v>279</v>
      </c>
      <c r="B32" s="55"/>
      <c r="C32" s="55"/>
      <c r="D32" s="55"/>
      <c r="E32" s="55"/>
      <c r="F32" s="55"/>
      <c r="G32" s="55"/>
      <c r="H32" s="55"/>
      <c r="I32" s="55"/>
      <c r="J32" s="55"/>
      <c r="K32" s="55"/>
    </row>
    <row r="33" spans="1:11" ht="30" x14ac:dyDescent="0.25">
      <c r="A33" s="36" t="s">
        <v>341</v>
      </c>
      <c r="B33" s="37">
        <v>91980</v>
      </c>
      <c r="C33" s="37"/>
      <c r="D33" s="38" t="s">
        <v>342</v>
      </c>
      <c r="E33" s="37">
        <v>7665</v>
      </c>
      <c r="F33" s="37"/>
      <c r="G33" s="38" t="s">
        <v>343</v>
      </c>
      <c r="H33" s="37">
        <v>1278.9599999999991</v>
      </c>
      <c r="I33" s="39"/>
      <c r="J33" s="39"/>
      <c r="K33" s="39"/>
    </row>
    <row r="34" spans="1:11" x14ac:dyDescent="0.25">
      <c r="A34" s="39"/>
      <c r="B34" s="39"/>
      <c r="C34" s="39"/>
      <c r="D34" s="39"/>
      <c r="E34" s="39"/>
      <c r="F34" s="39"/>
      <c r="G34" s="39"/>
      <c r="H34" s="39"/>
      <c r="I34" s="39"/>
      <c r="J34" s="39"/>
      <c r="K34" s="39"/>
    </row>
    <row r="35" spans="1:11" ht="33.950000000000003" customHeight="1" x14ac:dyDescent="0.25">
      <c r="A35" s="33" t="s">
        <v>150</v>
      </c>
      <c r="B35" s="33" t="s">
        <v>344</v>
      </c>
      <c r="C35" s="33" t="s">
        <v>345</v>
      </c>
      <c r="D35" s="33" t="s">
        <v>346</v>
      </c>
      <c r="E35" s="33" t="s">
        <v>347</v>
      </c>
      <c r="F35" s="33" t="s">
        <v>348</v>
      </c>
      <c r="G35" s="33" t="s">
        <v>349</v>
      </c>
      <c r="H35" s="33" t="s">
        <v>327</v>
      </c>
      <c r="I35" s="33" t="s">
        <v>328</v>
      </c>
      <c r="J35" s="33" t="s">
        <v>350</v>
      </c>
      <c r="K35" s="33" t="s">
        <v>351</v>
      </c>
    </row>
    <row r="36" spans="1:11" x14ac:dyDescent="0.25">
      <c r="A36" s="39" t="s">
        <v>173</v>
      </c>
      <c r="B36" s="37">
        <v>7665</v>
      </c>
      <c r="C36" s="37">
        <v>9174.0687500000004</v>
      </c>
      <c r="D36" s="37">
        <v>16215.51325</v>
      </c>
      <c r="E36" s="37">
        <v>339.86514779999999</v>
      </c>
      <c r="F36" s="37">
        <v>357.38514779999997</v>
      </c>
      <c r="G36" s="37">
        <v>17.519999999999982</v>
      </c>
      <c r="H36" s="37">
        <v>1681.5712456499998</v>
      </c>
      <c r="I36" s="37">
        <v>1770.6312456499998</v>
      </c>
      <c r="J36" s="37">
        <v>89.059999999999945</v>
      </c>
      <c r="K36" s="37">
        <v>106.57999999999993</v>
      </c>
    </row>
    <row r="37" spans="1:11" x14ac:dyDescent="0.25">
      <c r="A37" s="39" t="s">
        <v>176</v>
      </c>
      <c r="B37" s="37">
        <v>7665</v>
      </c>
      <c r="C37" s="37">
        <v>9174.0687500000004</v>
      </c>
      <c r="D37" s="37">
        <v>16215.51325</v>
      </c>
      <c r="E37" s="37">
        <v>339.86514779999999</v>
      </c>
      <c r="F37" s="37">
        <v>357.38514779999997</v>
      </c>
      <c r="G37" s="37">
        <v>17.519999999999982</v>
      </c>
      <c r="H37" s="37">
        <v>1681.5712456499998</v>
      </c>
      <c r="I37" s="37">
        <v>1770.6312456499998</v>
      </c>
      <c r="J37" s="37">
        <v>89.059999999999945</v>
      </c>
      <c r="K37" s="37">
        <v>106.57999999999993</v>
      </c>
    </row>
    <row r="38" spans="1:11" x14ac:dyDescent="0.25">
      <c r="A38" s="39" t="s">
        <v>177</v>
      </c>
      <c r="B38" s="37">
        <v>7665</v>
      </c>
      <c r="C38" s="37">
        <v>9174.0687500000004</v>
      </c>
      <c r="D38" s="37">
        <v>16215.51325</v>
      </c>
      <c r="E38" s="37">
        <v>339.86514779999999</v>
      </c>
      <c r="F38" s="37">
        <v>357.38514779999997</v>
      </c>
      <c r="G38" s="37">
        <v>17.519999999999982</v>
      </c>
      <c r="H38" s="37">
        <v>1681.5712456499998</v>
      </c>
      <c r="I38" s="37">
        <v>1770.6312456499998</v>
      </c>
      <c r="J38" s="37">
        <v>89.059999999999945</v>
      </c>
      <c r="K38" s="37">
        <v>106.57999999999993</v>
      </c>
    </row>
    <row r="39" spans="1:11" x14ac:dyDescent="0.25">
      <c r="A39" s="39" t="s">
        <v>178</v>
      </c>
      <c r="B39" s="37">
        <v>7665</v>
      </c>
      <c r="C39" s="37">
        <v>9174.0687500000004</v>
      </c>
      <c r="D39" s="37">
        <v>16215.51325</v>
      </c>
      <c r="E39" s="37">
        <v>339.86514779999999</v>
      </c>
      <c r="F39" s="37">
        <v>357.38514779999997</v>
      </c>
      <c r="G39" s="37">
        <v>17.519999999999982</v>
      </c>
      <c r="H39" s="37">
        <v>1681.5712456499998</v>
      </c>
      <c r="I39" s="37">
        <v>1770.6312456499998</v>
      </c>
      <c r="J39" s="37">
        <v>89.059999999999945</v>
      </c>
      <c r="K39" s="37">
        <v>106.57999999999993</v>
      </c>
    </row>
    <row r="40" spans="1:11" x14ac:dyDescent="0.25">
      <c r="A40" s="39" t="s">
        <v>179</v>
      </c>
      <c r="B40" s="37">
        <v>7665</v>
      </c>
      <c r="C40" s="37">
        <v>9174.0687500000004</v>
      </c>
      <c r="D40" s="37">
        <v>16215.51325</v>
      </c>
      <c r="E40" s="37">
        <v>339.86514779999999</v>
      </c>
      <c r="F40" s="37">
        <v>357.38514779999997</v>
      </c>
      <c r="G40" s="37">
        <v>17.519999999999982</v>
      </c>
      <c r="H40" s="37">
        <v>1681.5712456499998</v>
      </c>
      <c r="I40" s="37">
        <v>1770.6312456499998</v>
      </c>
      <c r="J40" s="37">
        <v>89.059999999999945</v>
      </c>
      <c r="K40" s="37">
        <v>106.57999999999993</v>
      </c>
    </row>
    <row r="41" spans="1:11" x14ac:dyDescent="0.25">
      <c r="A41" s="39" t="s">
        <v>180</v>
      </c>
      <c r="B41" s="37">
        <v>7665</v>
      </c>
      <c r="C41" s="37">
        <v>9174.0687500000004</v>
      </c>
      <c r="D41" s="37">
        <v>16215.51325</v>
      </c>
      <c r="E41" s="37">
        <v>339.86514779999999</v>
      </c>
      <c r="F41" s="37">
        <v>357.38514779999997</v>
      </c>
      <c r="G41" s="37">
        <v>17.519999999999982</v>
      </c>
      <c r="H41" s="37">
        <v>1681.5712456499998</v>
      </c>
      <c r="I41" s="37">
        <v>1770.6312456499998</v>
      </c>
      <c r="J41" s="37">
        <v>89.059999999999945</v>
      </c>
      <c r="K41" s="37">
        <v>106.57999999999993</v>
      </c>
    </row>
    <row r="42" spans="1:11" x14ac:dyDescent="0.25">
      <c r="A42" s="39" t="s">
        <v>183</v>
      </c>
      <c r="B42" s="37">
        <v>7665</v>
      </c>
      <c r="C42" s="37">
        <v>9174.0687500000004</v>
      </c>
      <c r="D42" s="37">
        <v>16215.51325</v>
      </c>
      <c r="E42" s="37">
        <v>339.86514779999999</v>
      </c>
      <c r="F42" s="37">
        <v>357.38514779999997</v>
      </c>
      <c r="G42" s="37">
        <v>17.519999999999982</v>
      </c>
      <c r="H42" s="37">
        <v>1681.5712456499998</v>
      </c>
      <c r="I42" s="37">
        <v>1770.6312456499998</v>
      </c>
      <c r="J42" s="37">
        <v>89.059999999999945</v>
      </c>
      <c r="K42" s="37">
        <v>106.57999999999993</v>
      </c>
    </row>
    <row r="43" spans="1:11" x14ac:dyDescent="0.25">
      <c r="A43" s="39" t="s">
        <v>184</v>
      </c>
      <c r="B43" s="37">
        <v>7665</v>
      </c>
      <c r="C43" s="37">
        <v>9174.0687500000004</v>
      </c>
      <c r="D43" s="37">
        <v>16215.51325</v>
      </c>
      <c r="E43" s="37">
        <v>339.86514779999999</v>
      </c>
      <c r="F43" s="37">
        <v>357.38514779999997</v>
      </c>
      <c r="G43" s="37">
        <v>17.519999999999982</v>
      </c>
      <c r="H43" s="37">
        <v>1681.5712456499998</v>
      </c>
      <c r="I43" s="37">
        <v>1770.6312456499998</v>
      </c>
      <c r="J43" s="37">
        <v>89.059999999999945</v>
      </c>
      <c r="K43" s="37">
        <v>106.57999999999993</v>
      </c>
    </row>
    <row r="44" spans="1:11" x14ac:dyDescent="0.25">
      <c r="A44" s="39" t="s">
        <v>185</v>
      </c>
      <c r="B44" s="37">
        <v>7665</v>
      </c>
      <c r="C44" s="37">
        <v>9174.0687500000004</v>
      </c>
      <c r="D44" s="37">
        <v>16215.51325</v>
      </c>
      <c r="E44" s="37">
        <v>339.86514779999999</v>
      </c>
      <c r="F44" s="37">
        <v>357.38514779999997</v>
      </c>
      <c r="G44" s="37">
        <v>17.519999999999982</v>
      </c>
      <c r="H44" s="37">
        <v>1681.5712456499998</v>
      </c>
      <c r="I44" s="37">
        <v>1770.6312456499998</v>
      </c>
      <c r="J44" s="37">
        <v>89.059999999999945</v>
      </c>
      <c r="K44" s="37">
        <v>106.57999999999993</v>
      </c>
    </row>
    <row r="45" spans="1:11" x14ac:dyDescent="0.25">
      <c r="A45" s="39" t="s">
        <v>186</v>
      </c>
      <c r="B45" s="37">
        <v>7665</v>
      </c>
      <c r="C45" s="37">
        <v>9174.0687500000004</v>
      </c>
      <c r="D45" s="37">
        <v>16215.51325</v>
      </c>
      <c r="E45" s="37">
        <v>339.86514779999999</v>
      </c>
      <c r="F45" s="37">
        <v>357.38514779999997</v>
      </c>
      <c r="G45" s="37">
        <v>17.519999999999982</v>
      </c>
      <c r="H45" s="37">
        <v>1681.5712456499998</v>
      </c>
      <c r="I45" s="37">
        <v>1770.6312456499998</v>
      </c>
      <c r="J45" s="37">
        <v>89.059999999999945</v>
      </c>
      <c r="K45" s="37">
        <v>106.57999999999993</v>
      </c>
    </row>
    <row r="46" spans="1:11" x14ac:dyDescent="0.25">
      <c r="A46" s="39" t="s">
        <v>187</v>
      </c>
      <c r="B46" s="37">
        <v>7665</v>
      </c>
      <c r="C46" s="37">
        <v>9174.0687500000004</v>
      </c>
      <c r="D46" s="37">
        <v>16215.51325</v>
      </c>
      <c r="E46" s="37">
        <v>339.86514779999999</v>
      </c>
      <c r="F46" s="37">
        <v>357.38514779999997</v>
      </c>
      <c r="G46" s="37">
        <v>17.519999999999982</v>
      </c>
      <c r="H46" s="37">
        <v>1681.5712456499998</v>
      </c>
      <c r="I46" s="37">
        <v>1770.6312456499998</v>
      </c>
      <c r="J46" s="37">
        <v>89.059999999999945</v>
      </c>
      <c r="K46" s="37">
        <v>106.57999999999993</v>
      </c>
    </row>
    <row r="47" spans="1:11" x14ac:dyDescent="0.25">
      <c r="A47" s="39" t="s">
        <v>189</v>
      </c>
      <c r="B47" s="37">
        <v>7665</v>
      </c>
      <c r="C47" s="37">
        <v>9174.0687500000004</v>
      </c>
      <c r="D47" s="37">
        <v>16215.51325</v>
      </c>
      <c r="E47" s="37">
        <v>339.86514779999999</v>
      </c>
      <c r="F47" s="37">
        <v>357.38514779999997</v>
      </c>
      <c r="G47" s="37">
        <v>17.519999999999982</v>
      </c>
      <c r="H47" s="37">
        <v>1681.5712456499998</v>
      </c>
      <c r="I47" s="37">
        <v>1770.6312456499998</v>
      </c>
      <c r="J47" s="37">
        <v>89.059999999999945</v>
      </c>
      <c r="K47" s="37">
        <v>106.57999999999993</v>
      </c>
    </row>
    <row r="48" spans="1:11" x14ac:dyDescent="0.25">
      <c r="A48" s="40" t="s">
        <v>352</v>
      </c>
      <c r="B48" s="41">
        <f t="shared" ref="B48:K48" si="0">SUM(B36:B47)</f>
        <v>91980</v>
      </c>
      <c r="C48" s="41">
        <f t="shared" si="0"/>
        <v>110088.82500000003</v>
      </c>
      <c r="D48" s="41">
        <f t="shared" si="0"/>
        <v>194586.15899999999</v>
      </c>
      <c r="E48" s="41">
        <f t="shared" si="0"/>
        <v>4078.3817736000005</v>
      </c>
      <c r="F48" s="41">
        <f t="shared" si="0"/>
        <v>4288.6217736000008</v>
      </c>
      <c r="G48" s="41">
        <f t="shared" si="0"/>
        <v>210.23999999999978</v>
      </c>
      <c r="H48" s="41">
        <f t="shared" si="0"/>
        <v>20178.854947800002</v>
      </c>
      <c r="I48" s="41">
        <f t="shared" si="0"/>
        <v>21247.574947799993</v>
      </c>
      <c r="J48" s="41">
        <f t="shared" si="0"/>
        <v>1068.7199999999993</v>
      </c>
      <c r="K48" s="41">
        <f t="shared" si="0"/>
        <v>1278.9599999999991</v>
      </c>
    </row>
  </sheetData>
  <mergeCells count="4">
    <mergeCell ref="A1:H1"/>
    <mergeCell ref="D5:H5"/>
    <mergeCell ref="A30:C30"/>
    <mergeCell ref="A32:K32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K48"/>
  <sheetViews>
    <sheetView workbookViewId="0"/>
  </sheetViews>
  <sheetFormatPr baseColWidth="10" defaultColWidth="9.140625" defaultRowHeight="15" x14ac:dyDescent="0.25"/>
  <cols>
    <col min="1" max="1" width="18" customWidth="1"/>
    <col min="2" max="11" width="16" customWidth="1"/>
  </cols>
  <sheetData>
    <row r="1" spans="1:8" ht="26.1" customHeight="1" x14ac:dyDescent="0.3">
      <c r="A1" s="46" t="s">
        <v>332</v>
      </c>
      <c r="B1" s="46"/>
      <c r="C1" s="46"/>
      <c r="D1" s="46"/>
      <c r="E1" s="46"/>
      <c r="F1" s="46"/>
      <c r="G1" s="46"/>
      <c r="H1" s="46"/>
    </row>
    <row r="3" spans="1:8" x14ac:dyDescent="0.25">
      <c r="A3" t="s">
        <v>149</v>
      </c>
      <c r="B3" s="13" t="s">
        <v>120</v>
      </c>
    </row>
    <row r="5" spans="1:8" x14ac:dyDescent="0.25">
      <c r="A5" t="s">
        <v>74</v>
      </c>
      <c r="B5" t="s">
        <v>121</v>
      </c>
      <c r="D5" s="54" t="s">
        <v>333</v>
      </c>
      <c r="E5" s="54"/>
      <c r="F5" s="54"/>
      <c r="G5" s="54"/>
      <c r="H5" s="54"/>
    </row>
    <row r="6" spans="1:8" x14ac:dyDescent="0.25">
      <c r="A6" t="s">
        <v>334</v>
      </c>
      <c r="B6">
        <v>1965</v>
      </c>
      <c r="D6" t="s">
        <v>335</v>
      </c>
      <c r="E6" s="9">
        <v>86115.992960000003</v>
      </c>
    </row>
    <row r="7" spans="1:8" x14ac:dyDescent="0.25">
      <c r="A7" t="s">
        <v>76</v>
      </c>
      <c r="B7" s="1">
        <v>35154</v>
      </c>
      <c r="D7" t="s">
        <v>336</v>
      </c>
      <c r="E7" s="9">
        <v>4029.9511397440006</v>
      </c>
    </row>
    <row r="8" spans="1:8" x14ac:dyDescent="0.25">
      <c r="A8" t="s">
        <v>77</v>
      </c>
      <c r="B8" s="4">
        <v>0.29699999999999999</v>
      </c>
      <c r="D8" t="s">
        <v>77</v>
      </c>
      <c r="E8" s="9">
        <v>25881.012864000008</v>
      </c>
    </row>
    <row r="9" spans="1:8" x14ac:dyDescent="0.25">
      <c r="A9" t="s">
        <v>78</v>
      </c>
      <c r="B9" s="4">
        <v>1</v>
      </c>
      <c r="D9" t="s">
        <v>337</v>
      </c>
      <c r="E9" s="9">
        <v>56205.028956256006</v>
      </c>
    </row>
    <row r="10" spans="1:8" x14ac:dyDescent="0.25">
      <c r="A10" t="s">
        <v>79</v>
      </c>
      <c r="B10" t="s">
        <v>141</v>
      </c>
      <c r="D10" t="s">
        <v>338</v>
      </c>
      <c r="E10" s="9">
        <v>19934.241994922668</v>
      </c>
    </row>
    <row r="11" spans="1:8" x14ac:dyDescent="0.25">
      <c r="A11" t="s">
        <v>82</v>
      </c>
      <c r="B11" s="9">
        <v>3755.06</v>
      </c>
      <c r="D11" t="s">
        <v>267</v>
      </c>
      <c r="E11" s="9">
        <v>106050.23495492266</v>
      </c>
    </row>
    <row r="12" spans="1:8" x14ac:dyDescent="0.25">
      <c r="A12" t="s">
        <v>81</v>
      </c>
      <c r="B12" s="4">
        <v>1.4999999999999999E-2</v>
      </c>
    </row>
    <row r="13" spans="1:8" x14ac:dyDescent="0.25">
      <c r="A13" s="35" t="s">
        <v>90</v>
      </c>
      <c r="B13" s="34">
        <v>16740</v>
      </c>
    </row>
    <row r="15" spans="1:8" x14ac:dyDescent="0.25">
      <c r="A15" s="6" t="s">
        <v>150</v>
      </c>
      <c r="B15" s="6" t="s">
        <v>339</v>
      </c>
      <c r="C15" s="6" t="s">
        <v>165</v>
      </c>
      <c r="D15" s="6" t="s">
        <v>94</v>
      </c>
      <c r="E15" s="6" t="s">
        <v>336</v>
      </c>
      <c r="F15" s="6" t="s">
        <v>77</v>
      </c>
      <c r="G15" s="6" t="s">
        <v>95</v>
      </c>
      <c r="H15" s="6" t="s">
        <v>267</v>
      </c>
    </row>
    <row r="16" spans="1:8" x14ac:dyDescent="0.25">
      <c r="A16" t="s">
        <v>173</v>
      </c>
      <c r="B16" s="4">
        <v>1</v>
      </c>
      <c r="C16" t="s">
        <v>175</v>
      </c>
      <c r="D16" s="9">
        <v>6162.1459200000008</v>
      </c>
      <c r="E16" s="9">
        <v>335.86071350399999</v>
      </c>
      <c r="F16" s="9">
        <v>1848.6437760000001</v>
      </c>
      <c r="G16" s="9">
        <v>3977.6414304960008</v>
      </c>
      <c r="H16" s="9">
        <v>7823.4885144960008</v>
      </c>
    </row>
    <row r="17" spans="1:11" x14ac:dyDescent="0.25">
      <c r="A17" t="s">
        <v>176</v>
      </c>
      <c r="B17" s="4">
        <v>1</v>
      </c>
      <c r="C17" t="s">
        <v>175</v>
      </c>
      <c r="D17" s="9">
        <v>6162.1459200000008</v>
      </c>
      <c r="E17" s="9">
        <v>335.86071350399999</v>
      </c>
      <c r="F17" s="9">
        <v>1848.6437760000001</v>
      </c>
      <c r="G17" s="9">
        <v>3977.6414304960008</v>
      </c>
      <c r="H17" s="9">
        <v>7823.4885144960008</v>
      </c>
    </row>
    <row r="18" spans="1:11" x14ac:dyDescent="0.25">
      <c r="A18" t="s">
        <v>177</v>
      </c>
      <c r="B18" s="4">
        <v>1</v>
      </c>
      <c r="C18" t="s">
        <v>175</v>
      </c>
      <c r="D18" s="9">
        <v>6162.1459200000008</v>
      </c>
      <c r="E18" s="9">
        <v>335.86071350399999</v>
      </c>
      <c r="F18" s="9">
        <v>1848.6437760000001</v>
      </c>
      <c r="G18" s="9">
        <v>3977.6414304960008</v>
      </c>
      <c r="H18" s="9">
        <v>7823.4885144960008</v>
      </c>
    </row>
    <row r="19" spans="1:11" x14ac:dyDescent="0.25">
      <c r="A19" t="s">
        <v>178</v>
      </c>
      <c r="B19" s="4">
        <v>1</v>
      </c>
      <c r="C19" t="s">
        <v>175</v>
      </c>
      <c r="D19" s="9">
        <v>6162.1459200000008</v>
      </c>
      <c r="E19" s="9">
        <v>335.86071350399999</v>
      </c>
      <c r="F19" s="9">
        <v>1848.6437760000001</v>
      </c>
      <c r="G19" s="9">
        <v>3977.6414304960008</v>
      </c>
      <c r="H19" s="9">
        <v>7823.4885144960008</v>
      </c>
    </row>
    <row r="20" spans="1:11" x14ac:dyDescent="0.25">
      <c r="A20" t="s">
        <v>179</v>
      </c>
      <c r="B20" s="4">
        <v>1</v>
      </c>
      <c r="C20" t="s">
        <v>175</v>
      </c>
      <c r="D20" s="9">
        <v>6162.1459200000008</v>
      </c>
      <c r="E20" s="9">
        <v>335.86071350399999</v>
      </c>
      <c r="F20" s="9">
        <v>1848.6437760000001</v>
      </c>
      <c r="G20" s="9">
        <v>3977.6414304960008</v>
      </c>
      <c r="H20" s="9">
        <v>7823.4885144960008</v>
      </c>
    </row>
    <row r="21" spans="1:11" x14ac:dyDescent="0.25">
      <c r="A21" t="s">
        <v>180</v>
      </c>
      <c r="B21" s="4">
        <v>1</v>
      </c>
      <c r="C21" t="s">
        <v>175</v>
      </c>
      <c r="D21" s="9">
        <v>6162.1459200000008</v>
      </c>
      <c r="E21" s="9">
        <v>335.86071350399999</v>
      </c>
      <c r="F21" s="9">
        <v>1848.6437760000001</v>
      </c>
      <c r="G21" s="9">
        <v>3977.6414304960008</v>
      </c>
      <c r="H21" s="9">
        <v>7823.4885144960008</v>
      </c>
    </row>
    <row r="22" spans="1:11" x14ac:dyDescent="0.25">
      <c r="A22" t="s">
        <v>181</v>
      </c>
      <c r="B22" s="4">
        <v>1</v>
      </c>
      <c r="C22" t="s">
        <v>175</v>
      </c>
      <c r="D22" s="9">
        <v>6162.1459200000008</v>
      </c>
      <c r="E22" s="9">
        <v>0</v>
      </c>
      <c r="F22" s="9">
        <v>1848.6437760000003</v>
      </c>
      <c r="G22" s="9">
        <v>4313.502144</v>
      </c>
      <c r="H22" s="9">
        <v>6162.1459200000008</v>
      </c>
    </row>
    <row r="23" spans="1:11" x14ac:dyDescent="0.25">
      <c r="A23" t="s">
        <v>183</v>
      </c>
      <c r="B23" s="4">
        <v>1</v>
      </c>
      <c r="C23" t="s">
        <v>175</v>
      </c>
      <c r="D23" s="9">
        <v>6162.1459200000008</v>
      </c>
      <c r="E23" s="9">
        <v>335.86071350399999</v>
      </c>
      <c r="F23" s="9">
        <v>1848.6437760000001</v>
      </c>
      <c r="G23" s="9">
        <v>3977.6414304960008</v>
      </c>
      <c r="H23" s="9">
        <v>7823.4885144960008</v>
      </c>
    </row>
    <row r="24" spans="1:11" x14ac:dyDescent="0.25">
      <c r="A24" t="s">
        <v>184</v>
      </c>
      <c r="B24" s="4">
        <v>1</v>
      </c>
      <c r="C24" t="s">
        <v>175</v>
      </c>
      <c r="D24" s="9">
        <v>6162.1459200000008</v>
      </c>
      <c r="E24" s="9">
        <v>335.86071350399999</v>
      </c>
      <c r="F24" s="9">
        <v>1848.6437760000001</v>
      </c>
      <c r="G24" s="9">
        <v>3977.6414304960008</v>
      </c>
      <c r="H24" s="9">
        <v>7823.4885144960008</v>
      </c>
    </row>
    <row r="25" spans="1:11" x14ac:dyDescent="0.25">
      <c r="A25" t="s">
        <v>185</v>
      </c>
      <c r="B25" s="4">
        <v>1</v>
      </c>
      <c r="C25" t="s">
        <v>175</v>
      </c>
      <c r="D25" s="9">
        <v>6162.1459200000008</v>
      </c>
      <c r="E25" s="9">
        <v>335.86071350399999</v>
      </c>
      <c r="F25" s="9">
        <v>1848.6437760000001</v>
      </c>
      <c r="G25" s="9">
        <v>3977.6414304960008</v>
      </c>
      <c r="H25" s="9">
        <v>7823.4885144960008</v>
      </c>
    </row>
    <row r="26" spans="1:11" x14ac:dyDescent="0.25">
      <c r="A26" t="s">
        <v>186</v>
      </c>
      <c r="B26" s="4">
        <v>1</v>
      </c>
      <c r="C26" t="s">
        <v>175</v>
      </c>
      <c r="D26" s="9">
        <v>6008.0959999999995</v>
      </c>
      <c r="E26" s="9">
        <v>335.4832912</v>
      </c>
      <c r="F26" s="9">
        <v>1848.6437760000001</v>
      </c>
      <c r="G26" s="9">
        <v>3823.9689327999995</v>
      </c>
      <c r="H26" s="9">
        <v>7667.5694554666661</v>
      </c>
    </row>
    <row r="27" spans="1:11" x14ac:dyDescent="0.25">
      <c r="A27" t="s">
        <v>187</v>
      </c>
      <c r="B27" s="4">
        <v>1</v>
      </c>
      <c r="C27" t="s">
        <v>175</v>
      </c>
      <c r="D27" s="9">
        <v>6162.1459200000008</v>
      </c>
      <c r="E27" s="9">
        <v>335.86071350399999</v>
      </c>
      <c r="F27" s="9">
        <v>1848.6437760000001</v>
      </c>
      <c r="G27" s="9">
        <v>3977.6414304960008</v>
      </c>
      <c r="H27" s="9">
        <v>7823.4885144960008</v>
      </c>
    </row>
    <row r="28" spans="1:11" x14ac:dyDescent="0.25">
      <c r="A28" t="s">
        <v>188</v>
      </c>
      <c r="B28" s="4">
        <v>1</v>
      </c>
      <c r="C28" t="s">
        <v>175</v>
      </c>
      <c r="D28" s="9">
        <v>6162.1459200000008</v>
      </c>
      <c r="E28" s="9">
        <v>0</v>
      </c>
      <c r="F28" s="9">
        <v>1848.6437760000003</v>
      </c>
      <c r="G28" s="9">
        <v>4313.502144</v>
      </c>
      <c r="H28" s="9">
        <v>6162.1459200000008</v>
      </c>
    </row>
    <row r="29" spans="1:11" x14ac:dyDescent="0.25">
      <c r="A29" t="s">
        <v>189</v>
      </c>
      <c r="B29" s="4">
        <v>1</v>
      </c>
      <c r="C29" t="s">
        <v>175</v>
      </c>
      <c r="D29" s="9">
        <v>6162.1459200000008</v>
      </c>
      <c r="E29" s="9">
        <v>335.86071350399999</v>
      </c>
      <c r="F29" s="9">
        <v>1848.6437760000001</v>
      </c>
      <c r="G29" s="9">
        <v>3977.6414304960008</v>
      </c>
      <c r="H29" s="9">
        <v>7823.4885144960008</v>
      </c>
    </row>
    <row r="30" spans="1:11" x14ac:dyDescent="0.25">
      <c r="A30" s="45" t="s">
        <v>340</v>
      </c>
      <c r="B30" s="45"/>
      <c r="C30" s="45"/>
      <c r="D30" s="14">
        <v>86115.992960000003</v>
      </c>
      <c r="E30" s="14">
        <v>4029.9511397440006</v>
      </c>
      <c r="F30" s="14">
        <v>25881.012864000008</v>
      </c>
      <c r="G30" s="14">
        <v>56205.028956256006</v>
      </c>
      <c r="H30" s="14">
        <v>106050.23495492266</v>
      </c>
    </row>
    <row r="32" spans="1:11" x14ac:dyDescent="0.25">
      <c r="A32" s="55" t="s">
        <v>279</v>
      </c>
      <c r="B32" s="55"/>
      <c r="C32" s="55"/>
      <c r="D32" s="55"/>
      <c r="E32" s="55"/>
      <c r="F32" s="55"/>
      <c r="G32" s="55"/>
      <c r="H32" s="55"/>
      <c r="I32" s="55"/>
      <c r="J32" s="55"/>
      <c r="K32" s="55"/>
    </row>
    <row r="33" spans="1:11" ht="30" x14ac:dyDescent="0.25">
      <c r="A33" s="36" t="s">
        <v>341</v>
      </c>
      <c r="B33" s="37">
        <v>16740</v>
      </c>
      <c r="C33" s="37"/>
      <c r="D33" s="38" t="s">
        <v>342</v>
      </c>
      <c r="E33" s="37">
        <v>1395</v>
      </c>
      <c r="F33" s="37"/>
      <c r="G33" s="38" t="s">
        <v>343</v>
      </c>
      <c r="H33" s="37">
        <v>251.14173004800136</v>
      </c>
      <c r="I33" s="39"/>
      <c r="J33" s="39"/>
      <c r="K33" s="39"/>
    </row>
    <row r="34" spans="1:11" x14ac:dyDescent="0.25">
      <c r="A34" s="39"/>
      <c r="B34" s="39"/>
      <c r="C34" s="39"/>
      <c r="D34" s="39"/>
      <c r="E34" s="39"/>
      <c r="F34" s="39"/>
      <c r="G34" s="39"/>
      <c r="H34" s="39"/>
      <c r="I34" s="39"/>
      <c r="J34" s="39"/>
      <c r="K34" s="39"/>
    </row>
    <row r="35" spans="1:11" ht="33.950000000000003" customHeight="1" x14ac:dyDescent="0.25">
      <c r="A35" s="33" t="s">
        <v>150</v>
      </c>
      <c r="B35" s="33" t="s">
        <v>344</v>
      </c>
      <c r="C35" s="33" t="s">
        <v>345</v>
      </c>
      <c r="D35" s="33" t="s">
        <v>346</v>
      </c>
      <c r="E35" s="33" t="s">
        <v>347</v>
      </c>
      <c r="F35" s="33" t="s">
        <v>348</v>
      </c>
      <c r="G35" s="33" t="s">
        <v>349</v>
      </c>
      <c r="H35" s="33" t="s">
        <v>327</v>
      </c>
      <c r="I35" s="33" t="s">
        <v>328</v>
      </c>
      <c r="J35" s="33" t="s">
        <v>350</v>
      </c>
      <c r="K35" s="33" t="s">
        <v>351</v>
      </c>
    </row>
    <row r="36" spans="1:11" x14ac:dyDescent="0.25">
      <c r="A36" s="39" t="s">
        <v>173</v>
      </c>
      <c r="B36" s="37">
        <v>1395</v>
      </c>
      <c r="C36" s="37">
        <v>7009.4453333333331</v>
      </c>
      <c r="D36" s="37">
        <v>8689.1702400000013</v>
      </c>
      <c r="E36" s="37">
        <v>335.86071350399999</v>
      </c>
      <c r="F36" s="37">
        <v>339.32192457600001</v>
      </c>
      <c r="G36" s="37">
        <v>3.461211072000026</v>
      </c>
      <c r="H36" s="37">
        <v>1661.3425944959999</v>
      </c>
      <c r="I36" s="37">
        <v>1678.809860928</v>
      </c>
      <c r="J36" s="37">
        <v>17.467266432000088</v>
      </c>
      <c r="K36" s="37">
        <v>20.928477504000114</v>
      </c>
    </row>
    <row r="37" spans="1:11" x14ac:dyDescent="0.25">
      <c r="A37" s="39" t="s">
        <v>176</v>
      </c>
      <c r="B37" s="37">
        <v>1395</v>
      </c>
      <c r="C37" s="37">
        <v>7009.4453333333331</v>
      </c>
      <c r="D37" s="37">
        <v>8689.1702400000013</v>
      </c>
      <c r="E37" s="37">
        <v>335.86071350399999</v>
      </c>
      <c r="F37" s="37">
        <v>339.32192457600001</v>
      </c>
      <c r="G37" s="37">
        <v>3.461211072000026</v>
      </c>
      <c r="H37" s="37">
        <v>1661.3425944959999</v>
      </c>
      <c r="I37" s="37">
        <v>1678.809860928</v>
      </c>
      <c r="J37" s="37">
        <v>17.467266432000088</v>
      </c>
      <c r="K37" s="37">
        <v>20.928477504000114</v>
      </c>
    </row>
    <row r="38" spans="1:11" x14ac:dyDescent="0.25">
      <c r="A38" s="39" t="s">
        <v>177</v>
      </c>
      <c r="B38" s="37">
        <v>1395</v>
      </c>
      <c r="C38" s="37">
        <v>7009.4453333333331</v>
      </c>
      <c r="D38" s="37">
        <v>8689.1702400000013</v>
      </c>
      <c r="E38" s="37">
        <v>335.86071350399999</v>
      </c>
      <c r="F38" s="37">
        <v>339.32192457600001</v>
      </c>
      <c r="G38" s="37">
        <v>3.461211072000026</v>
      </c>
      <c r="H38" s="37">
        <v>1661.3425944959999</v>
      </c>
      <c r="I38" s="37">
        <v>1678.809860928</v>
      </c>
      <c r="J38" s="37">
        <v>17.467266432000088</v>
      </c>
      <c r="K38" s="37">
        <v>20.928477504000114</v>
      </c>
    </row>
    <row r="39" spans="1:11" x14ac:dyDescent="0.25">
      <c r="A39" s="39" t="s">
        <v>178</v>
      </c>
      <c r="B39" s="37">
        <v>1395</v>
      </c>
      <c r="C39" s="37">
        <v>7009.4453333333331</v>
      </c>
      <c r="D39" s="37">
        <v>8689.1702400000013</v>
      </c>
      <c r="E39" s="37">
        <v>335.86071350399999</v>
      </c>
      <c r="F39" s="37">
        <v>339.32192457600001</v>
      </c>
      <c r="G39" s="37">
        <v>3.461211072000026</v>
      </c>
      <c r="H39" s="37">
        <v>1661.3425944959999</v>
      </c>
      <c r="I39" s="37">
        <v>1678.809860928</v>
      </c>
      <c r="J39" s="37">
        <v>17.467266432000088</v>
      </c>
      <c r="K39" s="37">
        <v>20.928477504000114</v>
      </c>
    </row>
    <row r="40" spans="1:11" x14ac:dyDescent="0.25">
      <c r="A40" s="39" t="s">
        <v>179</v>
      </c>
      <c r="B40" s="37">
        <v>1395</v>
      </c>
      <c r="C40" s="37">
        <v>7009.4453333333331</v>
      </c>
      <c r="D40" s="37">
        <v>8689.1702400000013</v>
      </c>
      <c r="E40" s="37">
        <v>335.86071350399999</v>
      </c>
      <c r="F40" s="37">
        <v>339.32192457600001</v>
      </c>
      <c r="G40" s="37">
        <v>3.461211072000026</v>
      </c>
      <c r="H40" s="37">
        <v>1661.3425944959999</v>
      </c>
      <c r="I40" s="37">
        <v>1678.809860928</v>
      </c>
      <c r="J40" s="37">
        <v>17.467266432000088</v>
      </c>
      <c r="K40" s="37">
        <v>20.928477504000114</v>
      </c>
    </row>
    <row r="41" spans="1:11" x14ac:dyDescent="0.25">
      <c r="A41" s="39" t="s">
        <v>180</v>
      </c>
      <c r="B41" s="37">
        <v>1395</v>
      </c>
      <c r="C41" s="37">
        <v>7009.4453333333331</v>
      </c>
      <c r="D41" s="37">
        <v>8689.1702400000013</v>
      </c>
      <c r="E41" s="37">
        <v>335.86071350399999</v>
      </c>
      <c r="F41" s="37">
        <v>339.32192457600001</v>
      </c>
      <c r="G41" s="37">
        <v>3.461211072000026</v>
      </c>
      <c r="H41" s="37">
        <v>1661.3425944959999</v>
      </c>
      <c r="I41" s="37">
        <v>1678.809860928</v>
      </c>
      <c r="J41" s="37">
        <v>17.467266432000088</v>
      </c>
      <c r="K41" s="37">
        <v>20.928477504000114</v>
      </c>
    </row>
    <row r="42" spans="1:11" x14ac:dyDescent="0.25">
      <c r="A42" s="39" t="s">
        <v>183</v>
      </c>
      <c r="B42" s="37">
        <v>1395</v>
      </c>
      <c r="C42" s="37">
        <v>7009.4453333333331</v>
      </c>
      <c r="D42" s="37">
        <v>8689.1702400000013</v>
      </c>
      <c r="E42" s="37">
        <v>335.86071350399999</v>
      </c>
      <c r="F42" s="37">
        <v>339.32192457600001</v>
      </c>
      <c r="G42" s="37">
        <v>3.461211072000026</v>
      </c>
      <c r="H42" s="37">
        <v>1661.3425944959999</v>
      </c>
      <c r="I42" s="37">
        <v>1678.809860928</v>
      </c>
      <c r="J42" s="37">
        <v>17.467266432000088</v>
      </c>
      <c r="K42" s="37">
        <v>20.928477504000114</v>
      </c>
    </row>
    <row r="43" spans="1:11" x14ac:dyDescent="0.25">
      <c r="A43" s="39" t="s">
        <v>184</v>
      </c>
      <c r="B43" s="37">
        <v>1395</v>
      </c>
      <c r="C43" s="37">
        <v>7009.4453333333331</v>
      </c>
      <c r="D43" s="37">
        <v>8689.1702400000013</v>
      </c>
      <c r="E43" s="37">
        <v>335.86071350399999</v>
      </c>
      <c r="F43" s="37">
        <v>339.32192457600001</v>
      </c>
      <c r="G43" s="37">
        <v>3.461211072000026</v>
      </c>
      <c r="H43" s="37">
        <v>1661.3425944959999</v>
      </c>
      <c r="I43" s="37">
        <v>1678.809860928</v>
      </c>
      <c r="J43" s="37">
        <v>17.467266432000088</v>
      </c>
      <c r="K43" s="37">
        <v>20.928477504000114</v>
      </c>
    </row>
    <row r="44" spans="1:11" x14ac:dyDescent="0.25">
      <c r="A44" s="39" t="s">
        <v>185</v>
      </c>
      <c r="B44" s="37">
        <v>1395</v>
      </c>
      <c r="C44" s="37">
        <v>7009.4453333333331</v>
      </c>
      <c r="D44" s="37">
        <v>8689.1702400000013</v>
      </c>
      <c r="E44" s="37">
        <v>335.86071350399999</v>
      </c>
      <c r="F44" s="37">
        <v>339.32192457600001</v>
      </c>
      <c r="G44" s="37">
        <v>3.461211072000026</v>
      </c>
      <c r="H44" s="37">
        <v>1661.3425944959999</v>
      </c>
      <c r="I44" s="37">
        <v>1678.809860928</v>
      </c>
      <c r="J44" s="37">
        <v>17.467266432000088</v>
      </c>
      <c r="K44" s="37">
        <v>20.928477504000114</v>
      </c>
    </row>
    <row r="45" spans="1:11" x14ac:dyDescent="0.25">
      <c r="A45" s="39" t="s">
        <v>186</v>
      </c>
      <c r="B45" s="37">
        <v>1395</v>
      </c>
      <c r="C45" s="37">
        <v>7009.4453333333331</v>
      </c>
      <c r="D45" s="37">
        <v>8689.1702400000013</v>
      </c>
      <c r="E45" s="37">
        <v>335.4832912</v>
      </c>
      <c r="F45" s="37">
        <v>339.32192457600001</v>
      </c>
      <c r="G45" s="37">
        <v>3.461211072000026</v>
      </c>
      <c r="H45" s="37">
        <v>1659.4734554666666</v>
      </c>
      <c r="I45" s="37">
        <v>1678.809860928</v>
      </c>
      <c r="J45" s="37">
        <v>17.467266432000088</v>
      </c>
      <c r="K45" s="37">
        <v>20.928477504000114</v>
      </c>
    </row>
    <row r="46" spans="1:11" x14ac:dyDescent="0.25">
      <c r="A46" s="39" t="s">
        <v>187</v>
      </c>
      <c r="B46" s="37">
        <v>1395</v>
      </c>
      <c r="C46" s="37">
        <v>7009.4453333333331</v>
      </c>
      <c r="D46" s="37">
        <v>8689.1702400000013</v>
      </c>
      <c r="E46" s="37">
        <v>335.86071350399999</v>
      </c>
      <c r="F46" s="37">
        <v>339.32192457600001</v>
      </c>
      <c r="G46" s="37">
        <v>3.461211072000026</v>
      </c>
      <c r="H46" s="37">
        <v>1661.3425944959999</v>
      </c>
      <c r="I46" s="37">
        <v>1678.809860928</v>
      </c>
      <c r="J46" s="37">
        <v>17.467266432000088</v>
      </c>
      <c r="K46" s="37">
        <v>20.928477504000114</v>
      </c>
    </row>
    <row r="47" spans="1:11" x14ac:dyDescent="0.25">
      <c r="A47" s="39" t="s">
        <v>189</v>
      </c>
      <c r="B47" s="37">
        <v>1395</v>
      </c>
      <c r="C47" s="37">
        <v>7009.4453333333331</v>
      </c>
      <c r="D47" s="37">
        <v>8689.1702400000013</v>
      </c>
      <c r="E47" s="37">
        <v>335.86071350399999</v>
      </c>
      <c r="F47" s="37">
        <v>339.32192457600001</v>
      </c>
      <c r="G47" s="37">
        <v>3.461211072000026</v>
      </c>
      <c r="H47" s="37">
        <v>1661.3425944959999</v>
      </c>
      <c r="I47" s="37">
        <v>1678.809860928</v>
      </c>
      <c r="J47" s="37">
        <v>17.467266432000088</v>
      </c>
      <c r="K47" s="37">
        <v>20.928477504000114</v>
      </c>
    </row>
    <row r="48" spans="1:11" x14ac:dyDescent="0.25">
      <c r="A48" s="40" t="s">
        <v>352</v>
      </c>
      <c r="B48" s="41">
        <f t="shared" ref="B48:K48" si="0">SUM(B36:B47)</f>
        <v>16740</v>
      </c>
      <c r="C48" s="41">
        <f t="shared" si="0"/>
        <v>84113.344000000026</v>
      </c>
      <c r="D48" s="41">
        <f t="shared" si="0"/>
        <v>104270.04288000004</v>
      </c>
      <c r="E48" s="41">
        <f t="shared" si="0"/>
        <v>4029.9511397440006</v>
      </c>
      <c r="F48" s="41">
        <f t="shared" si="0"/>
        <v>4071.8630949120011</v>
      </c>
      <c r="G48" s="41">
        <f t="shared" si="0"/>
        <v>41.534532864000312</v>
      </c>
      <c r="H48" s="41">
        <f t="shared" si="0"/>
        <v>19934.241994922668</v>
      </c>
      <c r="I48" s="41">
        <f t="shared" si="0"/>
        <v>20145.718331135999</v>
      </c>
      <c r="J48" s="41">
        <f t="shared" si="0"/>
        <v>209.60719718400105</v>
      </c>
      <c r="K48" s="41">
        <f t="shared" si="0"/>
        <v>251.14173004800136</v>
      </c>
    </row>
  </sheetData>
  <mergeCells count="4">
    <mergeCell ref="A1:H1"/>
    <mergeCell ref="D5:H5"/>
    <mergeCell ref="A30:C30"/>
    <mergeCell ref="A32:K32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K48"/>
  <sheetViews>
    <sheetView workbookViewId="0"/>
  </sheetViews>
  <sheetFormatPr baseColWidth="10" defaultColWidth="9.140625" defaultRowHeight="15" x14ac:dyDescent="0.25"/>
  <cols>
    <col min="1" max="1" width="18" customWidth="1"/>
    <col min="2" max="11" width="16" customWidth="1"/>
  </cols>
  <sheetData>
    <row r="1" spans="1:8" ht="26.1" customHeight="1" x14ac:dyDescent="0.3">
      <c r="A1" s="46" t="s">
        <v>332</v>
      </c>
      <c r="B1" s="46"/>
      <c r="C1" s="46"/>
      <c r="D1" s="46"/>
      <c r="E1" s="46"/>
      <c r="F1" s="46"/>
      <c r="G1" s="46"/>
      <c r="H1" s="46"/>
    </row>
    <row r="3" spans="1:8" x14ac:dyDescent="0.25">
      <c r="A3" t="s">
        <v>149</v>
      </c>
      <c r="B3" s="13" t="s">
        <v>122</v>
      </c>
    </row>
    <row r="5" spans="1:8" x14ac:dyDescent="0.25">
      <c r="A5" t="s">
        <v>74</v>
      </c>
      <c r="B5" t="s">
        <v>123</v>
      </c>
      <c r="D5" s="54" t="s">
        <v>333</v>
      </c>
      <c r="E5" s="54"/>
      <c r="F5" s="54"/>
      <c r="G5" s="54"/>
      <c r="H5" s="54"/>
    </row>
    <row r="6" spans="1:8" x14ac:dyDescent="0.25">
      <c r="A6" t="s">
        <v>334</v>
      </c>
      <c r="B6">
        <v>1978</v>
      </c>
      <c r="D6" t="s">
        <v>335</v>
      </c>
      <c r="E6" s="9">
        <v>82382.151600000027</v>
      </c>
    </row>
    <row r="7" spans="1:8" x14ac:dyDescent="0.25">
      <c r="A7" t="s">
        <v>76</v>
      </c>
      <c r="B7" s="1">
        <v>38645</v>
      </c>
      <c r="D7" t="s">
        <v>336</v>
      </c>
      <c r="E7" s="9">
        <v>4022.1639903599989</v>
      </c>
    </row>
    <row r="8" spans="1:8" x14ac:dyDescent="0.25">
      <c r="A8" t="s">
        <v>77</v>
      </c>
      <c r="B8" s="4">
        <v>0.29070000000000001</v>
      </c>
      <c r="D8" t="s">
        <v>77</v>
      </c>
      <c r="E8" s="9">
        <v>23742.536091120004</v>
      </c>
    </row>
    <row r="9" spans="1:8" x14ac:dyDescent="0.25">
      <c r="A9" t="s">
        <v>78</v>
      </c>
      <c r="B9" s="4">
        <v>1</v>
      </c>
      <c r="D9" t="s">
        <v>337</v>
      </c>
      <c r="E9" s="9">
        <v>54617.451518519993</v>
      </c>
    </row>
    <row r="10" spans="1:8" x14ac:dyDescent="0.25">
      <c r="A10" t="s">
        <v>79</v>
      </c>
      <c r="B10" t="s">
        <v>141</v>
      </c>
      <c r="D10" t="s">
        <v>338</v>
      </c>
      <c r="E10" s="9">
        <v>19895.677064639996</v>
      </c>
    </row>
    <row r="11" spans="1:8" x14ac:dyDescent="0.25">
      <c r="A11" t="s">
        <v>82</v>
      </c>
      <c r="B11" s="9">
        <v>3977.88</v>
      </c>
      <c r="D11" t="s">
        <v>267</v>
      </c>
      <c r="E11" s="9">
        <v>102277.82866464001</v>
      </c>
    </row>
    <row r="12" spans="1:8" x14ac:dyDescent="0.25">
      <c r="A12" t="s">
        <v>81</v>
      </c>
      <c r="B12" s="4">
        <v>1.4999999999999999E-2</v>
      </c>
    </row>
    <row r="13" spans="1:8" x14ac:dyDescent="0.25">
      <c r="A13" s="35" t="s">
        <v>90</v>
      </c>
      <c r="B13" s="34">
        <v>21629</v>
      </c>
    </row>
    <row r="15" spans="1:8" x14ac:dyDescent="0.25">
      <c r="A15" s="6" t="s">
        <v>150</v>
      </c>
      <c r="B15" s="6" t="s">
        <v>339</v>
      </c>
      <c r="C15" s="6" t="s">
        <v>165</v>
      </c>
      <c r="D15" s="6" t="s">
        <v>94</v>
      </c>
      <c r="E15" s="6" t="s">
        <v>336</v>
      </c>
      <c r="F15" s="6" t="s">
        <v>77</v>
      </c>
      <c r="G15" s="6" t="s">
        <v>95</v>
      </c>
      <c r="H15" s="6" t="s">
        <v>267</v>
      </c>
    </row>
    <row r="16" spans="1:8" x14ac:dyDescent="0.25">
      <c r="A16" t="s">
        <v>173</v>
      </c>
      <c r="B16" s="4">
        <v>1</v>
      </c>
      <c r="C16" t="s">
        <v>175</v>
      </c>
      <c r="D16" s="9">
        <v>5884.4394000000002</v>
      </c>
      <c r="E16" s="9">
        <v>335.18033252999999</v>
      </c>
      <c r="F16" s="9">
        <v>1695.8954350800002</v>
      </c>
      <c r="G16" s="9">
        <v>3853.36363239</v>
      </c>
      <c r="H16" s="9">
        <v>7542.4124887199996</v>
      </c>
    </row>
    <row r="17" spans="1:11" x14ac:dyDescent="0.25">
      <c r="A17" t="s">
        <v>176</v>
      </c>
      <c r="B17" s="4">
        <v>1</v>
      </c>
      <c r="C17" t="s">
        <v>175</v>
      </c>
      <c r="D17" s="9">
        <v>5884.4394000000002</v>
      </c>
      <c r="E17" s="9">
        <v>335.18033252999999</v>
      </c>
      <c r="F17" s="9">
        <v>1695.8954350800002</v>
      </c>
      <c r="G17" s="9">
        <v>3853.36363239</v>
      </c>
      <c r="H17" s="9">
        <v>7542.4124887199996</v>
      </c>
    </row>
    <row r="18" spans="1:11" x14ac:dyDescent="0.25">
      <c r="A18" t="s">
        <v>177</v>
      </c>
      <c r="B18" s="4">
        <v>1</v>
      </c>
      <c r="C18" t="s">
        <v>175</v>
      </c>
      <c r="D18" s="9">
        <v>5884.4394000000002</v>
      </c>
      <c r="E18" s="9">
        <v>335.18033252999999</v>
      </c>
      <c r="F18" s="9">
        <v>1695.8954350800002</v>
      </c>
      <c r="G18" s="9">
        <v>3853.36363239</v>
      </c>
      <c r="H18" s="9">
        <v>7542.4124887199996</v>
      </c>
    </row>
    <row r="19" spans="1:11" x14ac:dyDescent="0.25">
      <c r="A19" t="s">
        <v>178</v>
      </c>
      <c r="B19" s="4">
        <v>1</v>
      </c>
      <c r="C19" t="s">
        <v>175</v>
      </c>
      <c r="D19" s="9">
        <v>5884.4394000000002</v>
      </c>
      <c r="E19" s="9">
        <v>335.18033252999999</v>
      </c>
      <c r="F19" s="9">
        <v>1695.8954350800002</v>
      </c>
      <c r="G19" s="9">
        <v>3853.36363239</v>
      </c>
      <c r="H19" s="9">
        <v>7542.4124887199996</v>
      </c>
    </row>
    <row r="20" spans="1:11" x14ac:dyDescent="0.25">
      <c r="A20" t="s">
        <v>179</v>
      </c>
      <c r="B20" s="4">
        <v>1</v>
      </c>
      <c r="C20" t="s">
        <v>175</v>
      </c>
      <c r="D20" s="9">
        <v>5884.4394000000002</v>
      </c>
      <c r="E20" s="9">
        <v>335.18033252999999</v>
      </c>
      <c r="F20" s="9">
        <v>1695.8954350800002</v>
      </c>
      <c r="G20" s="9">
        <v>3853.36363239</v>
      </c>
      <c r="H20" s="9">
        <v>7542.4124887199996</v>
      </c>
    </row>
    <row r="21" spans="1:11" x14ac:dyDescent="0.25">
      <c r="A21" t="s">
        <v>180</v>
      </c>
      <c r="B21" s="4">
        <v>1</v>
      </c>
      <c r="C21" t="s">
        <v>175</v>
      </c>
      <c r="D21" s="9">
        <v>5884.4394000000002</v>
      </c>
      <c r="E21" s="9">
        <v>335.18033252999999</v>
      </c>
      <c r="F21" s="9">
        <v>1695.8954350800002</v>
      </c>
      <c r="G21" s="9">
        <v>3853.36363239</v>
      </c>
      <c r="H21" s="9">
        <v>7542.4124887199996</v>
      </c>
    </row>
    <row r="22" spans="1:11" x14ac:dyDescent="0.25">
      <c r="A22" t="s">
        <v>181</v>
      </c>
      <c r="B22" s="4">
        <v>1</v>
      </c>
      <c r="C22" t="s">
        <v>175</v>
      </c>
      <c r="D22" s="9">
        <v>5884.4394000000002</v>
      </c>
      <c r="E22" s="9">
        <v>0</v>
      </c>
      <c r="F22" s="9">
        <v>1695.8954350800002</v>
      </c>
      <c r="G22" s="9">
        <v>4188.5439649199998</v>
      </c>
      <c r="H22" s="9">
        <v>5884.4394000000002</v>
      </c>
    </row>
    <row r="23" spans="1:11" x14ac:dyDescent="0.25">
      <c r="A23" t="s">
        <v>183</v>
      </c>
      <c r="B23" s="4">
        <v>1</v>
      </c>
      <c r="C23" t="s">
        <v>175</v>
      </c>
      <c r="D23" s="9">
        <v>5884.4394000000002</v>
      </c>
      <c r="E23" s="9">
        <v>335.18033252999999</v>
      </c>
      <c r="F23" s="9">
        <v>1695.8954350800002</v>
      </c>
      <c r="G23" s="9">
        <v>3853.36363239</v>
      </c>
      <c r="H23" s="9">
        <v>7542.4124887199996</v>
      </c>
    </row>
    <row r="24" spans="1:11" x14ac:dyDescent="0.25">
      <c r="A24" t="s">
        <v>184</v>
      </c>
      <c r="B24" s="4">
        <v>1</v>
      </c>
      <c r="C24" t="s">
        <v>175</v>
      </c>
      <c r="D24" s="9">
        <v>5884.4394000000002</v>
      </c>
      <c r="E24" s="9">
        <v>335.18033252999999</v>
      </c>
      <c r="F24" s="9">
        <v>1695.8954350800002</v>
      </c>
      <c r="G24" s="9">
        <v>3853.36363239</v>
      </c>
      <c r="H24" s="9">
        <v>7542.4124887199996</v>
      </c>
    </row>
    <row r="25" spans="1:11" x14ac:dyDescent="0.25">
      <c r="A25" t="s">
        <v>185</v>
      </c>
      <c r="B25" s="4">
        <v>1</v>
      </c>
      <c r="C25" t="s">
        <v>175</v>
      </c>
      <c r="D25" s="9">
        <v>5884.4394000000002</v>
      </c>
      <c r="E25" s="9">
        <v>335.18033252999999</v>
      </c>
      <c r="F25" s="9">
        <v>1695.8954350800002</v>
      </c>
      <c r="G25" s="9">
        <v>3853.36363239</v>
      </c>
      <c r="H25" s="9">
        <v>7542.4124887199996</v>
      </c>
    </row>
    <row r="26" spans="1:11" x14ac:dyDescent="0.25">
      <c r="A26" t="s">
        <v>186</v>
      </c>
      <c r="B26" s="4">
        <v>1</v>
      </c>
      <c r="C26" t="s">
        <v>175</v>
      </c>
      <c r="D26" s="9">
        <v>5884.4394000000002</v>
      </c>
      <c r="E26" s="9">
        <v>335.18033252999999</v>
      </c>
      <c r="F26" s="9">
        <v>1695.8954350800002</v>
      </c>
      <c r="G26" s="9">
        <v>3853.36363239</v>
      </c>
      <c r="H26" s="9">
        <v>7542.4124887199996</v>
      </c>
    </row>
    <row r="27" spans="1:11" x14ac:dyDescent="0.25">
      <c r="A27" t="s">
        <v>187</v>
      </c>
      <c r="B27" s="4">
        <v>1</v>
      </c>
      <c r="C27" t="s">
        <v>175</v>
      </c>
      <c r="D27" s="9">
        <v>5884.4394000000002</v>
      </c>
      <c r="E27" s="9">
        <v>335.18033252999999</v>
      </c>
      <c r="F27" s="9">
        <v>1695.8954350800002</v>
      </c>
      <c r="G27" s="9">
        <v>3853.36363239</v>
      </c>
      <c r="H27" s="9">
        <v>7542.4124887199996</v>
      </c>
    </row>
    <row r="28" spans="1:11" x14ac:dyDescent="0.25">
      <c r="A28" t="s">
        <v>188</v>
      </c>
      <c r="B28" s="4">
        <v>1</v>
      </c>
      <c r="C28" t="s">
        <v>175</v>
      </c>
      <c r="D28" s="9">
        <v>5884.4394000000002</v>
      </c>
      <c r="E28" s="9">
        <v>0</v>
      </c>
      <c r="F28" s="9">
        <v>1695.8954350800002</v>
      </c>
      <c r="G28" s="9">
        <v>4188.5439649199998</v>
      </c>
      <c r="H28" s="9">
        <v>5884.4394000000002</v>
      </c>
    </row>
    <row r="29" spans="1:11" x14ac:dyDescent="0.25">
      <c r="A29" t="s">
        <v>189</v>
      </c>
      <c r="B29" s="4">
        <v>1</v>
      </c>
      <c r="C29" t="s">
        <v>175</v>
      </c>
      <c r="D29" s="9">
        <v>5884.4394000000002</v>
      </c>
      <c r="E29" s="9">
        <v>335.18033252999999</v>
      </c>
      <c r="F29" s="9">
        <v>1695.8954350800002</v>
      </c>
      <c r="G29" s="9">
        <v>3853.36363239</v>
      </c>
      <c r="H29" s="9">
        <v>7542.4124887199996</v>
      </c>
    </row>
    <row r="30" spans="1:11" x14ac:dyDescent="0.25">
      <c r="A30" s="45" t="s">
        <v>340</v>
      </c>
      <c r="B30" s="45"/>
      <c r="C30" s="45"/>
      <c r="D30" s="14">
        <v>82382.151600000027</v>
      </c>
      <c r="E30" s="14">
        <v>4022.1639903599989</v>
      </c>
      <c r="F30" s="14">
        <v>23742.536091120004</v>
      </c>
      <c r="G30" s="14">
        <v>54617.451518519993</v>
      </c>
      <c r="H30" s="14">
        <v>102277.82866464001</v>
      </c>
    </row>
    <row r="32" spans="1:11" x14ac:dyDescent="0.25">
      <c r="A32" s="55" t="s">
        <v>279</v>
      </c>
      <c r="B32" s="55"/>
      <c r="C32" s="55"/>
      <c r="D32" s="55"/>
      <c r="E32" s="55"/>
      <c r="F32" s="55"/>
      <c r="G32" s="55"/>
      <c r="H32" s="55"/>
      <c r="I32" s="55"/>
      <c r="J32" s="55"/>
      <c r="K32" s="55"/>
    </row>
    <row r="33" spans="1:11" ht="30" x14ac:dyDescent="0.25">
      <c r="A33" s="36" t="s">
        <v>341</v>
      </c>
      <c r="B33" s="37">
        <v>21629</v>
      </c>
      <c r="C33" s="37"/>
      <c r="D33" s="38" t="s">
        <v>342</v>
      </c>
      <c r="E33" s="37">
        <v>1802.4166666666667</v>
      </c>
      <c r="F33" s="37"/>
      <c r="G33" s="38" t="s">
        <v>343</v>
      </c>
      <c r="H33" s="37">
        <v>283.81335836000039</v>
      </c>
      <c r="I33" s="39"/>
      <c r="J33" s="39"/>
      <c r="K33" s="39"/>
    </row>
    <row r="34" spans="1:11" x14ac:dyDescent="0.25">
      <c r="A34" s="39"/>
      <c r="B34" s="39"/>
      <c r="C34" s="39"/>
      <c r="D34" s="39"/>
      <c r="E34" s="39"/>
      <c r="F34" s="39"/>
      <c r="G34" s="39"/>
      <c r="H34" s="39"/>
      <c r="I34" s="39"/>
      <c r="J34" s="39"/>
      <c r="K34" s="39"/>
    </row>
    <row r="35" spans="1:11" ht="33.950000000000003" customHeight="1" x14ac:dyDescent="0.25">
      <c r="A35" s="33" t="s">
        <v>150</v>
      </c>
      <c r="B35" s="33" t="s">
        <v>344</v>
      </c>
      <c r="C35" s="33" t="s">
        <v>345</v>
      </c>
      <c r="D35" s="33" t="s">
        <v>346</v>
      </c>
      <c r="E35" s="33" t="s">
        <v>347</v>
      </c>
      <c r="F35" s="33" t="s">
        <v>348</v>
      </c>
      <c r="G35" s="33" t="s">
        <v>349</v>
      </c>
      <c r="H35" s="33" t="s">
        <v>327</v>
      </c>
      <c r="I35" s="33" t="s">
        <v>328</v>
      </c>
      <c r="J35" s="33" t="s">
        <v>350</v>
      </c>
      <c r="K35" s="33" t="s">
        <v>351</v>
      </c>
    </row>
    <row r="36" spans="1:11" x14ac:dyDescent="0.25">
      <c r="A36" s="39" t="s">
        <v>173</v>
      </c>
      <c r="B36" s="37">
        <v>1802.4166666666667</v>
      </c>
      <c r="C36" s="37">
        <v>6961.29</v>
      </c>
      <c r="D36" s="37">
        <v>8598.2626333333337</v>
      </c>
      <c r="E36" s="37">
        <v>335.18033252999999</v>
      </c>
      <c r="F36" s="37">
        <v>339.10374631999997</v>
      </c>
      <c r="G36" s="37">
        <v>3.9234137899999837</v>
      </c>
      <c r="H36" s="37">
        <v>1657.9730887199999</v>
      </c>
      <c r="I36" s="37">
        <v>1677.7007881266666</v>
      </c>
      <c r="J36" s="37">
        <v>19.727699406666716</v>
      </c>
      <c r="K36" s="37">
        <v>23.651113196666699</v>
      </c>
    </row>
    <row r="37" spans="1:11" x14ac:dyDescent="0.25">
      <c r="A37" s="39" t="s">
        <v>176</v>
      </c>
      <c r="B37" s="37">
        <v>1802.4166666666667</v>
      </c>
      <c r="C37" s="37">
        <v>6961.29</v>
      </c>
      <c r="D37" s="37">
        <v>8598.2626333333337</v>
      </c>
      <c r="E37" s="37">
        <v>335.18033252999999</v>
      </c>
      <c r="F37" s="37">
        <v>339.10374631999997</v>
      </c>
      <c r="G37" s="37">
        <v>3.9234137899999837</v>
      </c>
      <c r="H37" s="37">
        <v>1657.9730887199999</v>
      </c>
      <c r="I37" s="37">
        <v>1677.7007881266666</v>
      </c>
      <c r="J37" s="37">
        <v>19.727699406666716</v>
      </c>
      <c r="K37" s="37">
        <v>23.651113196666699</v>
      </c>
    </row>
    <row r="38" spans="1:11" x14ac:dyDescent="0.25">
      <c r="A38" s="39" t="s">
        <v>177</v>
      </c>
      <c r="B38" s="37">
        <v>1802.4166666666667</v>
      </c>
      <c r="C38" s="37">
        <v>6961.29</v>
      </c>
      <c r="D38" s="37">
        <v>8598.2626333333337</v>
      </c>
      <c r="E38" s="37">
        <v>335.18033252999999</v>
      </c>
      <c r="F38" s="37">
        <v>339.10374631999997</v>
      </c>
      <c r="G38" s="37">
        <v>3.9234137899999837</v>
      </c>
      <c r="H38" s="37">
        <v>1657.9730887199999</v>
      </c>
      <c r="I38" s="37">
        <v>1677.7007881266666</v>
      </c>
      <c r="J38" s="37">
        <v>19.727699406666716</v>
      </c>
      <c r="K38" s="37">
        <v>23.651113196666699</v>
      </c>
    </row>
    <row r="39" spans="1:11" x14ac:dyDescent="0.25">
      <c r="A39" s="39" t="s">
        <v>178</v>
      </c>
      <c r="B39" s="37">
        <v>1802.4166666666667</v>
      </c>
      <c r="C39" s="37">
        <v>6961.29</v>
      </c>
      <c r="D39" s="37">
        <v>8598.2626333333337</v>
      </c>
      <c r="E39" s="37">
        <v>335.18033252999999</v>
      </c>
      <c r="F39" s="37">
        <v>339.10374631999997</v>
      </c>
      <c r="G39" s="37">
        <v>3.9234137899999837</v>
      </c>
      <c r="H39" s="37">
        <v>1657.9730887199999</v>
      </c>
      <c r="I39" s="37">
        <v>1677.7007881266666</v>
      </c>
      <c r="J39" s="37">
        <v>19.727699406666716</v>
      </c>
      <c r="K39" s="37">
        <v>23.651113196666699</v>
      </c>
    </row>
    <row r="40" spans="1:11" x14ac:dyDescent="0.25">
      <c r="A40" s="39" t="s">
        <v>179</v>
      </c>
      <c r="B40" s="37">
        <v>1802.4166666666667</v>
      </c>
      <c r="C40" s="37">
        <v>6961.29</v>
      </c>
      <c r="D40" s="37">
        <v>8598.2626333333337</v>
      </c>
      <c r="E40" s="37">
        <v>335.18033252999999</v>
      </c>
      <c r="F40" s="37">
        <v>339.10374631999997</v>
      </c>
      <c r="G40" s="37">
        <v>3.9234137899999837</v>
      </c>
      <c r="H40" s="37">
        <v>1657.9730887199999</v>
      </c>
      <c r="I40" s="37">
        <v>1677.7007881266666</v>
      </c>
      <c r="J40" s="37">
        <v>19.727699406666716</v>
      </c>
      <c r="K40" s="37">
        <v>23.651113196666699</v>
      </c>
    </row>
    <row r="41" spans="1:11" x14ac:dyDescent="0.25">
      <c r="A41" s="39" t="s">
        <v>180</v>
      </c>
      <c r="B41" s="37">
        <v>1802.4166666666667</v>
      </c>
      <c r="C41" s="37">
        <v>6961.29</v>
      </c>
      <c r="D41" s="37">
        <v>8598.2626333333337</v>
      </c>
      <c r="E41" s="37">
        <v>335.18033252999999</v>
      </c>
      <c r="F41" s="37">
        <v>339.10374631999997</v>
      </c>
      <c r="G41" s="37">
        <v>3.9234137899999837</v>
      </c>
      <c r="H41" s="37">
        <v>1657.9730887199999</v>
      </c>
      <c r="I41" s="37">
        <v>1677.7007881266666</v>
      </c>
      <c r="J41" s="37">
        <v>19.727699406666716</v>
      </c>
      <c r="K41" s="37">
        <v>23.651113196666699</v>
      </c>
    </row>
    <row r="42" spans="1:11" x14ac:dyDescent="0.25">
      <c r="A42" s="39" t="s">
        <v>183</v>
      </c>
      <c r="B42" s="37">
        <v>1802.4166666666667</v>
      </c>
      <c r="C42" s="37">
        <v>6961.29</v>
      </c>
      <c r="D42" s="37">
        <v>8598.2626333333337</v>
      </c>
      <c r="E42" s="37">
        <v>335.18033252999999</v>
      </c>
      <c r="F42" s="37">
        <v>339.10374631999997</v>
      </c>
      <c r="G42" s="37">
        <v>3.9234137899999837</v>
      </c>
      <c r="H42" s="37">
        <v>1657.9730887199999</v>
      </c>
      <c r="I42" s="37">
        <v>1677.7007881266666</v>
      </c>
      <c r="J42" s="37">
        <v>19.727699406666716</v>
      </c>
      <c r="K42" s="37">
        <v>23.651113196666699</v>
      </c>
    </row>
    <row r="43" spans="1:11" x14ac:dyDescent="0.25">
      <c r="A43" s="39" t="s">
        <v>184</v>
      </c>
      <c r="B43" s="37">
        <v>1802.4166666666667</v>
      </c>
      <c r="C43" s="37">
        <v>6961.29</v>
      </c>
      <c r="D43" s="37">
        <v>8598.2626333333337</v>
      </c>
      <c r="E43" s="37">
        <v>335.18033252999999</v>
      </c>
      <c r="F43" s="37">
        <v>339.10374631999997</v>
      </c>
      <c r="G43" s="37">
        <v>3.9234137899999837</v>
      </c>
      <c r="H43" s="37">
        <v>1657.9730887199999</v>
      </c>
      <c r="I43" s="37">
        <v>1677.7007881266666</v>
      </c>
      <c r="J43" s="37">
        <v>19.727699406666716</v>
      </c>
      <c r="K43" s="37">
        <v>23.651113196666699</v>
      </c>
    </row>
    <row r="44" spans="1:11" x14ac:dyDescent="0.25">
      <c r="A44" s="39" t="s">
        <v>185</v>
      </c>
      <c r="B44" s="37">
        <v>1802.4166666666667</v>
      </c>
      <c r="C44" s="37">
        <v>6961.29</v>
      </c>
      <c r="D44" s="37">
        <v>8598.2626333333337</v>
      </c>
      <c r="E44" s="37">
        <v>335.18033252999999</v>
      </c>
      <c r="F44" s="37">
        <v>339.10374631999997</v>
      </c>
      <c r="G44" s="37">
        <v>3.9234137899999837</v>
      </c>
      <c r="H44" s="37">
        <v>1657.9730887199999</v>
      </c>
      <c r="I44" s="37">
        <v>1677.7007881266666</v>
      </c>
      <c r="J44" s="37">
        <v>19.727699406666716</v>
      </c>
      <c r="K44" s="37">
        <v>23.651113196666699</v>
      </c>
    </row>
    <row r="45" spans="1:11" x14ac:dyDescent="0.25">
      <c r="A45" s="39" t="s">
        <v>186</v>
      </c>
      <c r="B45" s="37">
        <v>1802.4166666666667</v>
      </c>
      <c r="C45" s="37">
        <v>6961.29</v>
      </c>
      <c r="D45" s="37">
        <v>8598.2626333333337</v>
      </c>
      <c r="E45" s="37">
        <v>335.18033252999999</v>
      </c>
      <c r="F45" s="37">
        <v>339.10374631999997</v>
      </c>
      <c r="G45" s="37">
        <v>3.9234137899999837</v>
      </c>
      <c r="H45" s="37">
        <v>1657.9730887199999</v>
      </c>
      <c r="I45" s="37">
        <v>1677.7007881266666</v>
      </c>
      <c r="J45" s="37">
        <v>19.727699406666716</v>
      </c>
      <c r="K45" s="37">
        <v>23.651113196666699</v>
      </c>
    </row>
    <row r="46" spans="1:11" x14ac:dyDescent="0.25">
      <c r="A46" s="39" t="s">
        <v>187</v>
      </c>
      <c r="B46" s="37">
        <v>1802.4166666666667</v>
      </c>
      <c r="C46" s="37">
        <v>6961.29</v>
      </c>
      <c r="D46" s="37">
        <v>8598.2626333333337</v>
      </c>
      <c r="E46" s="37">
        <v>335.18033252999999</v>
      </c>
      <c r="F46" s="37">
        <v>339.10374631999997</v>
      </c>
      <c r="G46" s="37">
        <v>3.9234137899999837</v>
      </c>
      <c r="H46" s="37">
        <v>1657.9730887199999</v>
      </c>
      <c r="I46" s="37">
        <v>1677.7007881266666</v>
      </c>
      <c r="J46" s="37">
        <v>19.727699406666716</v>
      </c>
      <c r="K46" s="37">
        <v>23.651113196666699</v>
      </c>
    </row>
    <row r="47" spans="1:11" x14ac:dyDescent="0.25">
      <c r="A47" s="39" t="s">
        <v>189</v>
      </c>
      <c r="B47" s="37">
        <v>1802.4166666666667</v>
      </c>
      <c r="C47" s="37">
        <v>6961.29</v>
      </c>
      <c r="D47" s="37">
        <v>8598.2626333333337</v>
      </c>
      <c r="E47" s="37">
        <v>335.18033252999999</v>
      </c>
      <c r="F47" s="37">
        <v>339.10374631999997</v>
      </c>
      <c r="G47" s="37">
        <v>3.9234137899999837</v>
      </c>
      <c r="H47" s="37">
        <v>1657.9730887199999</v>
      </c>
      <c r="I47" s="37">
        <v>1677.7007881266666</v>
      </c>
      <c r="J47" s="37">
        <v>19.727699406666716</v>
      </c>
      <c r="K47" s="37">
        <v>23.651113196666699</v>
      </c>
    </row>
    <row r="48" spans="1:11" x14ac:dyDescent="0.25">
      <c r="A48" s="40" t="s">
        <v>352</v>
      </c>
      <c r="B48" s="41">
        <f t="shared" ref="B48:K48" si="0">SUM(B36:B47)</f>
        <v>21629</v>
      </c>
      <c r="C48" s="41">
        <f t="shared" si="0"/>
        <v>83535.479999999981</v>
      </c>
      <c r="D48" s="41">
        <f t="shared" si="0"/>
        <v>103179.1516</v>
      </c>
      <c r="E48" s="41">
        <f t="shared" si="0"/>
        <v>4022.1639903599989</v>
      </c>
      <c r="F48" s="41">
        <f t="shared" si="0"/>
        <v>4069.2449558399999</v>
      </c>
      <c r="G48" s="41">
        <f t="shared" si="0"/>
        <v>47.080965479999804</v>
      </c>
      <c r="H48" s="41">
        <f t="shared" si="0"/>
        <v>19895.677064639996</v>
      </c>
      <c r="I48" s="41">
        <f t="shared" si="0"/>
        <v>20132.40945752</v>
      </c>
      <c r="J48" s="41">
        <f t="shared" si="0"/>
        <v>236.73239288000059</v>
      </c>
      <c r="K48" s="41">
        <f t="shared" si="0"/>
        <v>283.81335836000039</v>
      </c>
    </row>
  </sheetData>
  <mergeCells count="4">
    <mergeCell ref="A1:H1"/>
    <mergeCell ref="D5:H5"/>
    <mergeCell ref="A30:C30"/>
    <mergeCell ref="A32:K32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K48"/>
  <sheetViews>
    <sheetView workbookViewId="0"/>
  </sheetViews>
  <sheetFormatPr baseColWidth="10" defaultColWidth="9.140625" defaultRowHeight="15" x14ac:dyDescent="0.25"/>
  <cols>
    <col min="1" max="1" width="18" customWidth="1"/>
    <col min="2" max="11" width="16" customWidth="1"/>
  </cols>
  <sheetData>
    <row r="1" spans="1:8" ht="26.1" customHeight="1" x14ac:dyDescent="0.3">
      <c r="A1" s="46" t="s">
        <v>332</v>
      </c>
      <c r="B1" s="46"/>
      <c r="C1" s="46"/>
      <c r="D1" s="46"/>
      <c r="E1" s="46"/>
      <c r="F1" s="46"/>
      <c r="G1" s="46"/>
      <c r="H1" s="46"/>
    </row>
    <row r="3" spans="1:8" x14ac:dyDescent="0.25">
      <c r="A3" t="s">
        <v>149</v>
      </c>
      <c r="B3" s="13" t="s">
        <v>124</v>
      </c>
    </row>
    <row r="5" spans="1:8" x14ac:dyDescent="0.25">
      <c r="A5" t="s">
        <v>74</v>
      </c>
      <c r="B5" t="s">
        <v>125</v>
      </c>
      <c r="D5" s="54" t="s">
        <v>333</v>
      </c>
      <c r="E5" s="54"/>
      <c r="F5" s="54"/>
      <c r="G5" s="54"/>
      <c r="H5" s="54"/>
    </row>
    <row r="6" spans="1:8" x14ac:dyDescent="0.25">
      <c r="A6" t="s">
        <v>334</v>
      </c>
      <c r="B6">
        <v>1980</v>
      </c>
      <c r="D6" t="s">
        <v>335</v>
      </c>
      <c r="E6" s="9">
        <v>31370.37183</v>
      </c>
    </row>
    <row r="7" spans="1:8" x14ac:dyDescent="0.25">
      <c r="A7" t="s">
        <v>76</v>
      </c>
      <c r="B7" s="1">
        <v>40098</v>
      </c>
      <c r="D7" t="s">
        <v>336</v>
      </c>
      <c r="E7" s="9">
        <v>2038.2049983750007</v>
      </c>
    </row>
    <row r="8" spans="1:8" x14ac:dyDescent="0.25">
      <c r="A8" t="s">
        <v>77</v>
      </c>
      <c r="B8" s="4">
        <v>0.16750000000000001</v>
      </c>
      <c r="D8" t="s">
        <v>77</v>
      </c>
      <c r="E8" s="9">
        <v>5330.6899957500009</v>
      </c>
    </row>
    <row r="9" spans="1:8" x14ac:dyDescent="0.25">
      <c r="A9" t="s">
        <v>78</v>
      </c>
      <c r="B9" s="4">
        <v>1</v>
      </c>
      <c r="D9" t="s">
        <v>337</v>
      </c>
      <c r="E9" s="9">
        <v>24001.476835874997</v>
      </c>
    </row>
    <row r="10" spans="1:8" x14ac:dyDescent="0.25">
      <c r="A10" t="s">
        <v>79</v>
      </c>
      <c r="B10" t="s">
        <v>141</v>
      </c>
      <c r="D10" t="s">
        <v>338</v>
      </c>
      <c r="E10" s="9">
        <v>10081.275491962499</v>
      </c>
    </row>
    <row r="11" spans="1:8" x14ac:dyDescent="0.25">
      <c r="A11" t="s">
        <v>82</v>
      </c>
      <c r="B11" s="9">
        <v>1574.13</v>
      </c>
      <c r="D11" t="s">
        <v>267</v>
      </c>
      <c r="E11" s="9">
        <v>41451.647321962511</v>
      </c>
    </row>
    <row r="12" spans="1:8" x14ac:dyDescent="0.25">
      <c r="A12" t="s">
        <v>81</v>
      </c>
      <c r="B12" s="4">
        <v>1.4999999999999999E-2</v>
      </c>
    </row>
    <row r="13" spans="1:8" x14ac:dyDescent="0.25">
      <c r="A13" s="35" t="s">
        <v>90</v>
      </c>
      <c r="B13" s="34">
        <v>8094</v>
      </c>
    </row>
    <row r="15" spans="1:8" x14ac:dyDescent="0.25">
      <c r="A15" s="6" t="s">
        <v>150</v>
      </c>
      <c r="B15" s="6" t="s">
        <v>339</v>
      </c>
      <c r="C15" s="6" t="s">
        <v>165</v>
      </c>
      <c r="D15" s="6" t="s">
        <v>94</v>
      </c>
      <c r="E15" s="6" t="s">
        <v>336</v>
      </c>
      <c r="F15" s="6" t="s">
        <v>77</v>
      </c>
      <c r="G15" s="6" t="s">
        <v>95</v>
      </c>
      <c r="H15" s="6" t="s">
        <v>267</v>
      </c>
    </row>
    <row r="16" spans="1:8" x14ac:dyDescent="0.25">
      <c r="A16" t="s">
        <v>173</v>
      </c>
      <c r="B16" s="4">
        <v>1</v>
      </c>
      <c r="C16" t="s">
        <v>175</v>
      </c>
      <c r="D16" s="9">
        <v>2166.2405100000001</v>
      </c>
      <c r="E16" s="9">
        <v>164.27323867500002</v>
      </c>
      <c r="F16" s="9">
        <v>368.26088670000001</v>
      </c>
      <c r="G16" s="9">
        <v>1633.7063846250003</v>
      </c>
      <c r="H16" s="9">
        <v>2978.7612212925001</v>
      </c>
    </row>
    <row r="17" spans="1:11" x14ac:dyDescent="0.25">
      <c r="A17" t="s">
        <v>176</v>
      </c>
      <c r="B17" s="4">
        <v>1</v>
      </c>
      <c r="C17" t="s">
        <v>175</v>
      </c>
      <c r="D17" s="9">
        <v>2246.4716400000002</v>
      </c>
      <c r="E17" s="9">
        <v>170.3574327</v>
      </c>
      <c r="F17" s="9">
        <v>381.90017880000005</v>
      </c>
      <c r="G17" s="9">
        <v>1694.2140285</v>
      </c>
      <c r="H17" s="9">
        <v>3089.08571097</v>
      </c>
    </row>
    <row r="18" spans="1:11" x14ac:dyDescent="0.25">
      <c r="A18" t="s">
        <v>177</v>
      </c>
      <c r="B18" s="4">
        <v>1</v>
      </c>
      <c r="C18" t="s">
        <v>175</v>
      </c>
      <c r="D18" s="9">
        <v>2246.4716400000002</v>
      </c>
      <c r="E18" s="9">
        <v>170.3574327</v>
      </c>
      <c r="F18" s="9">
        <v>381.90017880000005</v>
      </c>
      <c r="G18" s="9">
        <v>1694.2140285</v>
      </c>
      <c r="H18" s="9">
        <v>3089.08571097</v>
      </c>
    </row>
    <row r="19" spans="1:11" x14ac:dyDescent="0.25">
      <c r="A19" t="s">
        <v>178</v>
      </c>
      <c r="B19" s="4">
        <v>1</v>
      </c>
      <c r="C19" t="s">
        <v>175</v>
      </c>
      <c r="D19" s="9">
        <v>2246.4716400000002</v>
      </c>
      <c r="E19" s="9">
        <v>170.3574327</v>
      </c>
      <c r="F19" s="9">
        <v>381.90017880000005</v>
      </c>
      <c r="G19" s="9">
        <v>1694.2140285</v>
      </c>
      <c r="H19" s="9">
        <v>3089.08571097</v>
      </c>
    </row>
    <row r="20" spans="1:11" x14ac:dyDescent="0.25">
      <c r="A20" t="s">
        <v>179</v>
      </c>
      <c r="B20" s="4">
        <v>1</v>
      </c>
      <c r="C20" t="s">
        <v>175</v>
      </c>
      <c r="D20" s="9">
        <v>2246.4716400000002</v>
      </c>
      <c r="E20" s="9">
        <v>170.3574327</v>
      </c>
      <c r="F20" s="9">
        <v>381.90017880000005</v>
      </c>
      <c r="G20" s="9">
        <v>1694.2140285</v>
      </c>
      <c r="H20" s="9">
        <v>3089.08571097</v>
      </c>
    </row>
    <row r="21" spans="1:11" x14ac:dyDescent="0.25">
      <c r="A21" t="s">
        <v>180</v>
      </c>
      <c r="B21" s="4">
        <v>1</v>
      </c>
      <c r="C21" t="s">
        <v>175</v>
      </c>
      <c r="D21" s="9">
        <v>2246.4716400000002</v>
      </c>
      <c r="E21" s="9">
        <v>170.3574327</v>
      </c>
      <c r="F21" s="9">
        <v>381.90017880000005</v>
      </c>
      <c r="G21" s="9">
        <v>1694.2140285</v>
      </c>
      <c r="H21" s="9">
        <v>3089.08571097</v>
      </c>
    </row>
    <row r="22" spans="1:11" x14ac:dyDescent="0.25">
      <c r="A22" t="s">
        <v>181</v>
      </c>
      <c r="B22" s="4">
        <v>1</v>
      </c>
      <c r="C22" t="s">
        <v>175</v>
      </c>
      <c r="D22" s="9">
        <v>2246.4716400000002</v>
      </c>
      <c r="E22" s="9">
        <v>0</v>
      </c>
      <c r="F22" s="9">
        <v>379.62696345000001</v>
      </c>
      <c r="G22" s="9">
        <v>1866.8446765500003</v>
      </c>
      <c r="H22" s="9">
        <v>2246.4716400000002</v>
      </c>
    </row>
    <row r="23" spans="1:11" x14ac:dyDescent="0.25">
      <c r="A23" t="s">
        <v>183</v>
      </c>
      <c r="B23" s="4">
        <v>1</v>
      </c>
      <c r="C23" t="s">
        <v>175</v>
      </c>
      <c r="D23" s="9">
        <v>2246.4716400000002</v>
      </c>
      <c r="E23" s="9">
        <v>170.3574327</v>
      </c>
      <c r="F23" s="9">
        <v>381.90017880000005</v>
      </c>
      <c r="G23" s="9">
        <v>1694.2140285</v>
      </c>
      <c r="H23" s="9">
        <v>3089.08571097</v>
      </c>
    </row>
    <row r="24" spans="1:11" x14ac:dyDescent="0.25">
      <c r="A24" t="s">
        <v>184</v>
      </c>
      <c r="B24" s="4">
        <v>1</v>
      </c>
      <c r="C24" t="s">
        <v>175</v>
      </c>
      <c r="D24" s="9">
        <v>2246.4716400000002</v>
      </c>
      <c r="E24" s="9">
        <v>170.3574327</v>
      </c>
      <c r="F24" s="9">
        <v>381.90017880000005</v>
      </c>
      <c r="G24" s="9">
        <v>1694.2140285</v>
      </c>
      <c r="H24" s="9">
        <v>3089.08571097</v>
      </c>
    </row>
    <row r="25" spans="1:11" x14ac:dyDescent="0.25">
      <c r="A25" t="s">
        <v>185</v>
      </c>
      <c r="B25" s="4">
        <v>1</v>
      </c>
      <c r="C25" t="s">
        <v>175</v>
      </c>
      <c r="D25" s="9">
        <v>2246.4716400000002</v>
      </c>
      <c r="E25" s="9">
        <v>170.3574327</v>
      </c>
      <c r="F25" s="9">
        <v>381.90017880000005</v>
      </c>
      <c r="G25" s="9">
        <v>1694.2140285</v>
      </c>
      <c r="H25" s="9">
        <v>3089.08571097</v>
      </c>
    </row>
    <row r="26" spans="1:11" x14ac:dyDescent="0.25">
      <c r="A26" t="s">
        <v>186</v>
      </c>
      <c r="B26" s="4">
        <v>1</v>
      </c>
      <c r="C26" t="s">
        <v>175</v>
      </c>
      <c r="D26" s="9">
        <v>2246.4716400000002</v>
      </c>
      <c r="E26" s="9">
        <v>170.3574327</v>
      </c>
      <c r="F26" s="9">
        <v>381.90017880000005</v>
      </c>
      <c r="G26" s="9">
        <v>1694.2140285</v>
      </c>
      <c r="H26" s="9">
        <v>3089.08571097</v>
      </c>
    </row>
    <row r="27" spans="1:11" x14ac:dyDescent="0.25">
      <c r="A27" t="s">
        <v>187</v>
      </c>
      <c r="B27" s="4">
        <v>1</v>
      </c>
      <c r="C27" t="s">
        <v>175</v>
      </c>
      <c r="D27" s="9">
        <v>2246.4716400000002</v>
      </c>
      <c r="E27" s="9">
        <v>170.3574327</v>
      </c>
      <c r="F27" s="9">
        <v>381.90017880000005</v>
      </c>
      <c r="G27" s="9">
        <v>1694.2140285</v>
      </c>
      <c r="H27" s="9">
        <v>3089.08571097</v>
      </c>
    </row>
    <row r="28" spans="1:11" x14ac:dyDescent="0.25">
      <c r="A28" t="s">
        <v>188</v>
      </c>
      <c r="B28" s="4">
        <v>1</v>
      </c>
      <c r="C28" t="s">
        <v>175</v>
      </c>
      <c r="D28" s="9">
        <v>2246.4716400000002</v>
      </c>
      <c r="E28" s="9">
        <v>0</v>
      </c>
      <c r="F28" s="9">
        <v>381.90017880000005</v>
      </c>
      <c r="G28" s="9">
        <v>1864.5714612000002</v>
      </c>
      <c r="H28" s="9">
        <v>2246.4716400000002</v>
      </c>
    </row>
    <row r="29" spans="1:11" x14ac:dyDescent="0.25">
      <c r="A29" t="s">
        <v>189</v>
      </c>
      <c r="B29" s="4">
        <v>1</v>
      </c>
      <c r="C29" t="s">
        <v>175</v>
      </c>
      <c r="D29" s="9">
        <v>2246.4716400000002</v>
      </c>
      <c r="E29" s="9">
        <v>170.3574327</v>
      </c>
      <c r="F29" s="9">
        <v>381.90017880000005</v>
      </c>
      <c r="G29" s="9">
        <v>1694.2140285</v>
      </c>
      <c r="H29" s="9">
        <v>3089.08571097</v>
      </c>
    </row>
    <row r="30" spans="1:11" x14ac:dyDescent="0.25">
      <c r="A30" s="45" t="s">
        <v>340</v>
      </c>
      <c r="B30" s="45"/>
      <c r="C30" s="45"/>
      <c r="D30" s="14">
        <v>31370.37183</v>
      </c>
      <c r="E30" s="14">
        <v>2038.2049983750007</v>
      </c>
      <c r="F30" s="14">
        <v>5330.6899957500009</v>
      </c>
      <c r="G30" s="14">
        <v>24001.476835874997</v>
      </c>
      <c r="H30" s="14">
        <v>41451.647321962511</v>
      </c>
    </row>
    <row r="32" spans="1:11" x14ac:dyDescent="0.25">
      <c r="A32" s="55" t="s">
        <v>279</v>
      </c>
      <c r="B32" s="55"/>
      <c r="C32" s="55"/>
      <c r="D32" s="55"/>
      <c r="E32" s="55"/>
      <c r="F32" s="55"/>
      <c r="G32" s="55"/>
      <c r="H32" s="55"/>
      <c r="I32" s="55"/>
      <c r="J32" s="55"/>
      <c r="K32" s="55"/>
    </row>
    <row r="33" spans="1:11" ht="30" x14ac:dyDescent="0.25">
      <c r="A33" s="36" t="s">
        <v>341</v>
      </c>
      <c r="B33" s="37">
        <v>8094</v>
      </c>
      <c r="C33" s="37"/>
      <c r="D33" s="38" t="s">
        <v>342</v>
      </c>
      <c r="E33" s="37">
        <v>674.5</v>
      </c>
      <c r="F33" s="37"/>
      <c r="G33" s="38" t="s">
        <v>343</v>
      </c>
      <c r="H33" s="37">
        <v>3292.9799999999996</v>
      </c>
      <c r="I33" s="39"/>
      <c r="J33" s="39"/>
      <c r="K33" s="39"/>
    </row>
    <row r="34" spans="1:11" x14ac:dyDescent="0.25">
      <c r="A34" s="39"/>
      <c r="B34" s="39"/>
      <c r="C34" s="39"/>
      <c r="D34" s="39"/>
      <c r="E34" s="39"/>
      <c r="F34" s="39"/>
      <c r="G34" s="39"/>
      <c r="H34" s="39"/>
      <c r="I34" s="39"/>
      <c r="J34" s="39"/>
      <c r="K34" s="39"/>
    </row>
    <row r="35" spans="1:11" ht="33.950000000000003" customHeight="1" x14ac:dyDescent="0.25">
      <c r="A35" s="33" t="s">
        <v>150</v>
      </c>
      <c r="B35" s="33" t="s">
        <v>344</v>
      </c>
      <c r="C35" s="33" t="s">
        <v>345</v>
      </c>
      <c r="D35" s="33" t="s">
        <v>346</v>
      </c>
      <c r="E35" s="33" t="s">
        <v>347</v>
      </c>
      <c r="F35" s="33" t="s">
        <v>348</v>
      </c>
      <c r="G35" s="33" t="s">
        <v>349</v>
      </c>
      <c r="H35" s="33" t="s">
        <v>327</v>
      </c>
      <c r="I35" s="33" t="s">
        <v>328</v>
      </c>
      <c r="J35" s="33" t="s">
        <v>350</v>
      </c>
      <c r="K35" s="33" t="s">
        <v>351</v>
      </c>
    </row>
    <row r="36" spans="1:11" x14ac:dyDescent="0.25">
      <c r="A36" s="39" t="s">
        <v>173</v>
      </c>
      <c r="B36" s="37">
        <v>674.5</v>
      </c>
      <c r="C36" s="37">
        <v>2571.0790000000002</v>
      </c>
      <c r="D36" s="37">
        <v>3237.2805950000002</v>
      </c>
      <c r="E36" s="37">
        <v>164.27323867500002</v>
      </c>
      <c r="F36" s="37">
        <v>210.42323867500002</v>
      </c>
      <c r="G36" s="37">
        <v>46.150000000000006</v>
      </c>
      <c r="H36" s="37">
        <v>812.52071129249998</v>
      </c>
      <c r="I36" s="37">
        <v>1040.7857112924999</v>
      </c>
      <c r="J36" s="37">
        <v>228.26499999999987</v>
      </c>
      <c r="K36" s="37">
        <v>274.41499999999985</v>
      </c>
    </row>
    <row r="37" spans="1:11" x14ac:dyDescent="0.25">
      <c r="A37" s="39" t="s">
        <v>176</v>
      </c>
      <c r="B37" s="37">
        <v>674.5</v>
      </c>
      <c r="C37" s="37">
        <v>2571.0790000000002</v>
      </c>
      <c r="D37" s="37">
        <v>3330.8835800000002</v>
      </c>
      <c r="E37" s="37">
        <v>170.3574327</v>
      </c>
      <c r="F37" s="37">
        <v>216.50743270000001</v>
      </c>
      <c r="G37" s="37">
        <v>46.150000000000006</v>
      </c>
      <c r="H37" s="37">
        <v>842.61407096999994</v>
      </c>
      <c r="I37" s="37">
        <v>1070.8790709699999</v>
      </c>
      <c r="J37" s="37">
        <v>228.26499999999999</v>
      </c>
      <c r="K37" s="37">
        <v>274.41499999999996</v>
      </c>
    </row>
    <row r="38" spans="1:11" x14ac:dyDescent="0.25">
      <c r="A38" s="39" t="s">
        <v>177</v>
      </c>
      <c r="B38" s="37">
        <v>674.5</v>
      </c>
      <c r="C38" s="37">
        <v>2571.0790000000002</v>
      </c>
      <c r="D38" s="37">
        <v>3330.8835800000002</v>
      </c>
      <c r="E38" s="37">
        <v>170.3574327</v>
      </c>
      <c r="F38" s="37">
        <v>216.50743270000001</v>
      </c>
      <c r="G38" s="37">
        <v>46.150000000000006</v>
      </c>
      <c r="H38" s="37">
        <v>842.61407096999994</v>
      </c>
      <c r="I38" s="37">
        <v>1070.8790709699999</v>
      </c>
      <c r="J38" s="37">
        <v>228.26499999999999</v>
      </c>
      <c r="K38" s="37">
        <v>274.41499999999996</v>
      </c>
    </row>
    <row r="39" spans="1:11" x14ac:dyDescent="0.25">
      <c r="A39" s="39" t="s">
        <v>178</v>
      </c>
      <c r="B39" s="37">
        <v>674.5</v>
      </c>
      <c r="C39" s="37">
        <v>2571.0790000000002</v>
      </c>
      <c r="D39" s="37">
        <v>3330.8835800000002</v>
      </c>
      <c r="E39" s="37">
        <v>170.3574327</v>
      </c>
      <c r="F39" s="37">
        <v>216.50743270000001</v>
      </c>
      <c r="G39" s="37">
        <v>46.150000000000006</v>
      </c>
      <c r="H39" s="37">
        <v>842.61407096999994</v>
      </c>
      <c r="I39" s="37">
        <v>1070.8790709699999</v>
      </c>
      <c r="J39" s="37">
        <v>228.26499999999999</v>
      </c>
      <c r="K39" s="37">
        <v>274.41499999999996</v>
      </c>
    </row>
    <row r="40" spans="1:11" x14ac:dyDescent="0.25">
      <c r="A40" s="39" t="s">
        <v>179</v>
      </c>
      <c r="B40" s="37">
        <v>674.5</v>
      </c>
      <c r="C40" s="37">
        <v>2571.0790000000002</v>
      </c>
      <c r="D40" s="37">
        <v>3330.8835800000002</v>
      </c>
      <c r="E40" s="37">
        <v>170.3574327</v>
      </c>
      <c r="F40" s="37">
        <v>216.50743270000001</v>
      </c>
      <c r="G40" s="37">
        <v>46.150000000000006</v>
      </c>
      <c r="H40" s="37">
        <v>842.61407096999994</v>
      </c>
      <c r="I40" s="37">
        <v>1070.8790709699999</v>
      </c>
      <c r="J40" s="37">
        <v>228.26499999999999</v>
      </c>
      <c r="K40" s="37">
        <v>274.41499999999996</v>
      </c>
    </row>
    <row r="41" spans="1:11" x14ac:dyDescent="0.25">
      <c r="A41" s="39" t="s">
        <v>180</v>
      </c>
      <c r="B41" s="37">
        <v>674.5</v>
      </c>
      <c r="C41" s="37">
        <v>2571.0790000000002</v>
      </c>
      <c r="D41" s="37">
        <v>3330.8835800000002</v>
      </c>
      <c r="E41" s="37">
        <v>170.3574327</v>
      </c>
      <c r="F41" s="37">
        <v>216.50743270000001</v>
      </c>
      <c r="G41" s="37">
        <v>46.150000000000006</v>
      </c>
      <c r="H41" s="37">
        <v>842.61407096999994</v>
      </c>
      <c r="I41" s="37">
        <v>1070.8790709699999</v>
      </c>
      <c r="J41" s="37">
        <v>228.26499999999999</v>
      </c>
      <c r="K41" s="37">
        <v>274.41499999999996</v>
      </c>
    </row>
    <row r="42" spans="1:11" x14ac:dyDescent="0.25">
      <c r="A42" s="39" t="s">
        <v>183</v>
      </c>
      <c r="B42" s="37">
        <v>674.5</v>
      </c>
      <c r="C42" s="37">
        <v>2571.0790000000002</v>
      </c>
      <c r="D42" s="37">
        <v>3330.8835800000002</v>
      </c>
      <c r="E42" s="37">
        <v>170.3574327</v>
      </c>
      <c r="F42" s="37">
        <v>216.50743270000001</v>
      </c>
      <c r="G42" s="37">
        <v>46.150000000000006</v>
      </c>
      <c r="H42" s="37">
        <v>842.61407096999994</v>
      </c>
      <c r="I42" s="37">
        <v>1070.8790709699999</v>
      </c>
      <c r="J42" s="37">
        <v>228.26499999999999</v>
      </c>
      <c r="K42" s="37">
        <v>274.41499999999996</v>
      </c>
    </row>
    <row r="43" spans="1:11" x14ac:dyDescent="0.25">
      <c r="A43" s="39" t="s">
        <v>184</v>
      </c>
      <c r="B43" s="37">
        <v>674.5</v>
      </c>
      <c r="C43" s="37">
        <v>2571.0790000000002</v>
      </c>
      <c r="D43" s="37">
        <v>3330.8835800000002</v>
      </c>
      <c r="E43" s="37">
        <v>170.3574327</v>
      </c>
      <c r="F43" s="37">
        <v>216.50743270000001</v>
      </c>
      <c r="G43" s="37">
        <v>46.150000000000006</v>
      </c>
      <c r="H43" s="37">
        <v>842.61407096999994</v>
      </c>
      <c r="I43" s="37">
        <v>1070.8790709699999</v>
      </c>
      <c r="J43" s="37">
        <v>228.26499999999999</v>
      </c>
      <c r="K43" s="37">
        <v>274.41499999999996</v>
      </c>
    </row>
    <row r="44" spans="1:11" x14ac:dyDescent="0.25">
      <c r="A44" s="39" t="s">
        <v>185</v>
      </c>
      <c r="B44" s="37">
        <v>674.5</v>
      </c>
      <c r="C44" s="37">
        <v>2571.0790000000002</v>
      </c>
      <c r="D44" s="37">
        <v>3330.8835800000002</v>
      </c>
      <c r="E44" s="37">
        <v>170.3574327</v>
      </c>
      <c r="F44" s="37">
        <v>216.50743270000001</v>
      </c>
      <c r="G44" s="37">
        <v>46.150000000000006</v>
      </c>
      <c r="H44" s="37">
        <v>842.61407096999994</v>
      </c>
      <c r="I44" s="37">
        <v>1070.8790709699999</v>
      </c>
      <c r="J44" s="37">
        <v>228.26499999999999</v>
      </c>
      <c r="K44" s="37">
        <v>274.41499999999996</v>
      </c>
    </row>
    <row r="45" spans="1:11" x14ac:dyDescent="0.25">
      <c r="A45" s="39" t="s">
        <v>186</v>
      </c>
      <c r="B45" s="37">
        <v>674.5</v>
      </c>
      <c r="C45" s="37">
        <v>2571.0790000000002</v>
      </c>
      <c r="D45" s="37">
        <v>3330.8835800000002</v>
      </c>
      <c r="E45" s="37">
        <v>170.3574327</v>
      </c>
      <c r="F45" s="37">
        <v>216.50743270000001</v>
      </c>
      <c r="G45" s="37">
        <v>46.150000000000006</v>
      </c>
      <c r="H45" s="37">
        <v>842.61407096999994</v>
      </c>
      <c r="I45" s="37">
        <v>1070.8790709699999</v>
      </c>
      <c r="J45" s="37">
        <v>228.26499999999999</v>
      </c>
      <c r="K45" s="37">
        <v>274.41499999999996</v>
      </c>
    </row>
    <row r="46" spans="1:11" x14ac:dyDescent="0.25">
      <c r="A46" s="39" t="s">
        <v>187</v>
      </c>
      <c r="B46" s="37">
        <v>674.5</v>
      </c>
      <c r="C46" s="37">
        <v>2571.0790000000002</v>
      </c>
      <c r="D46" s="37">
        <v>3330.8835800000002</v>
      </c>
      <c r="E46" s="37">
        <v>170.3574327</v>
      </c>
      <c r="F46" s="37">
        <v>216.50743270000001</v>
      </c>
      <c r="G46" s="37">
        <v>46.150000000000006</v>
      </c>
      <c r="H46" s="37">
        <v>842.61407096999994</v>
      </c>
      <c r="I46" s="37">
        <v>1070.8790709699999</v>
      </c>
      <c r="J46" s="37">
        <v>228.26499999999999</v>
      </c>
      <c r="K46" s="37">
        <v>274.41499999999996</v>
      </c>
    </row>
    <row r="47" spans="1:11" x14ac:dyDescent="0.25">
      <c r="A47" s="39" t="s">
        <v>189</v>
      </c>
      <c r="B47" s="37">
        <v>674.5</v>
      </c>
      <c r="C47" s="37">
        <v>2571.0790000000002</v>
      </c>
      <c r="D47" s="37">
        <v>3330.8835800000002</v>
      </c>
      <c r="E47" s="37">
        <v>170.3574327</v>
      </c>
      <c r="F47" s="37">
        <v>216.50743270000001</v>
      </c>
      <c r="G47" s="37">
        <v>46.150000000000006</v>
      </c>
      <c r="H47" s="37">
        <v>842.61407096999994</v>
      </c>
      <c r="I47" s="37">
        <v>1070.8790709699999</v>
      </c>
      <c r="J47" s="37">
        <v>228.26499999999999</v>
      </c>
      <c r="K47" s="37">
        <v>274.41499999999996</v>
      </c>
    </row>
    <row r="48" spans="1:11" x14ac:dyDescent="0.25">
      <c r="A48" s="40" t="s">
        <v>352</v>
      </c>
      <c r="B48" s="41">
        <f t="shared" ref="B48:K48" si="0">SUM(B36:B47)</f>
        <v>8094</v>
      </c>
      <c r="C48" s="41">
        <f t="shared" si="0"/>
        <v>30852.948000000008</v>
      </c>
      <c r="D48" s="41">
        <f t="shared" si="0"/>
        <v>39876.999975000006</v>
      </c>
      <c r="E48" s="41">
        <f t="shared" si="0"/>
        <v>2038.2049983750007</v>
      </c>
      <c r="F48" s="41">
        <f t="shared" si="0"/>
        <v>2592.0049983750005</v>
      </c>
      <c r="G48" s="41">
        <f t="shared" si="0"/>
        <v>553.79999999999995</v>
      </c>
      <c r="H48" s="41">
        <f t="shared" si="0"/>
        <v>10081.275491962499</v>
      </c>
      <c r="I48" s="41">
        <f t="shared" si="0"/>
        <v>12820.455491962501</v>
      </c>
      <c r="J48" s="41">
        <f t="shared" si="0"/>
        <v>2739.1799999999989</v>
      </c>
      <c r="K48" s="41">
        <f t="shared" si="0"/>
        <v>3292.9799999999996</v>
      </c>
    </row>
  </sheetData>
  <mergeCells count="4">
    <mergeCell ref="A1:H1"/>
    <mergeCell ref="D5:H5"/>
    <mergeCell ref="A30:C30"/>
    <mergeCell ref="A32:K32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K48"/>
  <sheetViews>
    <sheetView workbookViewId="0"/>
  </sheetViews>
  <sheetFormatPr baseColWidth="10" defaultColWidth="9.140625" defaultRowHeight="15" x14ac:dyDescent="0.25"/>
  <cols>
    <col min="1" max="1" width="18" customWidth="1"/>
    <col min="2" max="11" width="16" customWidth="1"/>
  </cols>
  <sheetData>
    <row r="1" spans="1:8" ht="26.1" customHeight="1" x14ac:dyDescent="0.3">
      <c r="A1" s="46" t="s">
        <v>332</v>
      </c>
      <c r="B1" s="46"/>
      <c r="C1" s="46"/>
      <c r="D1" s="46"/>
      <c r="E1" s="46"/>
      <c r="F1" s="46"/>
      <c r="G1" s="46"/>
      <c r="H1" s="46"/>
    </row>
    <row r="3" spans="1:8" x14ac:dyDescent="0.25">
      <c r="A3" t="s">
        <v>149</v>
      </c>
      <c r="B3" s="13" t="s">
        <v>126</v>
      </c>
    </row>
    <row r="5" spans="1:8" x14ac:dyDescent="0.25">
      <c r="A5" t="s">
        <v>74</v>
      </c>
      <c r="B5" t="s">
        <v>127</v>
      </c>
      <c r="D5" s="54" t="s">
        <v>333</v>
      </c>
      <c r="E5" s="54"/>
      <c r="F5" s="54"/>
      <c r="G5" s="54"/>
      <c r="H5" s="54"/>
    </row>
    <row r="6" spans="1:8" x14ac:dyDescent="0.25">
      <c r="A6" t="s">
        <v>334</v>
      </c>
      <c r="B6">
        <v>1977</v>
      </c>
      <c r="D6" t="s">
        <v>335</v>
      </c>
      <c r="E6" s="9">
        <v>55512.656640000008</v>
      </c>
    </row>
    <row r="7" spans="1:8" x14ac:dyDescent="0.25">
      <c r="A7" t="s">
        <v>76</v>
      </c>
      <c r="B7" s="1">
        <v>43120</v>
      </c>
      <c r="D7" t="s">
        <v>336</v>
      </c>
      <c r="E7" s="9">
        <v>3608.3226815999992</v>
      </c>
    </row>
    <row r="8" spans="1:8" x14ac:dyDescent="0.25">
      <c r="A8" t="s">
        <v>77</v>
      </c>
      <c r="B8" s="4">
        <v>0.23910000000000001</v>
      </c>
      <c r="D8" t="s">
        <v>77</v>
      </c>
      <c r="E8" s="9">
        <v>13106.538232703995</v>
      </c>
    </row>
    <row r="9" spans="1:8" x14ac:dyDescent="0.25">
      <c r="A9" t="s">
        <v>78</v>
      </c>
      <c r="B9" s="4">
        <v>1</v>
      </c>
      <c r="D9" t="s">
        <v>337</v>
      </c>
      <c r="E9" s="9">
        <v>38797.795725696</v>
      </c>
    </row>
    <row r="10" spans="1:8" x14ac:dyDescent="0.25">
      <c r="A10" t="s">
        <v>79</v>
      </c>
      <c r="B10" t="s">
        <v>141</v>
      </c>
      <c r="D10" t="s">
        <v>338</v>
      </c>
      <c r="E10" s="9">
        <v>17847.319109760003</v>
      </c>
    </row>
    <row r="11" spans="1:8" x14ac:dyDescent="0.25">
      <c r="A11" t="s">
        <v>82</v>
      </c>
      <c r="B11" s="9">
        <v>3390.24</v>
      </c>
      <c r="D11" t="s">
        <v>267</v>
      </c>
      <c r="E11" s="9">
        <v>73359.975749759978</v>
      </c>
    </row>
    <row r="12" spans="1:8" x14ac:dyDescent="0.25">
      <c r="A12" t="s">
        <v>81</v>
      </c>
      <c r="B12" s="4">
        <v>1.4999999999999999E-2</v>
      </c>
    </row>
    <row r="13" spans="1:8" x14ac:dyDescent="0.25">
      <c r="A13" s="35" t="s">
        <v>90</v>
      </c>
      <c r="B13" s="34">
        <v>0</v>
      </c>
    </row>
    <row r="15" spans="1:8" x14ac:dyDescent="0.25">
      <c r="A15" s="6" t="s">
        <v>150</v>
      </c>
      <c r="B15" s="6" t="s">
        <v>339</v>
      </c>
      <c r="C15" s="6" t="s">
        <v>165</v>
      </c>
      <c r="D15" s="6" t="s">
        <v>94</v>
      </c>
      <c r="E15" s="6" t="s">
        <v>336</v>
      </c>
      <c r="F15" s="6" t="s">
        <v>77</v>
      </c>
      <c r="G15" s="6" t="s">
        <v>95</v>
      </c>
      <c r="H15" s="6" t="s">
        <v>267</v>
      </c>
    </row>
    <row r="16" spans="1:8" x14ac:dyDescent="0.25">
      <c r="A16" t="s">
        <v>173</v>
      </c>
      <c r="B16" s="4">
        <v>1</v>
      </c>
      <c r="C16" t="s">
        <v>175</v>
      </c>
      <c r="D16" s="9">
        <v>3965.1897599999998</v>
      </c>
      <c r="E16" s="9">
        <v>300.69355680000001</v>
      </c>
      <c r="F16" s="9">
        <v>936.18130233599993</v>
      </c>
      <c r="G16" s="9">
        <v>2728.3149008639998</v>
      </c>
      <c r="H16" s="9">
        <v>5452.4663524799998</v>
      </c>
    </row>
    <row r="17" spans="1:11" x14ac:dyDescent="0.25">
      <c r="A17" t="s">
        <v>176</v>
      </c>
      <c r="B17" s="4">
        <v>1</v>
      </c>
      <c r="C17" t="s">
        <v>175</v>
      </c>
      <c r="D17" s="9">
        <v>3965.1897599999998</v>
      </c>
      <c r="E17" s="9">
        <v>300.69355680000001</v>
      </c>
      <c r="F17" s="9">
        <v>936.18130233599993</v>
      </c>
      <c r="G17" s="9">
        <v>2728.3149008639998</v>
      </c>
      <c r="H17" s="9">
        <v>5452.4663524799998</v>
      </c>
    </row>
    <row r="18" spans="1:11" x14ac:dyDescent="0.25">
      <c r="A18" t="s">
        <v>177</v>
      </c>
      <c r="B18" s="4">
        <v>1</v>
      </c>
      <c r="C18" t="s">
        <v>175</v>
      </c>
      <c r="D18" s="9">
        <v>3965.1897599999998</v>
      </c>
      <c r="E18" s="9">
        <v>300.69355680000001</v>
      </c>
      <c r="F18" s="9">
        <v>936.18130233599993</v>
      </c>
      <c r="G18" s="9">
        <v>2728.3149008639998</v>
      </c>
      <c r="H18" s="9">
        <v>5452.4663524799998</v>
      </c>
    </row>
    <row r="19" spans="1:11" x14ac:dyDescent="0.25">
      <c r="A19" t="s">
        <v>178</v>
      </c>
      <c r="B19" s="4">
        <v>1</v>
      </c>
      <c r="C19" t="s">
        <v>175</v>
      </c>
      <c r="D19" s="9">
        <v>3965.1897599999998</v>
      </c>
      <c r="E19" s="9">
        <v>300.69355680000001</v>
      </c>
      <c r="F19" s="9">
        <v>936.18130233599993</v>
      </c>
      <c r="G19" s="9">
        <v>2728.3149008639998</v>
      </c>
      <c r="H19" s="9">
        <v>5452.4663524799998</v>
      </c>
    </row>
    <row r="20" spans="1:11" x14ac:dyDescent="0.25">
      <c r="A20" t="s">
        <v>179</v>
      </c>
      <c r="B20" s="4">
        <v>1</v>
      </c>
      <c r="C20" t="s">
        <v>175</v>
      </c>
      <c r="D20" s="9">
        <v>3965.1897599999998</v>
      </c>
      <c r="E20" s="9">
        <v>300.69355680000001</v>
      </c>
      <c r="F20" s="9">
        <v>936.18130233599993</v>
      </c>
      <c r="G20" s="9">
        <v>2728.3149008639998</v>
      </c>
      <c r="H20" s="9">
        <v>5452.4663524799998</v>
      </c>
    </row>
    <row r="21" spans="1:11" x14ac:dyDescent="0.25">
      <c r="A21" t="s">
        <v>180</v>
      </c>
      <c r="B21" s="4">
        <v>1</v>
      </c>
      <c r="C21" t="s">
        <v>175</v>
      </c>
      <c r="D21" s="9">
        <v>3965.1897599999998</v>
      </c>
      <c r="E21" s="9">
        <v>300.69355680000001</v>
      </c>
      <c r="F21" s="9">
        <v>936.18130233599993</v>
      </c>
      <c r="G21" s="9">
        <v>2728.3149008639998</v>
      </c>
      <c r="H21" s="9">
        <v>5452.4663524799998</v>
      </c>
    </row>
    <row r="22" spans="1:11" x14ac:dyDescent="0.25">
      <c r="A22" t="s">
        <v>181</v>
      </c>
      <c r="B22" s="4">
        <v>1</v>
      </c>
      <c r="C22" t="s">
        <v>175</v>
      </c>
      <c r="D22" s="9">
        <v>3965.1897599999998</v>
      </c>
      <c r="E22" s="9">
        <v>0</v>
      </c>
      <c r="F22" s="9">
        <v>936.18130233599993</v>
      </c>
      <c r="G22" s="9">
        <v>3029.0084576639997</v>
      </c>
      <c r="H22" s="9">
        <v>3965.1897599999998</v>
      </c>
    </row>
    <row r="23" spans="1:11" x14ac:dyDescent="0.25">
      <c r="A23" t="s">
        <v>183</v>
      </c>
      <c r="B23" s="4">
        <v>1</v>
      </c>
      <c r="C23" t="s">
        <v>175</v>
      </c>
      <c r="D23" s="9">
        <v>3965.1897599999998</v>
      </c>
      <c r="E23" s="9">
        <v>300.69355680000001</v>
      </c>
      <c r="F23" s="9">
        <v>936.18130233599993</v>
      </c>
      <c r="G23" s="9">
        <v>2728.3149008639998</v>
      </c>
      <c r="H23" s="9">
        <v>5452.4663524799998</v>
      </c>
    </row>
    <row r="24" spans="1:11" x14ac:dyDescent="0.25">
      <c r="A24" t="s">
        <v>184</v>
      </c>
      <c r="B24" s="4">
        <v>1</v>
      </c>
      <c r="C24" t="s">
        <v>175</v>
      </c>
      <c r="D24" s="9">
        <v>3965.1897599999998</v>
      </c>
      <c r="E24" s="9">
        <v>300.69355680000001</v>
      </c>
      <c r="F24" s="9">
        <v>936.18130233599993</v>
      </c>
      <c r="G24" s="9">
        <v>2728.3149008639998</v>
      </c>
      <c r="H24" s="9">
        <v>5452.4663524799998</v>
      </c>
    </row>
    <row r="25" spans="1:11" x14ac:dyDescent="0.25">
      <c r="A25" t="s">
        <v>185</v>
      </c>
      <c r="B25" s="4">
        <v>1</v>
      </c>
      <c r="C25" t="s">
        <v>175</v>
      </c>
      <c r="D25" s="9">
        <v>3965.1897599999998</v>
      </c>
      <c r="E25" s="9">
        <v>300.69355680000001</v>
      </c>
      <c r="F25" s="9">
        <v>936.18130233599993</v>
      </c>
      <c r="G25" s="9">
        <v>2728.3149008639998</v>
      </c>
      <c r="H25" s="9">
        <v>5452.4663524799998</v>
      </c>
    </row>
    <row r="26" spans="1:11" x14ac:dyDescent="0.25">
      <c r="A26" t="s">
        <v>186</v>
      </c>
      <c r="B26" s="4">
        <v>1</v>
      </c>
      <c r="C26" t="s">
        <v>175</v>
      </c>
      <c r="D26" s="9">
        <v>3965.1897599999998</v>
      </c>
      <c r="E26" s="9">
        <v>300.69355680000001</v>
      </c>
      <c r="F26" s="9">
        <v>936.18130233599993</v>
      </c>
      <c r="G26" s="9">
        <v>2728.3149008639998</v>
      </c>
      <c r="H26" s="9">
        <v>5452.4663524799998</v>
      </c>
    </row>
    <row r="27" spans="1:11" x14ac:dyDescent="0.25">
      <c r="A27" t="s">
        <v>187</v>
      </c>
      <c r="B27" s="4">
        <v>1</v>
      </c>
      <c r="C27" t="s">
        <v>175</v>
      </c>
      <c r="D27" s="9">
        <v>3965.1897599999998</v>
      </c>
      <c r="E27" s="9">
        <v>300.69355680000001</v>
      </c>
      <c r="F27" s="9">
        <v>936.18130233599993</v>
      </c>
      <c r="G27" s="9">
        <v>2728.3149008639998</v>
      </c>
      <c r="H27" s="9">
        <v>5452.4663524799998</v>
      </c>
    </row>
    <row r="28" spans="1:11" x14ac:dyDescent="0.25">
      <c r="A28" t="s">
        <v>188</v>
      </c>
      <c r="B28" s="4">
        <v>1</v>
      </c>
      <c r="C28" t="s">
        <v>175</v>
      </c>
      <c r="D28" s="9">
        <v>3965.1897599999998</v>
      </c>
      <c r="E28" s="9">
        <v>0</v>
      </c>
      <c r="F28" s="9">
        <v>936.18130233599993</v>
      </c>
      <c r="G28" s="9">
        <v>3029.0084576639997</v>
      </c>
      <c r="H28" s="9">
        <v>3965.1897599999998</v>
      </c>
    </row>
    <row r="29" spans="1:11" x14ac:dyDescent="0.25">
      <c r="A29" t="s">
        <v>189</v>
      </c>
      <c r="B29" s="4">
        <v>1</v>
      </c>
      <c r="C29" t="s">
        <v>175</v>
      </c>
      <c r="D29" s="9">
        <v>3965.1897599999998</v>
      </c>
      <c r="E29" s="9">
        <v>300.69355680000001</v>
      </c>
      <c r="F29" s="9">
        <v>936.18130233599993</v>
      </c>
      <c r="G29" s="9">
        <v>2728.3149008639998</v>
      </c>
      <c r="H29" s="9">
        <v>5452.4663524799998</v>
      </c>
    </row>
    <row r="30" spans="1:11" x14ac:dyDescent="0.25">
      <c r="A30" s="45" t="s">
        <v>340</v>
      </c>
      <c r="B30" s="45"/>
      <c r="C30" s="45"/>
      <c r="D30" s="14">
        <v>55512.656640000008</v>
      </c>
      <c r="E30" s="14">
        <v>3608.3226815999992</v>
      </c>
      <c r="F30" s="14">
        <v>13106.538232703995</v>
      </c>
      <c r="G30" s="14">
        <v>38797.795725696</v>
      </c>
      <c r="H30" s="14">
        <v>73359.975749759978</v>
      </c>
    </row>
    <row r="32" spans="1:11" x14ac:dyDescent="0.25">
      <c r="A32" s="55" t="s">
        <v>279</v>
      </c>
      <c r="B32" s="55"/>
      <c r="C32" s="55"/>
      <c r="D32" s="55"/>
      <c r="E32" s="55"/>
      <c r="F32" s="55"/>
      <c r="G32" s="55"/>
      <c r="H32" s="55"/>
      <c r="I32" s="55"/>
      <c r="J32" s="55"/>
      <c r="K32" s="55"/>
    </row>
    <row r="33" spans="1:11" ht="30" x14ac:dyDescent="0.25">
      <c r="A33" s="36" t="s">
        <v>341</v>
      </c>
      <c r="B33" s="37">
        <v>0</v>
      </c>
      <c r="C33" s="37"/>
      <c r="D33" s="38" t="s">
        <v>342</v>
      </c>
      <c r="E33" s="37">
        <v>0</v>
      </c>
      <c r="F33" s="37"/>
      <c r="G33" s="38" t="s">
        <v>343</v>
      </c>
      <c r="H33" s="37">
        <v>0</v>
      </c>
      <c r="I33" s="39"/>
      <c r="J33" s="39"/>
      <c r="K33" s="39"/>
    </row>
    <row r="34" spans="1:11" x14ac:dyDescent="0.25">
      <c r="A34" s="39"/>
      <c r="B34" s="39"/>
      <c r="C34" s="39"/>
      <c r="D34" s="39"/>
      <c r="E34" s="39"/>
      <c r="F34" s="39"/>
      <c r="G34" s="39"/>
      <c r="H34" s="39"/>
      <c r="I34" s="39"/>
      <c r="J34" s="39"/>
      <c r="K34" s="39"/>
    </row>
    <row r="35" spans="1:11" ht="33.950000000000003" customHeight="1" x14ac:dyDescent="0.25">
      <c r="A35" s="33" t="s">
        <v>150</v>
      </c>
      <c r="B35" s="33" t="s">
        <v>344</v>
      </c>
      <c r="C35" s="33" t="s">
        <v>345</v>
      </c>
      <c r="D35" s="33" t="s">
        <v>346</v>
      </c>
      <c r="E35" s="33" t="s">
        <v>347</v>
      </c>
      <c r="F35" s="33" t="s">
        <v>348</v>
      </c>
      <c r="G35" s="33" t="s">
        <v>349</v>
      </c>
      <c r="H35" s="33" t="s">
        <v>327</v>
      </c>
      <c r="I35" s="33" t="s">
        <v>328</v>
      </c>
      <c r="J35" s="33" t="s">
        <v>350</v>
      </c>
      <c r="K35" s="33" t="s">
        <v>351</v>
      </c>
    </row>
    <row r="36" spans="1:11" x14ac:dyDescent="0.25">
      <c r="A36" s="39" t="s">
        <v>173</v>
      </c>
      <c r="B36" s="37">
        <v>0</v>
      </c>
      <c r="C36" s="37">
        <v>4548.5720000000001</v>
      </c>
      <c r="D36" s="37">
        <v>4548.5720000000001</v>
      </c>
      <c r="E36" s="37">
        <v>300.69355680000001</v>
      </c>
      <c r="F36" s="37">
        <v>300.69355680000001</v>
      </c>
      <c r="G36" s="37">
        <v>0</v>
      </c>
      <c r="H36" s="37">
        <v>1487.2765924799999</v>
      </c>
      <c r="I36" s="37">
        <v>1487.2765924799999</v>
      </c>
      <c r="J36" s="37">
        <v>0</v>
      </c>
      <c r="K36" s="37">
        <v>0</v>
      </c>
    </row>
    <row r="37" spans="1:11" x14ac:dyDescent="0.25">
      <c r="A37" s="39" t="s">
        <v>176</v>
      </c>
      <c r="B37" s="37">
        <v>0</v>
      </c>
      <c r="C37" s="37">
        <v>4746.3359999999993</v>
      </c>
      <c r="D37" s="37">
        <v>4626.0547200000001</v>
      </c>
      <c r="E37" s="37">
        <v>300.69355680000001</v>
      </c>
      <c r="F37" s="37">
        <v>300.69355680000001</v>
      </c>
      <c r="G37" s="37">
        <v>0</v>
      </c>
      <c r="H37" s="37">
        <v>1487.2765924799999</v>
      </c>
      <c r="I37" s="37">
        <v>1487.2765924799999</v>
      </c>
      <c r="J37" s="37">
        <v>0</v>
      </c>
      <c r="K37" s="37">
        <v>0</v>
      </c>
    </row>
    <row r="38" spans="1:11" x14ac:dyDescent="0.25">
      <c r="A38" s="39" t="s">
        <v>177</v>
      </c>
      <c r="B38" s="37">
        <v>0</v>
      </c>
      <c r="C38" s="37">
        <v>4746.3359999999993</v>
      </c>
      <c r="D38" s="37">
        <v>4626.0547200000001</v>
      </c>
      <c r="E38" s="37">
        <v>300.69355680000001</v>
      </c>
      <c r="F38" s="37">
        <v>300.69355680000001</v>
      </c>
      <c r="G38" s="37">
        <v>0</v>
      </c>
      <c r="H38" s="37">
        <v>1487.2765924799999</v>
      </c>
      <c r="I38" s="37">
        <v>1487.2765924799999</v>
      </c>
      <c r="J38" s="37">
        <v>0</v>
      </c>
      <c r="K38" s="37">
        <v>0</v>
      </c>
    </row>
    <row r="39" spans="1:11" x14ac:dyDescent="0.25">
      <c r="A39" s="39" t="s">
        <v>178</v>
      </c>
      <c r="B39" s="37">
        <v>0</v>
      </c>
      <c r="C39" s="37">
        <v>4746.3359999999993</v>
      </c>
      <c r="D39" s="37">
        <v>4626.0547200000001</v>
      </c>
      <c r="E39" s="37">
        <v>300.69355680000001</v>
      </c>
      <c r="F39" s="37">
        <v>300.69355680000001</v>
      </c>
      <c r="G39" s="37">
        <v>0</v>
      </c>
      <c r="H39" s="37">
        <v>1487.2765924799999</v>
      </c>
      <c r="I39" s="37">
        <v>1487.2765924799999</v>
      </c>
      <c r="J39" s="37">
        <v>0</v>
      </c>
      <c r="K39" s="37">
        <v>0</v>
      </c>
    </row>
    <row r="40" spans="1:11" x14ac:dyDescent="0.25">
      <c r="A40" s="39" t="s">
        <v>179</v>
      </c>
      <c r="B40" s="37">
        <v>0</v>
      </c>
      <c r="C40" s="37">
        <v>4746.3359999999993</v>
      </c>
      <c r="D40" s="37">
        <v>4626.0547200000001</v>
      </c>
      <c r="E40" s="37">
        <v>300.69355680000001</v>
      </c>
      <c r="F40" s="37">
        <v>300.69355680000001</v>
      </c>
      <c r="G40" s="37">
        <v>0</v>
      </c>
      <c r="H40" s="37">
        <v>1487.2765924799999</v>
      </c>
      <c r="I40" s="37">
        <v>1487.2765924799999</v>
      </c>
      <c r="J40" s="37">
        <v>0</v>
      </c>
      <c r="K40" s="37">
        <v>0</v>
      </c>
    </row>
    <row r="41" spans="1:11" x14ac:dyDescent="0.25">
      <c r="A41" s="39" t="s">
        <v>180</v>
      </c>
      <c r="B41" s="37">
        <v>0</v>
      </c>
      <c r="C41" s="37">
        <v>4746.3359999999993</v>
      </c>
      <c r="D41" s="37">
        <v>4626.0547200000001</v>
      </c>
      <c r="E41" s="37">
        <v>300.69355680000001</v>
      </c>
      <c r="F41" s="37">
        <v>300.69355680000001</v>
      </c>
      <c r="G41" s="37">
        <v>0</v>
      </c>
      <c r="H41" s="37">
        <v>1487.2765924799999</v>
      </c>
      <c r="I41" s="37">
        <v>1487.2765924799999</v>
      </c>
      <c r="J41" s="37">
        <v>0</v>
      </c>
      <c r="K41" s="37">
        <v>0</v>
      </c>
    </row>
    <row r="42" spans="1:11" x14ac:dyDescent="0.25">
      <c r="A42" s="39" t="s">
        <v>183</v>
      </c>
      <c r="B42" s="37">
        <v>0</v>
      </c>
      <c r="C42" s="37">
        <v>4746.3359999999993</v>
      </c>
      <c r="D42" s="37">
        <v>4626.0547200000001</v>
      </c>
      <c r="E42" s="37">
        <v>300.69355680000001</v>
      </c>
      <c r="F42" s="37">
        <v>300.69355680000001</v>
      </c>
      <c r="G42" s="37">
        <v>0</v>
      </c>
      <c r="H42" s="37">
        <v>1487.2765924799999</v>
      </c>
      <c r="I42" s="37">
        <v>1487.2765924799999</v>
      </c>
      <c r="J42" s="37">
        <v>0</v>
      </c>
      <c r="K42" s="37">
        <v>0</v>
      </c>
    </row>
    <row r="43" spans="1:11" x14ac:dyDescent="0.25">
      <c r="A43" s="39" t="s">
        <v>184</v>
      </c>
      <c r="B43" s="37">
        <v>0</v>
      </c>
      <c r="C43" s="37">
        <v>4746.3359999999993</v>
      </c>
      <c r="D43" s="37">
        <v>4626.0547200000001</v>
      </c>
      <c r="E43" s="37">
        <v>300.69355680000001</v>
      </c>
      <c r="F43" s="37">
        <v>300.69355680000001</v>
      </c>
      <c r="G43" s="37">
        <v>0</v>
      </c>
      <c r="H43" s="37">
        <v>1487.2765924799999</v>
      </c>
      <c r="I43" s="37">
        <v>1487.2765924799999</v>
      </c>
      <c r="J43" s="37">
        <v>0</v>
      </c>
      <c r="K43" s="37">
        <v>0</v>
      </c>
    </row>
    <row r="44" spans="1:11" x14ac:dyDescent="0.25">
      <c r="A44" s="39" t="s">
        <v>185</v>
      </c>
      <c r="B44" s="37">
        <v>0</v>
      </c>
      <c r="C44" s="37">
        <v>4746.3359999999993</v>
      </c>
      <c r="D44" s="37">
        <v>4626.0547200000001</v>
      </c>
      <c r="E44" s="37">
        <v>300.69355680000001</v>
      </c>
      <c r="F44" s="37">
        <v>300.69355680000001</v>
      </c>
      <c r="G44" s="37">
        <v>0</v>
      </c>
      <c r="H44" s="37">
        <v>1487.2765924799999</v>
      </c>
      <c r="I44" s="37">
        <v>1487.2765924799999</v>
      </c>
      <c r="J44" s="37">
        <v>0</v>
      </c>
      <c r="K44" s="37">
        <v>0</v>
      </c>
    </row>
    <row r="45" spans="1:11" x14ac:dyDescent="0.25">
      <c r="A45" s="39" t="s">
        <v>186</v>
      </c>
      <c r="B45" s="37">
        <v>0</v>
      </c>
      <c r="C45" s="37">
        <v>4746.3359999999993</v>
      </c>
      <c r="D45" s="37">
        <v>4626.0547200000001</v>
      </c>
      <c r="E45" s="37">
        <v>300.69355680000001</v>
      </c>
      <c r="F45" s="37">
        <v>300.69355680000001</v>
      </c>
      <c r="G45" s="37">
        <v>0</v>
      </c>
      <c r="H45" s="37">
        <v>1487.2765924799999</v>
      </c>
      <c r="I45" s="37">
        <v>1487.2765924799999</v>
      </c>
      <c r="J45" s="37">
        <v>0</v>
      </c>
      <c r="K45" s="37">
        <v>0</v>
      </c>
    </row>
    <row r="46" spans="1:11" x14ac:dyDescent="0.25">
      <c r="A46" s="39" t="s">
        <v>187</v>
      </c>
      <c r="B46" s="37">
        <v>0</v>
      </c>
      <c r="C46" s="37">
        <v>4746.3359999999993</v>
      </c>
      <c r="D46" s="37">
        <v>4626.0547200000001</v>
      </c>
      <c r="E46" s="37">
        <v>300.69355680000001</v>
      </c>
      <c r="F46" s="37">
        <v>300.69355680000001</v>
      </c>
      <c r="G46" s="37">
        <v>0</v>
      </c>
      <c r="H46" s="37">
        <v>1487.2765924799999</v>
      </c>
      <c r="I46" s="37">
        <v>1487.2765924799999</v>
      </c>
      <c r="J46" s="37">
        <v>0</v>
      </c>
      <c r="K46" s="37">
        <v>0</v>
      </c>
    </row>
    <row r="47" spans="1:11" x14ac:dyDescent="0.25">
      <c r="A47" s="39" t="s">
        <v>189</v>
      </c>
      <c r="B47" s="37">
        <v>0</v>
      </c>
      <c r="C47" s="37">
        <v>4746.3359999999993</v>
      </c>
      <c r="D47" s="37">
        <v>4626.0547200000001</v>
      </c>
      <c r="E47" s="37">
        <v>300.69355680000001</v>
      </c>
      <c r="F47" s="37">
        <v>300.69355680000001</v>
      </c>
      <c r="G47" s="37">
        <v>0</v>
      </c>
      <c r="H47" s="37">
        <v>1487.2765924799999</v>
      </c>
      <c r="I47" s="37">
        <v>1487.2765924799999</v>
      </c>
      <c r="J47" s="37">
        <v>0</v>
      </c>
      <c r="K47" s="37">
        <v>0</v>
      </c>
    </row>
    <row r="48" spans="1:11" x14ac:dyDescent="0.25">
      <c r="A48" s="40" t="s">
        <v>352</v>
      </c>
      <c r="B48" s="41">
        <f t="shared" ref="B48:K48" si="0">SUM(B36:B47)</f>
        <v>0</v>
      </c>
      <c r="C48" s="41">
        <f t="shared" si="0"/>
        <v>56758.267999999982</v>
      </c>
      <c r="D48" s="41">
        <f t="shared" si="0"/>
        <v>55435.173920000001</v>
      </c>
      <c r="E48" s="41">
        <f t="shared" si="0"/>
        <v>3608.3226815999992</v>
      </c>
      <c r="F48" s="41">
        <f t="shared" si="0"/>
        <v>3608.3226815999992</v>
      </c>
      <c r="G48" s="41">
        <f t="shared" si="0"/>
        <v>0</v>
      </c>
      <c r="H48" s="41">
        <f t="shared" si="0"/>
        <v>17847.319109760003</v>
      </c>
      <c r="I48" s="41">
        <f t="shared" si="0"/>
        <v>17847.319109760003</v>
      </c>
      <c r="J48" s="41">
        <f t="shared" si="0"/>
        <v>0</v>
      </c>
      <c r="K48" s="41">
        <f t="shared" si="0"/>
        <v>0</v>
      </c>
    </row>
  </sheetData>
  <mergeCells count="4">
    <mergeCell ref="A1:H1"/>
    <mergeCell ref="D5:H5"/>
    <mergeCell ref="A30:C30"/>
    <mergeCell ref="A32:K32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K48"/>
  <sheetViews>
    <sheetView workbookViewId="0"/>
  </sheetViews>
  <sheetFormatPr baseColWidth="10" defaultColWidth="9.140625" defaultRowHeight="15" x14ac:dyDescent="0.25"/>
  <cols>
    <col min="1" max="1" width="18" customWidth="1"/>
    <col min="2" max="11" width="16" customWidth="1"/>
  </cols>
  <sheetData>
    <row r="1" spans="1:8" ht="26.1" customHeight="1" x14ac:dyDescent="0.3">
      <c r="A1" s="46" t="s">
        <v>332</v>
      </c>
      <c r="B1" s="46"/>
      <c r="C1" s="46"/>
      <c r="D1" s="46"/>
      <c r="E1" s="46"/>
      <c r="F1" s="46"/>
      <c r="G1" s="46"/>
      <c r="H1" s="46"/>
    </row>
    <row r="3" spans="1:8" x14ac:dyDescent="0.25">
      <c r="A3" t="s">
        <v>149</v>
      </c>
      <c r="B3" s="13" t="s">
        <v>128</v>
      </c>
    </row>
    <row r="5" spans="1:8" x14ac:dyDescent="0.25">
      <c r="A5" t="s">
        <v>74</v>
      </c>
      <c r="B5" t="s">
        <v>129</v>
      </c>
      <c r="D5" s="54" t="s">
        <v>333</v>
      </c>
      <c r="E5" s="54"/>
      <c r="F5" s="54"/>
      <c r="G5" s="54"/>
      <c r="H5" s="54"/>
    </row>
    <row r="6" spans="1:8" x14ac:dyDescent="0.25">
      <c r="A6" t="s">
        <v>334</v>
      </c>
      <c r="B6">
        <v>1995</v>
      </c>
      <c r="D6" t="s">
        <v>335</v>
      </c>
      <c r="E6" s="9">
        <v>31311.626219999995</v>
      </c>
    </row>
    <row r="7" spans="1:8" x14ac:dyDescent="0.25">
      <c r="A7" t="s">
        <v>76</v>
      </c>
      <c r="B7" s="1">
        <v>45495</v>
      </c>
      <c r="D7" t="s">
        <v>336</v>
      </c>
      <c r="E7" s="9">
        <v>2031.6725076374992</v>
      </c>
    </row>
    <row r="8" spans="1:8" x14ac:dyDescent="0.25">
      <c r="A8" t="s">
        <v>77</v>
      </c>
      <c r="B8" s="4">
        <v>0.16739999999999999</v>
      </c>
      <c r="D8" t="s">
        <v>77</v>
      </c>
      <c r="E8" s="9">
        <v>5294.8511199045015</v>
      </c>
    </row>
    <row r="9" spans="1:8" x14ac:dyDescent="0.25">
      <c r="A9" t="s">
        <v>78</v>
      </c>
      <c r="B9" s="4">
        <v>1</v>
      </c>
      <c r="D9" t="s">
        <v>337</v>
      </c>
      <c r="E9" s="9">
        <v>23985.102592457995</v>
      </c>
    </row>
    <row r="10" spans="1:8" x14ac:dyDescent="0.25">
      <c r="A10" t="s">
        <v>79</v>
      </c>
      <c r="B10" t="s">
        <v>141</v>
      </c>
      <c r="D10" t="s">
        <v>338</v>
      </c>
      <c r="E10" s="9">
        <v>10048.964787776247</v>
      </c>
    </row>
    <row r="11" spans="1:8" x14ac:dyDescent="0.25">
      <c r="A11" t="s">
        <v>82</v>
      </c>
      <c r="B11" s="9">
        <v>2176.38</v>
      </c>
      <c r="D11" t="s">
        <v>267</v>
      </c>
      <c r="E11" s="9">
        <v>41360.591007776253</v>
      </c>
    </row>
    <row r="12" spans="1:8" x14ac:dyDescent="0.25">
      <c r="A12" t="s">
        <v>81</v>
      </c>
      <c r="B12" s="4">
        <v>1.4999999999999999E-2</v>
      </c>
    </row>
    <row r="13" spans="1:8" x14ac:dyDescent="0.25">
      <c r="A13" s="35" t="s">
        <v>90</v>
      </c>
      <c r="B13" s="34">
        <v>3053</v>
      </c>
    </row>
    <row r="15" spans="1:8" x14ac:dyDescent="0.25">
      <c r="A15" s="6" t="s">
        <v>150</v>
      </c>
      <c r="B15" s="6" t="s">
        <v>339</v>
      </c>
      <c r="C15" s="6" t="s">
        <v>165</v>
      </c>
      <c r="D15" s="6" t="s">
        <v>94</v>
      </c>
      <c r="E15" s="6" t="s">
        <v>336</v>
      </c>
      <c r="F15" s="6" t="s">
        <v>77</v>
      </c>
      <c r="G15" s="6" t="s">
        <v>95</v>
      </c>
      <c r="H15" s="6" t="s">
        <v>267</v>
      </c>
    </row>
    <row r="16" spans="1:8" x14ac:dyDescent="0.25">
      <c r="A16" t="s">
        <v>173</v>
      </c>
      <c r="B16" s="4">
        <v>1</v>
      </c>
      <c r="C16" t="s">
        <v>175</v>
      </c>
      <c r="D16" s="9">
        <v>2205.0441000000001</v>
      </c>
      <c r="E16" s="9">
        <v>167.21584424999998</v>
      </c>
      <c r="F16" s="9">
        <v>373.53447054000003</v>
      </c>
      <c r="G16" s="9">
        <v>1664.2937852100001</v>
      </c>
      <c r="H16" s="9">
        <v>3032.1193911750001</v>
      </c>
    </row>
    <row r="17" spans="1:11" x14ac:dyDescent="0.25">
      <c r="A17" t="s">
        <v>176</v>
      </c>
      <c r="B17" s="4">
        <v>1</v>
      </c>
      <c r="C17" t="s">
        <v>175</v>
      </c>
      <c r="D17" s="9">
        <v>2205.0441000000001</v>
      </c>
      <c r="E17" s="9">
        <v>167.21584424999998</v>
      </c>
      <c r="F17" s="9">
        <v>373.53447054000003</v>
      </c>
      <c r="G17" s="9">
        <v>1664.2937852100001</v>
      </c>
      <c r="H17" s="9">
        <v>3032.1193911750001</v>
      </c>
    </row>
    <row r="18" spans="1:11" x14ac:dyDescent="0.25">
      <c r="A18" t="s">
        <v>177</v>
      </c>
      <c r="B18" s="4">
        <v>1</v>
      </c>
      <c r="C18" t="s">
        <v>175</v>
      </c>
      <c r="D18" s="9">
        <v>2205.0441000000001</v>
      </c>
      <c r="E18" s="9">
        <v>167.21584424999998</v>
      </c>
      <c r="F18" s="9">
        <v>373.53447054000003</v>
      </c>
      <c r="G18" s="9">
        <v>1664.2937852100001</v>
      </c>
      <c r="H18" s="9">
        <v>3032.1193911750001</v>
      </c>
    </row>
    <row r="19" spans="1:11" x14ac:dyDescent="0.25">
      <c r="A19" t="s">
        <v>178</v>
      </c>
      <c r="B19" s="4">
        <v>1</v>
      </c>
      <c r="C19" t="s">
        <v>175</v>
      </c>
      <c r="D19" s="9">
        <v>2205.0441000000001</v>
      </c>
      <c r="E19" s="9">
        <v>167.21584424999998</v>
      </c>
      <c r="F19" s="9">
        <v>373.53447054000003</v>
      </c>
      <c r="G19" s="9">
        <v>1664.2937852100001</v>
      </c>
      <c r="H19" s="9">
        <v>3032.1193911750001</v>
      </c>
    </row>
    <row r="20" spans="1:11" x14ac:dyDescent="0.25">
      <c r="A20" t="s">
        <v>179</v>
      </c>
      <c r="B20" s="4">
        <v>1</v>
      </c>
      <c r="C20" t="s">
        <v>175</v>
      </c>
      <c r="D20" s="9">
        <v>2205.0441000000001</v>
      </c>
      <c r="E20" s="9">
        <v>167.21584424999998</v>
      </c>
      <c r="F20" s="9">
        <v>373.53447054000003</v>
      </c>
      <c r="G20" s="9">
        <v>1664.2937852100001</v>
      </c>
      <c r="H20" s="9">
        <v>3032.1193911750001</v>
      </c>
    </row>
    <row r="21" spans="1:11" x14ac:dyDescent="0.25">
      <c r="A21" t="s">
        <v>180</v>
      </c>
      <c r="B21" s="4">
        <v>1</v>
      </c>
      <c r="C21" t="s">
        <v>175</v>
      </c>
      <c r="D21" s="9">
        <v>2205.0441000000001</v>
      </c>
      <c r="E21" s="9">
        <v>167.21584424999998</v>
      </c>
      <c r="F21" s="9">
        <v>373.53447054000003</v>
      </c>
      <c r="G21" s="9">
        <v>1664.2937852100001</v>
      </c>
      <c r="H21" s="9">
        <v>3032.1193911750001</v>
      </c>
    </row>
    <row r="22" spans="1:11" x14ac:dyDescent="0.25">
      <c r="A22" t="s">
        <v>181</v>
      </c>
      <c r="B22" s="4">
        <v>1</v>
      </c>
      <c r="C22" t="s">
        <v>175</v>
      </c>
      <c r="D22" s="9">
        <v>2205.0441000000001</v>
      </c>
      <c r="E22" s="9">
        <v>0</v>
      </c>
      <c r="F22" s="9">
        <v>373.53447053999992</v>
      </c>
      <c r="G22" s="9">
        <v>1831.5096294600003</v>
      </c>
      <c r="H22" s="9">
        <v>2205.0441000000001</v>
      </c>
    </row>
    <row r="23" spans="1:11" x14ac:dyDescent="0.25">
      <c r="A23" t="s">
        <v>183</v>
      </c>
      <c r="B23" s="4">
        <v>1</v>
      </c>
      <c r="C23" t="s">
        <v>175</v>
      </c>
      <c r="D23" s="9">
        <v>2205.0441000000001</v>
      </c>
      <c r="E23" s="9">
        <v>167.21584424999998</v>
      </c>
      <c r="F23" s="9">
        <v>373.53447054000003</v>
      </c>
      <c r="G23" s="9">
        <v>1664.2937852100001</v>
      </c>
      <c r="H23" s="9">
        <v>3032.1193911750001</v>
      </c>
    </row>
    <row r="24" spans="1:11" x14ac:dyDescent="0.25">
      <c r="A24" t="s">
        <v>184</v>
      </c>
      <c r="B24" s="4">
        <v>1</v>
      </c>
      <c r="C24" t="s">
        <v>175</v>
      </c>
      <c r="D24" s="9">
        <v>2205.0441000000001</v>
      </c>
      <c r="E24" s="9">
        <v>167.21584424999998</v>
      </c>
      <c r="F24" s="9">
        <v>373.53447054000003</v>
      </c>
      <c r="G24" s="9">
        <v>1664.2937852100001</v>
      </c>
      <c r="H24" s="9">
        <v>3032.1193911750001</v>
      </c>
    </row>
    <row r="25" spans="1:11" x14ac:dyDescent="0.25">
      <c r="A25" t="s">
        <v>185</v>
      </c>
      <c r="B25" s="4">
        <v>1</v>
      </c>
      <c r="C25" t="s">
        <v>175</v>
      </c>
      <c r="D25" s="9">
        <v>2205.0441000000001</v>
      </c>
      <c r="E25" s="9">
        <v>167.21584424999998</v>
      </c>
      <c r="F25" s="9">
        <v>373.53447054000003</v>
      </c>
      <c r="G25" s="9">
        <v>1664.2937852100001</v>
      </c>
      <c r="H25" s="9">
        <v>3032.1193911750001</v>
      </c>
    </row>
    <row r="26" spans="1:11" x14ac:dyDescent="0.25">
      <c r="A26" t="s">
        <v>186</v>
      </c>
      <c r="B26" s="4">
        <v>1</v>
      </c>
      <c r="C26" t="s">
        <v>175</v>
      </c>
      <c r="D26" s="9">
        <v>2315.2963049999998</v>
      </c>
      <c r="E26" s="9">
        <v>175.57663646249998</v>
      </c>
      <c r="F26" s="9">
        <v>392.21119406699995</v>
      </c>
      <c r="G26" s="9">
        <v>1747.5084744704998</v>
      </c>
      <c r="H26" s="9">
        <v>3183.7253607337498</v>
      </c>
    </row>
    <row r="27" spans="1:11" x14ac:dyDescent="0.25">
      <c r="A27" t="s">
        <v>187</v>
      </c>
      <c r="B27" s="4">
        <v>1</v>
      </c>
      <c r="C27" t="s">
        <v>175</v>
      </c>
      <c r="D27" s="9">
        <v>2315.2963049999998</v>
      </c>
      <c r="E27" s="9">
        <v>175.57663646249998</v>
      </c>
      <c r="F27" s="9">
        <v>392.21119406699995</v>
      </c>
      <c r="G27" s="9">
        <v>1747.5084744704998</v>
      </c>
      <c r="H27" s="9">
        <v>3183.7253607337498</v>
      </c>
    </row>
    <row r="28" spans="1:11" x14ac:dyDescent="0.25">
      <c r="A28" t="s">
        <v>188</v>
      </c>
      <c r="B28" s="4">
        <v>1</v>
      </c>
      <c r="C28" t="s">
        <v>175</v>
      </c>
      <c r="D28" s="9">
        <v>2315.2963049999998</v>
      </c>
      <c r="E28" s="9">
        <v>0</v>
      </c>
      <c r="F28" s="9">
        <v>382.87283230349999</v>
      </c>
      <c r="G28" s="9">
        <v>1932.4234726964999</v>
      </c>
      <c r="H28" s="9">
        <v>2315.2963049999998</v>
      </c>
    </row>
    <row r="29" spans="1:11" x14ac:dyDescent="0.25">
      <c r="A29" t="s">
        <v>189</v>
      </c>
      <c r="B29" s="4">
        <v>1</v>
      </c>
      <c r="C29" t="s">
        <v>175</v>
      </c>
      <c r="D29" s="9">
        <v>2315.2963049999998</v>
      </c>
      <c r="E29" s="9">
        <v>175.57663646249998</v>
      </c>
      <c r="F29" s="9">
        <v>392.21119406699995</v>
      </c>
      <c r="G29" s="9">
        <v>1747.5084744704998</v>
      </c>
      <c r="H29" s="9">
        <v>3183.7253607337498</v>
      </c>
    </row>
    <row r="30" spans="1:11" x14ac:dyDescent="0.25">
      <c r="A30" s="45" t="s">
        <v>340</v>
      </c>
      <c r="B30" s="45"/>
      <c r="C30" s="45"/>
      <c r="D30" s="14">
        <v>31311.626219999995</v>
      </c>
      <c r="E30" s="14">
        <v>2031.6725076374992</v>
      </c>
      <c r="F30" s="14">
        <v>5294.8511199045015</v>
      </c>
      <c r="G30" s="14">
        <v>23985.102592457995</v>
      </c>
      <c r="H30" s="14">
        <v>41360.591007776253</v>
      </c>
    </row>
    <row r="32" spans="1:11" x14ac:dyDescent="0.25">
      <c r="A32" s="55" t="s">
        <v>279</v>
      </c>
      <c r="B32" s="55"/>
      <c r="C32" s="55"/>
      <c r="D32" s="55"/>
      <c r="E32" s="55"/>
      <c r="F32" s="55"/>
      <c r="G32" s="55"/>
      <c r="H32" s="55"/>
      <c r="I32" s="55"/>
      <c r="J32" s="55"/>
      <c r="K32" s="55"/>
    </row>
    <row r="33" spans="1:11" ht="30" x14ac:dyDescent="0.25">
      <c r="A33" s="36" t="s">
        <v>341</v>
      </c>
      <c r="B33" s="37">
        <v>3053</v>
      </c>
      <c r="C33" s="37"/>
      <c r="D33" s="38" t="s">
        <v>342</v>
      </c>
      <c r="E33" s="37">
        <v>254.41666666666666</v>
      </c>
      <c r="F33" s="37"/>
      <c r="G33" s="38" t="s">
        <v>343</v>
      </c>
      <c r="H33" s="37">
        <v>1113.1199999999997</v>
      </c>
      <c r="I33" s="39"/>
      <c r="J33" s="39"/>
      <c r="K33" s="39"/>
    </row>
    <row r="34" spans="1:11" x14ac:dyDescent="0.25">
      <c r="A34" s="39"/>
      <c r="B34" s="39"/>
      <c r="C34" s="39"/>
      <c r="D34" s="39"/>
      <c r="E34" s="39"/>
      <c r="F34" s="39"/>
      <c r="G34" s="39"/>
      <c r="H34" s="39"/>
      <c r="I34" s="39"/>
      <c r="J34" s="39"/>
      <c r="K34" s="39"/>
    </row>
    <row r="35" spans="1:11" ht="33.950000000000003" customHeight="1" x14ac:dyDescent="0.25">
      <c r="A35" s="33" t="s">
        <v>150</v>
      </c>
      <c r="B35" s="33" t="s">
        <v>344</v>
      </c>
      <c r="C35" s="33" t="s">
        <v>345</v>
      </c>
      <c r="D35" s="33" t="s">
        <v>346</v>
      </c>
      <c r="E35" s="33" t="s">
        <v>347</v>
      </c>
      <c r="F35" s="33" t="s">
        <v>348</v>
      </c>
      <c r="G35" s="33" t="s">
        <v>349</v>
      </c>
      <c r="H35" s="33" t="s">
        <v>327</v>
      </c>
      <c r="I35" s="33" t="s">
        <v>328</v>
      </c>
      <c r="J35" s="33" t="s">
        <v>350</v>
      </c>
      <c r="K35" s="33" t="s">
        <v>351</v>
      </c>
    </row>
    <row r="36" spans="1:11" x14ac:dyDescent="0.25">
      <c r="A36" s="39" t="s">
        <v>173</v>
      </c>
      <c r="B36" s="37">
        <v>254.41666666666666</v>
      </c>
      <c r="C36" s="37">
        <v>2539.11</v>
      </c>
      <c r="D36" s="37">
        <v>2812.5514499999999</v>
      </c>
      <c r="E36" s="37">
        <v>167.21584424999998</v>
      </c>
      <c r="F36" s="37">
        <v>182.81584424999997</v>
      </c>
      <c r="G36" s="37">
        <v>15.599999999999994</v>
      </c>
      <c r="H36" s="37">
        <v>827.07529117499996</v>
      </c>
      <c r="I36" s="37">
        <v>904.23529117499993</v>
      </c>
      <c r="J36" s="37">
        <v>77.159999999999968</v>
      </c>
      <c r="K36" s="37">
        <v>92.759999999999962</v>
      </c>
    </row>
    <row r="37" spans="1:11" x14ac:dyDescent="0.25">
      <c r="A37" s="39" t="s">
        <v>176</v>
      </c>
      <c r="B37" s="37">
        <v>254.41666666666666</v>
      </c>
      <c r="C37" s="37">
        <v>2539.11</v>
      </c>
      <c r="D37" s="37">
        <v>2812.5514499999999</v>
      </c>
      <c r="E37" s="37">
        <v>167.21584424999998</v>
      </c>
      <c r="F37" s="37">
        <v>182.81584424999997</v>
      </c>
      <c r="G37" s="37">
        <v>15.599999999999994</v>
      </c>
      <c r="H37" s="37">
        <v>827.07529117499996</v>
      </c>
      <c r="I37" s="37">
        <v>904.23529117499993</v>
      </c>
      <c r="J37" s="37">
        <v>77.159999999999968</v>
      </c>
      <c r="K37" s="37">
        <v>92.759999999999962</v>
      </c>
    </row>
    <row r="38" spans="1:11" x14ac:dyDescent="0.25">
      <c r="A38" s="39" t="s">
        <v>177</v>
      </c>
      <c r="B38" s="37">
        <v>254.41666666666666</v>
      </c>
      <c r="C38" s="37">
        <v>2539.11</v>
      </c>
      <c r="D38" s="37">
        <v>2812.5514499999999</v>
      </c>
      <c r="E38" s="37">
        <v>167.21584424999998</v>
      </c>
      <c r="F38" s="37">
        <v>182.81584424999997</v>
      </c>
      <c r="G38" s="37">
        <v>15.599999999999994</v>
      </c>
      <c r="H38" s="37">
        <v>827.07529117499996</v>
      </c>
      <c r="I38" s="37">
        <v>904.23529117499993</v>
      </c>
      <c r="J38" s="37">
        <v>77.159999999999968</v>
      </c>
      <c r="K38" s="37">
        <v>92.759999999999962</v>
      </c>
    </row>
    <row r="39" spans="1:11" x14ac:dyDescent="0.25">
      <c r="A39" s="39" t="s">
        <v>178</v>
      </c>
      <c r="B39" s="37">
        <v>254.41666666666666</v>
      </c>
      <c r="C39" s="37">
        <v>2539.11</v>
      </c>
      <c r="D39" s="37">
        <v>2812.5514499999999</v>
      </c>
      <c r="E39" s="37">
        <v>167.21584424999998</v>
      </c>
      <c r="F39" s="37">
        <v>182.81584424999997</v>
      </c>
      <c r="G39" s="37">
        <v>15.599999999999994</v>
      </c>
      <c r="H39" s="37">
        <v>827.07529117499996</v>
      </c>
      <c r="I39" s="37">
        <v>904.23529117499993</v>
      </c>
      <c r="J39" s="37">
        <v>77.159999999999968</v>
      </c>
      <c r="K39" s="37">
        <v>92.759999999999962</v>
      </c>
    </row>
    <row r="40" spans="1:11" x14ac:dyDescent="0.25">
      <c r="A40" s="39" t="s">
        <v>179</v>
      </c>
      <c r="B40" s="37">
        <v>254.41666666666666</v>
      </c>
      <c r="C40" s="37">
        <v>2539.11</v>
      </c>
      <c r="D40" s="37">
        <v>2812.5514499999999</v>
      </c>
      <c r="E40" s="37">
        <v>167.21584424999998</v>
      </c>
      <c r="F40" s="37">
        <v>182.81584424999997</v>
      </c>
      <c r="G40" s="37">
        <v>15.599999999999994</v>
      </c>
      <c r="H40" s="37">
        <v>827.07529117499996</v>
      </c>
      <c r="I40" s="37">
        <v>904.23529117499993</v>
      </c>
      <c r="J40" s="37">
        <v>77.159999999999968</v>
      </c>
      <c r="K40" s="37">
        <v>92.759999999999962</v>
      </c>
    </row>
    <row r="41" spans="1:11" x14ac:dyDescent="0.25">
      <c r="A41" s="39" t="s">
        <v>180</v>
      </c>
      <c r="B41" s="37">
        <v>254.41666666666666</v>
      </c>
      <c r="C41" s="37">
        <v>2539.11</v>
      </c>
      <c r="D41" s="37">
        <v>2812.5514499999999</v>
      </c>
      <c r="E41" s="37">
        <v>167.21584424999998</v>
      </c>
      <c r="F41" s="37">
        <v>182.81584424999997</v>
      </c>
      <c r="G41" s="37">
        <v>15.599999999999994</v>
      </c>
      <c r="H41" s="37">
        <v>827.07529117499996</v>
      </c>
      <c r="I41" s="37">
        <v>904.23529117499993</v>
      </c>
      <c r="J41" s="37">
        <v>77.159999999999968</v>
      </c>
      <c r="K41" s="37">
        <v>92.759999999999962</v>
      </c>
    </row>
    <row r="42" spans="1:11" x14ac:dyDescent="0.25">
      <c r="A42" s="39" t="s">
        <v>183</v>
      </c>
      <c r="B42" s="37">
        <v>254.41666666666666</v>
      </c>
      <c r="C42" s="37">
        <v>2539.11</v>
      </c>
      <c r="D42" s="37">
        <v>2812.5514499999999</v>
      </c>
      <c r="E42" s="37">
        <v>167.21584424999998</v>
      </c>
      <c r="F42" s="37">
        <v>182.81584424999997</v>
      </c>
      <c r="G42" s="37">
        <v>15.599999999999994</v>
      </c>
      <c r="H42" s="37">
        <v>827.07529117499996</v>
      </c>
      <c r="I42" s="37">
        <v>904.23529117499993</v>
      </c>
      <c r="J42" s="37">
        <v>77.159999999999968</v>
      </c>
      <c r="K42" s="37">
        <v>92.759999999999962</v>
      </c>
    </row>
    <row r="43" spans="1:11" x14ac:dyDescent="0.25">
      <c r="A43" s="39" t="s">
        <v>184</v>
      </c>
      <c r="B43" s="37">
        <v>254.41666666666666</v>
      </c>
      <c r="C43" s="37">
        <v>2666.0655000000002</v>
      </c>
      <c r="D43" s="37">
        <v>2812.5514499999999</v>
      </c>
      <c r="E43" s="37">
        <v>167.21584424999998</v>
      </c>
      <c r="F43" s="37">
        <v>182.81584424999997</v>
      </c>
      <c r="G43" s="37">
        <v>15.599999999999994</v>
      </c>
      <c r="H43" s="37">
        <v>827.07529117499996</v>
      </c>
      <c r="I43" s="37">
        <v>904.23529117499993</v>
      </c>
      <c r="J43" s="37">
        <v>77.159999999999968</v>
      </c>
      <c r="K43" s="37">
        <v>92.759999999999962</v>
      </c>
    </row>
    <row r="44" spans="1:11" x14ac:dyDescent="0.25">
      <c r="A44" s="39" t="s">
        <v>185</v>
      </c>
      <c r="B44" s="37">
        <v>254.41666666666666</v>
      </c>
      <c r="C44" s="37">
        <v>2666.0655000000002</v>
      </c>
      <c r="D44" s="37">
        <v>2812.5514499999999</v>
      </c>
      <c r="E44" s="37">
        <v>167.21584424999998</v>
      </c>
      <c r="F44" s="37">
        <v>182.81584424999997</v>
      </c>
      <c r="G44" s="37">
        <v>15.599999999999994</v>
      </c>
      <c r="H44" s="37">
        <v>827.07529117499996</v>
      </c>
      <c r="I44" s="37">
        <v>904.23529117499993</v>
      </c>
      <c r="J44" s="37">
        <v>77.159999999999968</v>
      </c>
      <c r="K44" s="37">
        <v>92.759999999999962</v>
      </c>
    </row>
    <row r="45" spans="1:11" x14ac:dyDescent="0.25">
      <c r="A45" s="39" t="s">
        <v>186</v>
      </c>
      <c r="B45" s="37">
        <v>254.41666666666666</v>
      </c>
      <c r="C45" s="37">
        <v>2666.0655000000002</v>
      </c>
      <c r="D45" s="37">
        <v>2941.1790225</v>
      </c>
      <c r="E45" s="37">
        <v>175.57663646249998</v>
      </c>
      <c r="F45" s="37">
        <v>191.17663646249997</v>
      </c>
      <c r="G45" s="37">
        <v>15.599999999999994</v>
      </c>
      <c r="H45" s="37">
        <v>868.42905573374992</v>
      </c>
      <c r="I45" s="37">
        <v>945.58905573374989</v>
      </c>
      <c r="J45" s="37">
        <v>77.159999999999968</v>
      </c>
      <c r="K45" s="37">
        <v>92.759999999999962</v>
      </c>
    </row>
    <row r="46" spans="1:11" x14ac:dyDescent="0.25">
      <c r="A46" s="39" t="s">
        <v>187</v>
      </c>
      <c r="B46" s="37">
        <v>254.41666666666666</v>
      </c>
      <c r="C46" s="37">
        <v>2666.0655000000002</v>
      </c>
      <c r="D46" s="37">
        <v>2941.1790225</v>
      </c>
      <c r="E46" s="37">
        <v>175.57663646249998</v>
      </c>
      <c r="F46" s="37">
        <v>191.17663646249997</v>
      </c>
      <c r="G46" s="37">
        <v>15.599999999999994</v>
      </c>
      <c r="H46" s="37">
        <v>868.42905573374992</v>
      </c>
      <c r="I46" s="37">
        <v>945.58905573374989</v>
      </c>
      <c r="J46" s="37">
        <v>77.159999999999968</v>
      </c>
      <c r="K46" s="37">
        <v>92.759999999999962</v>
      </c>
    </row>
    <row r="47" spans="1:11" x14ac:dyDescent="0.25">
      <c r="A47" s="39" t="s">
        <v>189</v>
      </c>
      <c r="B47" s="37">
        <v>254.41666666666666</v>
      </c>
      <c r="C47" s="37">
        <v>2666.0655000000002</v>
      </c>
      <c r="D47" s="37">
        <v>2941.1790225</v>
      </c>
      <c r="E47" s="37">
        <v>175.57663646249998</v>
      </c>
      <c r="F47" s="37">
        <v>191.17663646249997</v>
      </c>
      <c r="G47" s="37">
        <v>15.599999999999994</v>
      </c>
      <c r="H47" s="37">
        <v>868.42905573374992</v>
      </c>
      <c r="I47" s="37">
        <v>945.58905573374989</v>
      </c>
      <c r="J47" s="37">
        <v>77.159999999999968</v>
      </c>
      <c r="K47" s="37">
        <v>92.759999999999962</v>
      </c>
    </row>
    <row r="48" spans="1:11" x14ac:dyDescent="0.25">
      <c r="A48" s="40" t="s">
        <v>352</v>
      </c>
      <c r="B48" s="41">
        <f t="shared" ref="B48:K48" si="0">SUM(B36:B47)</f>
        <v>3052.9999999999995</v>
      </c>
      <c r="C48" s="41">
        <f t="shared" si="0"/>
        <v>31104.097500000003</v>
      </c>
      <c r="D48" s="41">
        <f t="shared" si="0"/>
        <v>34136.500117499992</v>
      </c>
      <c r="E48" s="41">
        <f t="shared" si="0"/>
        <v>2031.6725076374992</v>
      </c>
      <c r="F48" s="41">
        <f t="shared" si="0"/>
        <v>2218.8725076374999</v>
      </c>
      <c r="G48" s="41">
        <f t="shared" si="0"/>
        <v>187.19999999999993</v>
      </c>
      <c r="H48" s="41">
        <f t="shared" si="0"/>
        <v>10048.964787776247</v>
      </c>
      <c r="I48" s="41">
        <f t="shared" si="0"/>
        <v>10974.884787776251</v>
      </c>
      <c r="J48" s="41">
        <f t="shared" si="0"/>
        <v>925.91999999999962</v>
      </c>
      <c r="K48" s="41">
        <f t="shared" si="0"/>
        <v>1113.1199999999997</v>
      </c>
    </row>
  </sheetData>
  <mergeCells count="4">
    <mergeCell ref="A1:H1"/>
    <mergeCell ref="D5:H5"/>
    <mergeCell ref="A30:C30"/>
    <mergeCell ref="A32:K32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K48"/>
  <sheetViews>
    <sheetView workbookViewId="0"/>
  </sheetViews>
  <sheetFormatPr baseColWidth="10" defaultColWidth="9.140625" defaultRowHeight="15" x14ac:dyDescent="0.25"/>
  <cols>
    <col min="1" max="1" width="18" customWidth="1"/>
    <col min="2" max="11" width="16" customWidth="1"/>
  </cols>
  <sheetData>
    <row r="1" spans="1:8" ht="26.1" customHeight="1" x14ac:dyDescent="0.3">
      <c r="A1" s="46" t="s">
        <v>332</v>
      </c>
      <c r="B1" s="46"/>
      <c r="C1" s="46"/>
      <c r="D1" s="46"/>
      <c r="E1" s="46"/>
      <c r="F1" s="46"/>
      <c r="G1" s="46"/>
      <c r="H1" s="46"/>
    </row>
    <row r="3" spans="1:8" x14ac:dyDescent="0.25">
      <c r="A3" t="s">
        <v>149</v>
      </c>
      <c r="B3" s="13" t="s">
        <v>130</v>
      </c>
    </row>
    <row r="5" spans="1:8" x14ac:dyDescent="0.25">
      <c r="A5" t="s">
        <v>74</v>
      </c>
      <c r="B5" t="s">
        <v>131</v>
      </c>
      <c r="D5" s="54" t="s">
        <v>333</v>
      </c>
      <c r="E5" s="54"/>
      <c r="F5" s="54"/>
      <c r="G5" s="54"/>
      <c r="H5" s="54"/>
    </row>
    <row r="6" spans="1:8" x14ac:dyDescent="0.25">
      <c r="A6" t="s">
        <v>334</v>
      </c>
      <c r="B6">
        <v>1996</v>
      </c>
      <c r="D6" t="s">
        <v>335</v>
      </c>
      <c r="E6" s="9">
        <v>28875.187699999988</v>
      </c>
    </row>
    <row r="7" spans="1:8" x14ac:dyDescent="0.25">
      <c r="A7" t="s">
        <v>76</v>
      </c>
      <c r="B7" s="1">
        <v>45953</v>
      </c>
      <c r="D7" t="s">
        <v>336</v>
      </c>
      <c r="E7" s="9">
        <v>1877.5561274166671</v>
      </c>
    </row>
    <row r="8" spans="1:8" x14ac:dyDescent="0.25">
      <c r="A8" t="s">
        <v>77</v>
      </c>
      <c r="B8" s="4">
        <v>0.16350000000000001</v>
      </c>
      <c r="D8" t="s">
        <v>77</v>
      </c>
      <c r="E8" s="9">
        <v>4638.9639365999992</v>
      </c>
    </row>
    <row r="9" spans="1:8" x14ac:dyDescent="0.25">
      <c r="A9" t="s">
        <v>78</v>
      </c>
      <c r="B9" s="4">
        <v>1</v>
      </c>
      <c r="D9" t="s">
        <v>337</v>
      </c>
      <c r="E9" s="9">
        <v>22358.667635983329</v>
      </c>
    </row>
    <row r="10" spans="1:8" x14ac:dyDescent="0.25">
      <c r="A10" t="s">
        <v>79</v>
      </c>
      <c r="B10" t="s">
        <v>141</v>
      </c>
      <c r="D10" t="s">
        <v>338</v>
      </c>
      <c r="E10" s="9">
        <v>9286.6814609916637</v>
      </c>
    </row>
    <row r="11" spans="1:8" x14ac:dyDescent="0.25">
      <c r="A11" t="s">
        <v>82</v>
      </c>
      <c r="B11" s="9">
        <v>2119.85</v>
      </c>
      <c r="D11" t="s">
        <v>267</v>
      </c>
      <c r="E11" s="9">
        <v>38161.869160991671</v>
      </c>
    </row>
    <row r="12" spans="1:8" x14ac:dyDescent="0.25">
      <c r="A12" t="s">
        <v>81</v>
      </c>
      <c r="B12" s="4">
        <v>1.4999999999999999E-2</v>
      </c>
    </row>
    <row r="13" spans="1:8" x14ac:dyDescent="0.25">
      <c r="A13" s="35" t="s">
        <v>90</v>
      </c>
      <c r="B13" s="34">
        <v>690</v>
      </c>
    </row>
    <row r="15" spans="1:8" x14ac:dyDescent="0.25">
      <c r="A15" s="6" t="s">
        <v>150</v>
      </c>
      <c r="B15" s="6" t="s">
        <v>339</v>
      </c>
      <c r="C15" s="6" t="s">
        <v>165</v>
      </c>
      <c r="D15" s="6" t="s">
        <v>94</v>
      </c>
      <c r="E15" s="6" t="s">
        <v>336</v>
      </c>
      <c r="F15" s="6" t="s">
        <v>77</v>
      </c>
      <c r="G15" s="6" t="s">
        <v>95</v>
      </c>
      <c r="H15" s="6" t="s">
        <v>267</v>
      </c>
    </row>
    <row r="16" spans="1:8" x14ac:dyDescent="0.25">
      <c r="A16" t="s">
        <v>173</v>
      </c>
      <c r="B16" s="4">
        <v>1</v>
      </c>
      <c r="C16" t="s">
        <v>175</v>
      </c>
      <c r="D16" s="9">
        <v>2058.1028999999999</v>
      </c>
      <c r="E16" s="9">
        <v>156.07280324999999</v>
      </c>
      <c r="F16" s="9">
        <v>331.35456690000001</v>
      </c>
      <c r="G16" s="9">
        <v>1570.6755298499997</v>
      </c>
      <c r="H16" s="9">
        <v>2830.0629960749998</v>
      </c>
    </row>
    <row r="17" spans="1:11" x14ac:dyDescent="0.25">
      <c r="A17" t="s">
        <v>176</v>
      </c>
      <c r="B17" s="4">
        <v>1</v>
      </c>
      <c r="C17" t="s">
        <v>175</v>
      </c>
      <c r="D17" s="9">
        <v>2058.1028999999999</v>
      </c>
      <c r="E17" s="9">
        <v>156.07280324999999</v>
      </c>
      <c r="F17" s="9">
        <v>331.35456690000001</v>
      </c>
      <c r="G17" s="9">
        <v>1570.6755298499997</v>
      </c>
      <c r="H17" s="9">
        <v>2830.0629960749998</v>
      </c>
    </row>
    <row r="18" spans="1:11" x14ac:dyDescent="0.25">
      <c r="A18" t="s">
        <v>177</v>
      </c>
      <c r="B18" s="4">
        <v>1</v>
      </c>
      <c r="C18" t="s">
        <v>175</v>
      </c>
      <c r="D18" s="9">
        <v>2058.1028999999999</v>
      </c>
      <c r="E18" s="9">
        <v>156.07280324999999</v>
      </c>
      <c r="F18" s="9">
        <v>331.35456690000001</v>
      </c>
      <c r="G18" s="9">
        <v>1570.6755298499997</v>
      </c>
      <c r="H18" s="9">
        <v>2830.0629960749998</v>
      </c>
    </row>
    <row r="19" spans="1:11" x14ac:dyDescent="0.25">
      <c r="A19" t="s">
        <v>178</v>
      </c>
      <c r="B19" s="4">
        <v>1</v>
      </c>
      <c r="C19" t="s">
        <v>175</v>
      </c>
      <c r="D19" s="9">
        <v>2058.1028999999999</v>
      </c>
      <c r="E19" s="9">
        <v>156.07280324999999</v>
      </c>
      <c r="F19" s="9">
        <v>331.35456690000001</v>
      </c>
      <c r="G19" s="9">
        <v>1570.6755298499997</v>
      </c>
      <c r="H19" s="9">
        <v>2830.0629960749998</v>
      </c>
    </row>
    <row r="20" spans="1:11" x14ac:dyDescent="0.25">
      <c r="A20" t="s">
        <v>179</v>
      </c>
      <c r="B20" s="4">
        <v>1</v>
      </c>
      <c r="C20" t="s">
        <v>175</v>
      </c>
      <c r="D20" s="9">
        <v>2119.85</v>
      </c>
      <c r="E20" s="9">
        <v>160.75529166666666</v>
      </c>
      <c r="F20" s="9">
        <v>331.35456690000001</v>
      </c>
      <c r="G20" s="9">
        <v>1627.7401414333333</v>
      </c>
      <c r="H20" s="9">
        <v>2914.9704041666664</v>
      </c>
    </row>
    <row r="21" spans="1:11" x14ac:dyDescent="0.25">
      <c r="A21" t="s">
        <v>180</v>
      </c>
      <c r="B21" s="4">
        <v>1</v>
      </c>
      <c r="C21" t="s">
        <v>175</v>
      </c>
      <c r="D21" s="9">
        <v>2058.1028999999999</v>
      </c>
      <c r="E21" s="9">
        <v>156.07280324999999</v>
      </c>
      <c r="F21" s="9">
        <v>331.35456690000001</v>
      </c>
      <c r="G21" s="9">
        <v>1570.6755298499997</v>
      </c>
      <c r="H21" s="9">
        <v>2830.0629960749998</v>
      </c>
    </row>
    <row r="22" spans="1:11" x14ac:dyDescent="0.25">
      <c r="A22" t="s">
        <v>181</v>
      </c>
      <c r="B22" s="4">
        <v>1</v>
      </c>
      <c r="C22" t="s">
        <v>175</v>
      </c>
      <c r="D22" s="9">
        <v>2058.1028999999999</v>
      </c>
      <c r="E22" s="9">
        <v>0</v>
      </c>
      <c r="F22" s="9">
        <v>331.35456690000001</v>
      </c>
      <c r="G22" s="9">
        <v>1726.7483330999999</v>
      </c>
      <c r="H22" s="9">
        <v>2058.1028999999999</v>
      </c>
    </row>
    <row r="23" spans="1:11" x14ac:dyDescent="0.25">
      <c r="A23" t="s">
        <v>183</v>
      </c>
      <c r="B23" s="4">
        <v>1</v>
      </c>
      <c r="C23" t="s">
        <v>175</v>
      </c>
      <c r="D23" s="9">
        <v>2058.1028999999999</v>
      </c>
      <c r="E23" s="9">
        <v>156.07280324999999</v>
      </c>
      <c r="F23" s="9">
        <v>331.35456690000001</v>
      </c>
      <c r="G23" s="9">
        <v>1570.6755298499997</v>
      </c>
      <c r="H23" s="9">
        <v>2830.0629960749998</v>
      </c>
    </row>
    <row r="24" spans="1:11" x14ac:dyDescent="0.25">
      <c r="A24" t="s">
        <v>184</v>
      </c>
      <c r="B24" s="4">
        <v>1</v>
      </c>
      <c r="C24" t="s">
        <v>175</v>
      </c>
      <c r="D24" s="9">
        <v>2058.1028999999999</v>
      </c>
      <c r="E24" s="9">
        <v>156.07280324999999</v>
      </c>
      <c r="F24" s="9">
        <v>331.35456690000001</v>
      </c>
      <c r="G24" s="9">
        <v>1570.6755298499997</v>
      </c>
      <c r="H24" s="9">
        <v>2830.0629960749998</v>
      </c>
    </row>
    <row r="25" spans="1:11" x14ac:dyDescent="0.25">
      <c r="A25" t="s">
        <v>185</v>
      </c>
      <c r="B25" s="4">
        <v>1</v>
      </c>
      <c r="C25" t="s">
        <v>175</v>
      </c>
      <c r="D25" s="9">
        <v>2058.1028999999999</v>
      </c>
      <c r="E25" s="9">
        <v>156.07280324999999</v>
      </c>
      <c r="F25" s="9">
        <v>331.35456690000001</v>
      </c>
      <c r="G25" s="9">
        <v>1570.6755298499997</v>
      </c>
      <c r="H25" s="9">
        <v>2830.0629960749998</v>
      </c>
    </row>
    <row r="26" spans="1:11" x14ac:dyDescent="0.25">
      <c r="A26" t="s">
        <v>186</v>
      </c>
      <c r="B26" s="4">
        <v>1</v>
      </c>
      <c r="C26" t="s">
        <v>175</v>
      </c>
      <c r="D26" s="9">
        <v>2058.1028999999999</v>
      </c>
      <c r="E26" s="9">
        <v>156.07280324999999</v>
      </c>
      <c r="F26" s="9">
        <v>331.35456690000001</v>
      </c>
      <c r="G26" s="9">
        <v>1570.6755298499997</v>
      </c>
      <c r="H26" s="9">
        <v>2830.0629960749998</v>
      </c>
    </row>
    <row r="27" spans="1:11" x14ac:dyDescent="0.25">
      <c r="A27" t="s">
        <v>187</v>
      </c>
      <c r="B27" s="4">
        <v>1</v>
      </c>
      <c r="C27" t="s">
        <v>175</v>
      </c>
      <c r="D27" s="9">
        <v>2058.1028999999999</v>
      </c>
      <c r="E27" s="9">
        <v>156.07280324999999</v>
      </c>
      <c r="F27" s="9">
        <v>331.35456690000001</v>
      </c>
      <c r="G27" s="9">
        <v>1570.6755298499997</v>
      </c>
      <c r="H27" s="9">
        <v>2830.0629960749998</v>
      </c>
    </row>
    <row r="28" spans="1:11" x14ac:dyDescent="0.25">
      <c r="A28" t="s">
        <v>188</v>
      </c>
      <c r="B28" s="4">
        <v>1</v>
      </c>
      <c r="C28" t="s">
        <v>175</v>
      </c>
      <c r="D28" s="9">
        <v>2058.1028999999999</v>
      </c>
      <c r="E28" s="9">
        <v>0</v>
      </c>
      <c r="F28" s="9">
        <v>331.35456690000001</v>
      </c>
      <c r="G28" s="9">
        <v>1726.7483330999999</v>
      </c>
      <c r="H28" s="9">
        <v>2058.1028999999999</v>
      </c>
    </row>
    <row r="29" spans="1:11" x14ac:dyDescent="0.25">
      <c r="A29" t="s">
        <v>189</v>
      </c>
      <c r="B29" s="4">
        <v>1</v>
      </c>
      <c r="C29" t="s">
        <v>175</v>
      </c>
      <c r="D29" s="9">
        <v>2058.1028999999999</v>
      </c>
      <c r="E29" s="9">
        <v>156.07280324999999</v>
      </c>
      <c r="F29" s="9">
        <v>331.35456690000001</v>
      </c>
      <c r="G29" s="9">
        <v>1570.6755298499997</v>
      </c>
      <c r="H29" s="9">
        <v>2830.0629960749998</v>
      </c>
    </row>
    <row r="30" spans="1:11" x14ac:dyDescent="0.25">
      <c r="A30" s="45" t="s">
        <v>340</v>
      </c>
      <c r="B30" s="45"/>
      <c r="C30" s="45"/>
      <c r="D30" s="14">
        <v>28875.187699999988</v>
      </c>
      <c r="E30" s="14">
        <v>1877.5561274166671</v>
      </c>
      <c r="F30" s="14">
        <v>4638.9639365999992</v>
      </c>
      <c r="G30" s="14">
        <v>22358.667635983329</v>
      </c>
      <c r="H30" s="14">
        <v>38161.869160991671</v>
      </c>
    </row>
    <row r="32" spans="1:11" x14ac:dyDescent="0.25">
      <c r="A32" s="55" t="s">
        <v>279</v>
      </c>
      <c r="B32" s="55"/>
      <c r="C32" s="55"/>
      <c r="D32" s="55"/>
      <c r="E32" s="55"/>
      <c r="F32" s="55"/>
      <c r="G32" s="55"/>
      <c r="H32" s="55"/>
      <c r="I32" s="55"/>
      <c r="J32" s="55"/>
      <c r="K32" s="55"/>
    </row>
    <row r="33" spans="1:11" ht="30" x14ac:dyDescent="0.25">
      <c r="A33" s="36" t="s">
        <v>341</v>
      </c>
      <c r="B33" s="37">
        <v>690</v>
      </c>
      <c r="C33" s="37"/>
      <c r="D33" s="38" t="s">
        <v>342</v>
      </c>
      <c r="E33" s="37">
        <v>57.5</v>
      </c>
      <c r="F33" s="37"/>
      <c r="G33" s="38" t="s">
        <v>343</v>
      </c>
      <c r="H33" s="37">
        <v>242.33549999999968</v>
      </c>
      <c r="I33" s="39"/>
      <c r="J33" s="39"/>
      <c r="K33" s="39"/>
    </row>
    <row r="34" spans="1:11" x14ac:dyDescent="0.25">
      <c r="A34" s="39"/>
      <c r="B34" s="39"/>
      <c r="C34" s="39"/>
      <c r="D34" s="39"/>
      <c r="E34" s="39"/>
      <c r="F34" s="39"/>
      <c r="G34" s="39"/>
      <c r="H34" s="39"/>
      <c r="I34" s="39"/>
      <c r="J34" s="39"/>
      <c r="K34" s="39"/>
    </row>
    <row r="35" spans="1:11" ht="33.950000000000003" customHeight="1" x14ac:dyDescent="0.25">
      <c r="A35" s="33" t="s">
        <v>150</v>
      </c>
      <c r="B35" s="33" t="s">
        <v>344</v>
      </c>
      <c r="C35" s="33" t="s">
        <v>345</v>
      </c>
      <c r="D35" s="33" t="s">
        <v>346</v>
      </c>
      <c r="E35" s="33" t="s">
        <v>347</v>
      </c>
      <c r="F35" s="33" t="s">
        <v>348</v>
      </c>
      <c r="G35" s="33" t="s">
        <v>349</v>
      </c>
      <c r="H35" s="33" t="s">
        <v>327</v>
      </c>
      <c r="I35" s="33" t="s">
        <v>328</v>
      </c>
      <c r="J35" s="33" t="s">
        <v>350</v>
      </c>
      <c r="K35" s="33" t="s">
        <v>351</v>
      </c>
    </row>
    <row r="36" spans="1:11" x14ac:dyDescent="0.25">
      <c r="A36" s="39" t="s">
        <v>173</v>
      </c>
      <c r="B36" s="37">
        <v>57.5</v>
      </c>
      <c r="C36" s="37">
        <v>2473.1583333333333</v>
      </c>
      <c r="D36" s="37">
        <v>2453.37005</v>
      </c>
      <c r="E36" s="37">
        <v>156.07280324999999</v>
      </c>
      <c r="F36" s="37">
        <v>159.46905325</v>
      </c>
      <c r="G36" s="37">
        <v>3.3962500000000091</v>
      </c>
      <c r="H36" s="37">
        <v>771.96009607499991</v>
      </c>
      <c r="I36" s="37">
        <v>788.75847107499987</v>
      </c>
      <c r="J36" s="37">
        <v>16.798374999999965</v>
      </c>
      <c r="K36" s="37">
        <v>20.194624999999974</v>
      </c>
    </row>
    <row r="37" spans="1:11" x14ac:dyDescent="0.25">
      <c r="A37" s="39" t="s">
        <v>176</v>
      </c>
      <c r="B37" s="37">
        <v>57.5</v>
      </c>
      <c r="C37" s="37">
        <v>2473.1583333333333</v>
      </c>
      <c r="D37" s="37">
        <v>2453.37005</v>
      </c>
      <c r="E37" s="37">
        <v>156.07280324999999</v>
      </c>
      <c r="F37" s="37">
        <v>159.46905325</v>
      </c>
      <c r="G37" s="37">
        <v>3.3962500000000091</v>
      </c>
      <c r="H37" s="37">
        <v>771.96009607499991</v>
      </c>
      <c r="I37" s="37">
        <v>788.75847107499987</v>
      </c>
      <c r="J37" s="37">
        <v>16.798374999999965</v>
      </c>
      <c r="K37" s="37">
        <v>20.194624999999974</v>
      </c>
    </row>
    <row r="38" spans="1:11" x14ac:dyDescent="0.25">
      <c r="A38" s="39" t="s">
        <v>177</v>
      </c>
      <c r="B38" s="37">
        <v>57.5</v>
      </c>
      <c r="C38" s="37">
        <v>2473.1583333333333</v>
      </c>
      <c r="D38" s="37">
        <v>2453.37005</v>
      </c>
      <c r="E38" s="37">
        <v>156.07280324999999</v>
      </c>
      <c r="F38" s="37">
        <v>159.46905325</v>
      </c>
      <c r="G38" s="37">
        <v>3.3962500000000091</v>
      </c>
      <c r="H38" s="37">
        <v>771.96009607499991</v>
      </c>
      <c r="I38" s="37">
        <v>788.75847107499987</v>
      </c>
      <c r="J38" s="37">
        <v>16.798374999999965</v>
      </c>
      <c r="K38" s="37">
        <v>20.194624999999974</v>
      </c>
    </row>
    <row r="39" spans="1:11" x14ac:dyDescent="0.25">
      <c r="A39" s="39" t="s">
        <v>178</v>
      </c>
      <c r="B39" s="37">
        <v>57.5</v>
      </c>
      <c r="C39" s="37">
        <v>2473.1583333333333</v>
      </c>
      <c r="D39" s="37">
        <v>2453.37005</v>
      </c>
      <c r="E39" s="37">
        <v>156.07280324999999</v>
      </c>
      <c r="F39" s="37">
        <v>159.46905325</v>
      </c>
      <c r="G39" s="37">
        <v>3.3962500000000091</v>
      </c>
      <c r="H39" s="37">
        <v>771.96009607499991</v>
      </c>
      <c r="I39" s="37">
        <v>788.75847107499987</v>
      </c>
      <c r="J39" s="37">
        <v>16.798374999999965</v>
      </c>
      <c r="K39" s="37">
        <v>20.194624999999974</v>
      </c>
    </row>
    <row r="40" spans="1:11" x14ac:dyDescent="0.25">
      <c r="A40" s="39" t="s">
        <v>179</v>
      </c>
      <c r="B40" s="37">
        <v>57.5</v>
      </c>
      <c r="C40" s="37">
        <v>2473.1583333333333</v>
      </c>
      <c r="D40" s="37">
        <v>2453.37005</v>
      </c>
      <c r="E40" s="37">
        <v>160.75529166666666</v>
      </c>
      <c r="F40" s="37">
        <v>159.46905325</v>
      </c>
      <c r="G40" s="37">
        <v>3.3962500000000091</v>
      </c>
      <c r="H40" s="37">
        <v>795.12040416666673</v>
      </c>
      <c r="I40" s="37">
        <v>788.75847107499987</v>
      </c>
      <c r="J40" s="37">
        <v>16.798374999999965</v>
      </c>
      <c r="K40" s="37">
        <v>20.194624999999974</v>
      </c>
    </row>
    <row r="41" spans="1:11" x14ac:dyDescent="0.25">
      <c r="A41" s="39" t="s">
        <v>180</v>
      </c>
      <c r="B41" s="37">
        <v>57.5</v>
      </c>
      <c r="C41" s="37">
        <v>2473.1583333333333</v>
      </c>
      <c r="D41" s="37">
        <v>2453.37005</v>
      </c>
      <c r="E41" s="37">
        <v>156.07280324999999</v>
      </c>
      <c r="F41" s="37">
        <v>159.46905325</v>
      </c>
      <c r="G41" s="37">
        <v>3.3962500000000091</v>
      </c>
      <c r="H41" s="37">
        <v>771.96009607499991</v>
      </c>
      <c r="I41" s="37">
        <v>788.75847107499987</v>
      </c>
      <c r="J41" s="37">
        <v>16.798374999999965</v>
      </c>
      <c r="K41" s="37">
        <v>20.194624999999974</v>
      </c>
    </row>
    <row r="42" spans="1:11" x14ac:dyDescent="0.25">
      <c r="A42" s="39" t="s">
        <v>183</v>
      </c>
      <c r="B42" s="37">
        <v>57.5</v>
      </c>
      <c r="C42" s="37">
        <v>2473.1583333333333</v>
      </c>
      <c r="D42" s="37">
        <v>2453.37005</v>
      </c>
      <c r="E42" s="37">
        <v>156.07280324999999</v>
      </c>
      <c r="F42" s="37">
        <v>159.46905325</v>
      </c>
      <c r="G42" s="37">
        <v>3.3962500000000091</v>
      </c>
      <c r="H42" s="37">
        <v>771.96009607499991</v>
      </c>
      <c r="I42" s="37">
        <v>788.75847107499987</v>
      </c>
      <c r="J42" s="37">
        <v>16.798374999999965</v>
      </c>
      <c r="K42" s="37">
        <v>20.194624999999974</v>
      </c>
    </row>
    <row r="43" spans="1:11" x14ac:dyDescent="0.25">
      <c r="A43" s="39" t="s">
        <v>184</v>
      </c>
      <c r="B43" s="37">
        <v>57.5</v>
      </c>
      <c r="C43" s="37">
        <v>2473.1583333333333</v>
      </c>
      <c r="D43" s="37">
        <v>2453.37005</v>
      </c>
      <c r="E43" s="37">
        <v>156.07280324999999</v>
      </c>
      <c r="F43" s="37">
        <v>159.46905325</v>
      </c>
      <c r="G43" s="37">
        <v>3.3962500000000091</v>
      </c>
      <c r="H43" s="37">
        <v>771.96009607499991</v>
      </c>
      <c r="I43" s="37">
        <v>788.75847107499987</v>
      </c>
      <c r="J43" s="37">
        <v>16.798374999999965</v>
      </c>
      <c r="K43" s="37">
        <v>20.194624999999974</v>
      </c>
    </row>
    <row r="44" spans="1:11" x14ac:dyDescent="0.25">
      <c r="A44" s="39" t="s">
        <v>185</v>
      </c>
      <c r="B44" s="37">
        <v>57.5</v>
      </c>
      <c r="C44" s="37">
        <v>2473.1583333333333</v>
      </c>
      <c r="D44" s="37">
        <v>2453.37005</v>
      </c>
      <c r="E44" s="37">
        <v>156.07280324999999</v>
      </c>
      <c r="F44" s="37">
        <v>159.46905325</v>
      </c>
      <c r="G44" s="37">
        <v>3.3962500000000091</v>
      </c>
      <c r="H44" s="37">
        <v>771.96009607499991</v>
      </c>
      <c r="I44" s="37">
        <v>788.75847107499987</v>
      </c>
      <c r="J44" s="37">
        <v>16.798374999999965</v>
      </c>
      <c r="K44" s="37">
        <v>20.194624999999974</v>
      </c>
    </row>
    <row r="45" spans="1:11" x14ac:dyDescent="0.25">
      <c r="A45" s="39" t="s">
        <v>186</v>
      </c>
      <c r="B45" s="37">
        <v>57.5</v>
      </c>
      <c r="C45" s="37">
        <v>2473.1583333333333</v>
      </c>
      <c r="D45" s="37">
        <v>2453.37005</v>
      </c>
      <c r="E45" s="37">
        <v>156.07280324999999</v>
      </c>
      <c r="F45" s="37">
        <v>159.46905325</v>
      </c>
      <c r="G45" s="37">
        <v>3.3962500000000091</v>
      </c>
      <c r="H45" s="37">
        <v>771.96009607499991</v>
      </c>
      <c r="I45" s="37">
        <v>788.75847107499987</v>
      </c>
      <c r="J45" s="37">
        <v>16.798374999999965</v>
      </c>
      <c r="K45" s="37">
        <v>20.194624999999974</v>
      </c>
    </row>
    <row r="46" spans="1:11" x14ac:dyDescent="0.25">
      <c r="A46" s="39" t="s">
        <v>187</v>
      </c>
      <c r="B46" s="37">
        <v>57.5</v>
      </c>
      <c r="C46" s="37">
        <v>2473.1583333333333</v>
      </c>
      <c r="D46" s="37">
        <v>2453.37005</v>
      </c>
      <c r="E46" s="37">
        <v>156.07280324999999</v>
      </c>
      <c r="F46" s="37">
        <v>159.46905325</v>
      </c>
      <c r="G46" s="37">
        <v>3.3962500000000091</v>
      </c>
      <c r="H46" s="37">
        <v>771.96009607499991</v>
      </c>
      <c r="I46" s="37">
        <v>788.75847107499987</v>
      </c>
      <c r="J46" s="37">
        <v>16.798374999999965</v>
      </c>
      <c r="K46" s="37">
        <v>20.194624999999974</v>
      </c>
    </row>
    <row r="47" spans="1:11" x14ac:dyDescent="0.25">
      <c r="A47" s="39" t="s">
        <v>189</v>
      </c>
      <c r="B47" s="37">
        <v>57.5</v>
      </c>
      <c r="C47" s="37">
        <v>2473.1583333333333</v>
      </c>
      <c r="D47" s="37">
        <v>2453.37005</v>
      </c>
      <c r="E47" s="37">
        <v>156.07280324999999</v>
      </c>
      <c r="F47" s="37">
        <v>159.46905325</v>
      </c>
      <c r="G47" s="37">
        <v>3.3962500000000091</v>
      </c>
      <c r="H47" s="37">
        <v>771.96009607499991</v>
      </c>
      <c r="I47" s="37">
        <v>788.75847107499987</v>
      </c>
      <c r="J47" s="37">
        <v>16.798374999999965</v>
      </c>
      <c r="K47" s="37">
        <v>20.194624999999974</v>
      </c>
    </row>
    <row r="48" spans="1:11" x14ac:dyDescent="0.25">
      <c r="A48" s="40" t="s">
        <v>352</v>
      </c>
      <c r="B48" s="41">
        <f t="shared" ref="B48:K48" si="0">SUM(B36:B47)</f>
        <v>690</v>
      </c>
      <c r="C48" s="41">
        <f t="shared" si="0"/>
        <v>29677.899999999998</v>
      </c>
      <c r="D48" s="41">
        <f t="shared" si="0"/>
        <v>29440.440600000005</v>
      </c>
      <c r="E48" s="41">
        <f t="shared" si="0"/>
        <v>1877.5561274166671</v>
      </c>
      <c r="F48" s="41">
        <f t="shared" si="0"/>
        <v>1913.6286389999996</v>
      </c>
      <c r="G48" s="41">
        <f t="shared" si="0"/>
        <v>40.755000000000109</v>
      </c>
      <c r="H48" s="41">
        <f t="shared" si="0"/>
        <v>9286.6814609916637</v>
      </c>
      <c r="I48" s="41">
        <f t="shared" si="0"/>
        <v>9465.101652899999</v>
      </c>
      <c r="J48" s="41">
        <f t="shared" si="0"/>
        <v>201.58049999999957</v>
      </c>
      <c r="K48" s="41">
        <f t="shared" si="0"/>
        <v>242.33549999999968</v>
      </c>
    </row>
  </sheetData>
  <mergeCells count="4">
    <mergeCell ref="A1:H1"/>
    <mergeCell ref="D5:H5"/>
    <mergeCell ref="A30:C30"/>
    <mergeCell ref="A32:K32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K48"/>
  <sheetViews>
    <sheetView workbookViewId="0"/>
  </sheetViews>
  <sheetFormatPr baseColWidth="10" defaultColWidth="9.140625" defaultRowHeight="15" x14ac:dyDescent="0.25"/>
  <cols>
    <col min="1" max="1" width="18" customWidth="1"/>
    <col min="2" max="11" width="16" customWidth="1"/>
  </cols>
  <sheetData>
    <row r="1" spans="1:8" ht="26.1" customHeight="1" x14ac:dyDescent="0.3">
      <c r="A1" s="46" t="s">
        <v>332</v>
      </c>
      <c r="B1" s="46"/>
      <c r="C1" s="46"/>
      <c r="D1" s="46"/>
      <c r="E1" s="46"/>
      <c r="F1" s="46"/>
      <c r="G1" s="46"/>
      <c r="H1" s="46"/>
    </row>
    <row r="3" spans="1:8" x14ac:dyDescent="0.25">
      <c r="A3" t="s">
        <v>149</v>
      </c>
      <c r="B3" s="13" t="s">
        <v>132</v>
      </c>
    </row>
    <row r="5" spans="1:8" x14ac:dyDescent="0.25">
      <c r="A5" t="s">
        <v>74</v>
      </c>
      <c r="B5" t="s">
        <v>133</v>
      </c>
      <c r="D5" s="54" t="s">
        <v>333</v>
      </c>
      <c r="E5" s="54"/>
      <c r="F5" s="54"/>
      <c r="G5" s="54"/>
      <c r="H5" s="54"/>
    </row>
    <row r="6" spans="1:8" x14ac:dyDescent="0.25">
      <c r="A6" t="s">
        <v>334</v>
      </c>
      <c r="B6">
        <v>1988</v>
      </c>
      <c r="D6" t="s">
        <v>335</v>
      </c>
      <c r="E6" s="9">
        <v>25999.959999999995</v>
      </c>
    </row>
    <row r="7" spans="1:8" x14ac:dyDescent="0.25">
      <c r="A7" t="s">
        <v>76</v>
      </c>
      <c r="B7" s="1">
        <v>45860</v>
      </c>
      <c r="D7" t="s">
        <v>336</v>
      </c>
      <c r="E7" s="9">
        <v>1689.9974000000002</v>
      </c>
    </row>
    <row r="8" spans="1:8" x14ac:dyDescent="0.25">
      <c r="A8" t="s">
        <v>77</v>
      </c>
      <c r="B8" s="4">
        <v>0.1434</v>
      </c>
      <c r="D8" t="s">
        <v>77</v>
      </c>
      <c r="E8" s="9">
        <v>3806.3941439999994</v>
      </c>
    </row>
    <row r="9" spans="1:8" x14ac:dyDescent="0.25">
      <c r="A9" t="s">
        <v>78</v>
      </c>
      <c r="B9" s="4">
        <v>1</v>
      </c>
      <c r="D9" t="s">
        <v>337</v>
      </c>
      <c r="E9" s="9">
        <v>20503.568456000005</v>
      </c>
    </row>
    <row r="10" spans="1:8" x14ac:dyDescent="0.25">
      <c r="A10" t="s">
        <v>79</v>
      </c>
      <c r="B10" t="s">
        <v>141</v>
      </c>
      <c r="D10" t="s">
        <v>338</v>
      </c>
      <c r="E10" s="9">
        <v>8358.9871399999993</v>
      </c>
    </row>
    <row r="11" spans="1:8" x14ac:dyDescent="0.25">
      <c r="A11" t="s">
        <v>82</v>
      </c>
      <c r="B11" s="9">
        <v>1816.28</v>
      </c>
      <c r="D11" t="s">
        <v>267</v>
      </c>
      <c r="E11" s="9">
        <v>34358.947139999997</v>
      </c>
    </row>
    <row r="12" spans="1:8" x14ac:dyDescent="0.25">
      <c r="A12" t="s">
        <v>81</v>
      </c>
      <c r="B12" s="4">
        <v>1.4999999999999999E-2</v>
      </c>
    </row>
    <row r="13" spans="1:8" x14ac:dyDescent="0.25">
      <c r="A13" s="35" t="s">
        <v>90</v>
      </c>
      <c r="B13" s="34">
        <v>0</v>
      </c>
    </row>
    <row r="15" spans="1:8" x14ac:dyDescent="0.25">
      <c r="A15" s="6" t="s">
        <v>150</v>
      </c>
      <c r="B15" s="6" t="s">
        <v>339</v>
      </c>
      <c r="C15" s="6" t="s">
        <v>165</v>
      </c>
      <c r="D15" s="6" t="s">
        <v>94</v>
      </c>
      <c r="E15" s="6" t="s">
        <v>336</v>
      </c>
      <c r="F15" s="6" t="s">
        <v>77</v>
      </c>
      <c r="G15" s="6" t="s">
        <v>95</v>
      </c>
      <c r="H15" s="6" t="s">
        <v>267</v>
      </c>
    </row>
    <row r="16" spans="1:8" x14ac:dyDescent="0.25">
      <c r="A16" t="s">
        <v>173</v>
      </c>
      <c r="B16" s="4">
        <v>1</v>
      </c>
      <c r="C16" t="s">
        <v>175</v>
      </c>
      <c r="D16" s="9">
        <v>1857.14</v>
      </c>
      <c r="E16" s="9">
        <v>140.83311666666668</v>
      </c>
      <c r="F16" s="9">
        <v>271.88529600000004</v>
      </c>
      <c r="G16" s="9">
        <v>1444.4215873333333</v>
      </c>
      <c r="H16" s="9">
        <v>2553.7222616666668</v>
      </c>
    </row>
    <row r="17" spans="1:11" x14ac:dyDescent="0.25">
      <c r="A17" t="s">
        <v>176</v>
      </c>
      <c r="B17" s="4">
        <v>1</v>
      </c>
      <c r="C17" t="s">
        <v>175</v>
      </c>
      <c r="D17" s="9">
        <v>1857.14</v>
      </c>
      <c r="E17" s="9">
        <v>140.83311666666668</v>
      </c>
      <c r="F17" s="9">
        <v>271.88529600000004</v>
      </c>
      <c r="G17" s="9">
        <v>1444.4215873333333</v>
      </c>
      <c r="H17" s="9">
        <v>2553.7222616666668</v>
      </c>
    </row>
    <row r="18" spans="1:11" x14ac:dyDescent="0.25">
      <c r="A18" t="s">
        <v>177</v>
      </c>
      <c r="B18" s="4">
        <v>1</v>
      </c>
      <c r="C18" t="s">
        <v>175</v>
      </c>
      <c r="D18" s="9">
        <v>1857.14</v>
      </c>
      <c r="E18" s="9">
        <v>140.83311666666668</v>
      </c>
      <c r="F18" s="9">
        <v>271.88529600000004</v>
      </c>
      <c r="G18" s="9">
        <v>1444.4215873333333</v>
      </c>
      <c r="H18" s="9">
        <v>2553.7222616666668</v>
      </c>
    </row>
    <row r="19" spans="1:11" x14ac:dyDescent="0.25">
      <c r="A19" t="s">
        <v>178</v>
      </c>
      <c r="B19" s="4">
        <v>1</v>
      </c>
      <c r="C19" t="s">
        <v>175</v>
      </c>
      <c r="D19" s="9">
        <v>1857.14</v>
      </c>
      <c r="E19" s="9">
        <v>140.83311666666668</v>
      </c>
      <c r="F19" s="9">
        <v>271.88529600000004</v>
      </c>
      <c r="G19" s="9">
        <v>1444.4215873333333</v>
      </c>
      <c r="H19" s="9">
        <v>2553.7222616666668</v>
      </c>
    </row>
    <row r="20" spans="1:11" x14ac:dyDescent="0.25">
      <c r="A20" t="s">
        <v>179</v>
      </c>
      <c r="B20" s="4">
        <v>1</v>
      </c>
      <c r="C20" t="s">
        <v>175</v>
      </c>
      <c r="D20" s="9">
        <v>1857.14</v>
      </c>
      <c r="E20" s="9">
        <v>140.83311666666668</v>
      </c>
      <c r="F20" s="9">
        <v>271.88529600000004</v>
      </c>
      <c r="G20" s="9">
        <v>1444.4215873333333</v>
      </c>
      <c r="H20" s="9">
        <v>2553.7222616666668</v>
      </c>
    </row>
    <row r="21" spans="1:11" x14ac:dyDescent="0.25">
      <c r="A21" t="s">
        <v>180</v>
      </c>
      <c r="B21" s="4">
        <v>1</v>
      </c>
      <c r="C21" t="s">
        <v>175</v>
      </c>
      <c r="D21" s="9">
        <v>1857.14</v>
      </c>
      <c r="E21" s="9">
        <v>140.83311666666668</v>
      </c>
      <c r="F21" s="9">
        <v>271.88529600000004</v>
      </c>
      <c r="G21" s="9">
        <v>1444.4215873333333</v>
      </c>
      <c r="H21" s="9">
        <v>2553.7222616666668</v>
      </c>
    </row>
    <row r="22" spans="1:11" x14ac:dyDescent="0.25">
      <c r="A22" t="s">
        <v>181</v>
      </c>
      <c r="B22" s="4">
        <v>1</v>
      </c>
      <c r="C22" t="s">
        <v>175</v>
      </c>
      <c r="D22" s="9">
        <v>1857.14</v>
      </c>
      <c r="E22" s="9">
        <v>0</v>
      </c>
      <c r="F22" s="9">
        <v>271.88529600000004</v>
      </c>
      <c r="G22" s="9">
        <v>1585.2547039999999</v>
      </c>
      <c r="H22" s="9">
        <v>1857.14</v>
      </c>
    </row>
    <row r="23" spans="1:11" x14ac:dyDescent="0.25">
      <c r="A23" t="s">
        <v>183</v>
      </c>
      <c r="B23" s="4">
        <v>1</v>
      </c>
      <c r="C23" t="s">
        <v>175</v>
      </c>
      <c r="D23" s="9">
        <v>1857.14</v>
      </c>
      <c r="E23" s="9">
        <v>140.83311666666668</v>
      </c>
      <c r="F23" s="9">
        <v>271.88529600000004</v>
      </c>
      <c r="G23" s="9">
        <v>1444.4215873333333</v>
      </c>
      <c r="H23" s="9">
        <v>2553.7222616666668</v>
      </c>
    </row>
    <row r="24" spans="1:11" x14ac:dyDescent="0.25">
      <c r="A24" t="s">
        <v>184</v>
      </c>
      <c r="B24" s="4">
        <v>1</v>
      </c>
      <c r="C24" t="s">
        <v>175</v>
      </c>
      <c r="D24" s="9">
        <v>1857.14</v>
      </c>
      <c r="E24" s="9">
        <v>140.83311666666668</v>
      </c>
      <c r="F24" s="9">
        <v>271.88529600000004</v>
      </c>
      <c r="G24" s="9">
        <v>1444.4215873333333</v>
      </c>
      <c r="H24" s="9">
        <v>2553.7222616666668</v>
      </c>
    </row>
    <row r="25" spans="1:11" x14ac:dyDescent="0.25">
      <c r="A25" t="s">
        <v>185</v>
      </c>
      <c r="B25" s="4">
        <v>1</v>
      </c>
      <c r="C25" t="s">
        <v>175</v>
      </c>
      <c r="D25" s="9">
        <v>1857.14</v>
      </c>
      <c r="E25" s="9">
        <v>140.83311666666668</v>
      </c>
      <c r="F25" s="9">
        <v>271.88529600000004</v>
      </c>
      <c r="G25" s="9">
        <v>1444.4215873333333</v>
      </c>
      <c r="H25" s="9">
        <v>2553.7222616666668</v>
      </c>
    </row>
    <row r="26" spans="1:11" x14ac:dyDescent="0.25">
      <c r="A26" t="s">
        <v>186</v>
      </c>
      <c r="B26" s="4">
        <v>1</v>
      </c>
      <c r="C26" t="s">
        <v>175</v>
      </c>
      <c r="D26" s="9">
        <v>1857.14</v>
      </c>
      <c r="E26" s="9">
        <v>140.83311666666668</v>
      </c>
      <c r="F26" s="9">
        <v>271.88529600000004</v>
      </c>
      <c r="G26" s="9">
        <v>1444.4215873333333</v>
      </c>
      <c r="H26" s="9">
        <v>2553.7222616666668</v>
      </c>
    </row>
    <row r="27" spans="1:11" x14ac:dyDescent="0.25">
      <c r="A27" t="s">
        <v>187</v>
      </c>
      <c r="B27" s="4">
        <v>1</v>
      </c>
      <c r="C27" t="s">
        <v>175</v>
      </c>
      <c r="D27" s="9">
        <v>1857.14</v>
      </c>
      <c r="E27" s="9">
        <v>140.83311666666668</v>
      </c>
      <c r="F27" s="9">
        <v>271.88529600000004</v>
      </c>
      <c r="G27" s="9">
        <v>1444.4215873333333</v>
      </c>
      <c r="H27" s="9">
        <v>2553.7222616666668</v>
      </c>
    </row>
    <row r="28" spans="1:11" x14ac:dyDescent="0.25">
      <c r="A28" t="s">
        <v>188</v>
      </c>
      <c r="B28" s="4">
        <v>1</v>
      </c>
      <c r="C28" t="s">
        <v>175</v>
      </c>
      <c r="D28" s="9">
        <v>1857.14</v>
      </c>
      <c r="E28" s="9">
        <v>0</v>
      </c>
      <c r="F28" s="9">
        <v>271.88529600000004</v>
      </c>
      <c r="G28" s="9">
        <v>1585.2547039999999</v>
      </c>
      <c r="H28" s="9">
        <v>1857.14</v>
      </c>
    </row>
    <row r="29" spans="1:11" x14ac:dyDescent="0.25">
      <c r="A29" t="s">
        <v>189</v>
      </c>
      <c r="B29" s="4">
        <v>1</v>
      </c>
      <c r="C29" t="s">
        <v>175</v>
      </c>
      <c r="D29" s="9">
        <v>1857.14</v>
      </c>
      <c r="E29" s="9">
        <v>140.83311666666668</v>
      </c>
      <c r="F29" s="9">
        <v>271.88529600000004</v>
      </c>
      <c r="G29" s="9">
        <v>1444.4215873333333</v>
      </c>
      <c r="H29" s="9">
        <v>2553.7222616666668</v>
      </c>
    </row>
    <row r="30" spans="1:11" x14ac:dyDescent="0.25">
      <c r="A30" s="45" t="s">
        <v>340</v>
      </c>
      <c r="B30" s="45"/>
      <c r="C30" s="45"/>
      <c r="D30" s="14">
        <v>25999.959999999995</v>
      </c>
      <c r="E30" s="14">
        <v>1689.9974000000002</v>
      </c>
      <c r="F30" s="14">
        <v>3806.3941439999994</v>
      </c>
      <c r="G30" s="14">
        <v>20503.568456000005</v>
      </c>
      <c r="H30" s="14">
        <v>34358.947139999997</v>
      </c>
    </row>
    <row r="32" spans="1:11" x14ac:dyDescent="0.25">
      <c r="A32" s="55" t="s">
        <v>279</v>
      </c>
      <c r="B32" s="55"/>
      <c r="C32" s="55"/>
      <c r="D32" s="55"/>
      <c r="E32" s="55"/>
      <c r="F32" s="55"/>
      <c r="G32" s="55"/>
      <c r="H32" s="55"/>
      <c r="I32" s="55"/>
      <c r="J32" s="55"/>
      <c r="K32" s="55"/>
    </row>
    <row r="33" spans="1:11" ht="30" x14ac:dyDescent="0.25">
      <c r="A33" s="36" t="s">
        <v>341</v>
      </c>
      <c r="B33" s="37">
        <v>0</v>
      </c>
      <c r="C33" s="37"/>
      <c r="D33" s="38" t="s">
        <v>342</v>
      </c>
      <c r="E33" s="37">
        <v>0</v>
      </c>
      <c r="F33" s="37"/>
      <c r="G33" s="38" t="s">
        <v>343</v>
      </c>
      <c r="H33" s="37">
        <v>0</v>
      </c>
      <c r="I33" s="39"/>
      <c r="J33" s="39"/>
      <c r="K33" s="39"/>
    </row>
    <row r="34" spans="1:11" x14ac:dyDescent="0.25">
      <c r="A34" s="39"/>
      <c r="B34" s="39"/>
      <c r="C34" s="39"/>
      <c r="D34" s="39"/>
      <c r="E34" s="39"/>
      <c r="F34" s="39"/>
      <c r="G34" s="39"/>
      <c r="H34" s="39"/>
      <c r="I34" s="39"/>
      <c r="J34" s="39"/>
      <c r="K34" s="39"/>
    </row>
    <row r="35" spans="1:11" ht="33.950000000000003" customHeight="1" x14ac:dyDescent="0.25">
      <c r="A35" s="33" t="s">
        <v>150</v>
      </c>
      <c r="B35" s="33" t="s">
        <v>344</v>
      </c>
      <c r="C35" s="33" t="s">
        <v>345</v>
      </c>
      <c r="D35" s="33" t="s">
        <v>346</v>
      </c>
      <c r="E35" s="33" t="s">
        <v>347</v>
      </c>
      <c r="F35" s="33" t="s">
        <v>348</v>
      </c>
      <c r="G35" s="33" t="s">
        <v>349</v>
      </c>
      <c r="H35" s="33" t="s">
        <v>327</v>
      </c>
      <c r="I35" s="33" t="s">
        <v>328</v>
      </c>
      <c r="J35" s="33" t="s">
        <v>350</v>
      </c>
      <c r="K35" s="33" t="s">
        <v>351</v>
      </c>
    </row>
    <row r="36" spans="1:11" x14ac:dyDescent="0.25">
      <c r="A36" s="39" t="s">
        <v>173</v>
      </c>
      <c r="B36" s="37">
        <v>0</v>
      </c>
      <c r="C36" s="37">
        <v>2118.9933333333333</v>
      </c>
      <c r="D36" s="37">
        <v>2166.6633333333334</v>
      </c>
      <c r="E36" s="37">
        <v>140.83311666666668</v>
      </c>
      <c r="F36" s="37">
        <v>140.83311666666668</v>
      </c>
      <c r="G36" s="37">
        <v>0</v>
      </c>
      <c r="H36" s="37">
        <v>696.58226166666668</v>
      </c>
      <c r="I36" s="37">
        <v>696.58226166666668</v>
      </c>
      <c r="J36" s="37">
        <v>0</v>
      </c>
      <c r="K36" s="37">
        <v>0</v>
      </c>
    </row>
    <row r="37" spans="1:11" x14ac:dyDescent="0.25">
      <c r="A37" s="39" t="s">
        <v>176</v>
      </c>
      <c r="B37" s="37">
        <v>0</v>
      </c>
      <c r="C37" s="37">
        <v>2118.9933333333333</v>
      </c>
      <c r="D37" s="37">
        <v>2166.6633333333334</v>
      </c>
      <c r="E37" s="37">
        <v>140.83311666666668</v>
      </c>
      <c r="F37" s="37">
        <v>140.83311666666668</v>
      </c>
      <c r="G37" s="37">
        <v>0</v>
      </c>
      <c r="H37" s="37">
        <v>696.58226166666668</v>
      </c>
      <c r="I37" s="37">
        <v>696.58226166666668</v>
      </c>
      <c r="J37" s="37">
        <v>0</v>
      </c>
      <c r="K37" s="37">
        <v>0</v>
      </c>
    </row>
    <row r="38" spans="1:11" x14ac:dyDescent="0.25">
      <c r="A38" s="39" t="s">
        <v>177</v>
      </c>
      <c r="B38" s="37">
        <v>0</v>
      </c>
      <c r="C38" s="37">
        <v>2118.9933333333333</v>
      </c>
      <c r="D38" s="37">
        <v>2166.6633333333334</v>
      </c>
      <c r="E38" s="37">
        <v>140.83311666666668</v>
      </c>
      <c r="F38" s="37">
        <v>140.83311666666668</v>
      </c>
      <c r="G38" s="37">
        <v>0</v>
      </c>
      <c r="H38" s="37">
        <v>696.58226166666668</v>
      </c>
      <c r="I38" s="37">
        <v>696.58226166666668</v>
      </c>
      <c r="J38" s="37">
        <v>0</v>
      </c>
      <c r="K38" s="37">
        <v>0</v>
      </c>
    </row>
    <row r="39" spans="1:11" x14ac:dyDescent="0.25">
      <c r="A39" s="39" t="s">
        <v>178</v>
      </c>
      <c r="B39" s="37">
        <v>0</v>
      </c>
      <c r="C39" s="37">
        <v>2118.9933333333333</v>
      </c>
      <c r="D39" s="37">
        <v>2166.6633333333334</v>
      </c>
      <c r="E39" s="37">
        <v>140.83311666666668</v>
      </c>
      <c r="F39" s="37">
        <v>140.83311666666668</v>
      </c>
      <c r="G39" s="37">
        <v>0</v>
      </c>
      <c r="H39" s="37">
        <v>696.58226166666668</v>
      </c>
      <c r="I39" s="37">
        <v>696.58226166666668</v>
      </c>
      <c r="J39" s="37">
        <v>0</v>
      </c>
      <c r="K39" s="37">
        <v>0</v>
      </c>
    </row>
    <row r="40" spans="1:11" x14ac:dyDescent="0.25">
      <c r="A40" s="39" t="s">
        <v>179</v>
      </c>
      <c r="B40" s="37">
        <v>0</v>
      </c>
      <c r="C40" s="37">
        <v>2118.9933333333333</v>
      </c>
      <c r="D40" s="37">
        <v>2166.6633333333334</v>
      </c>
      <c r="E40" s="37">
        <v>140.83311666666668</v>
      </c>
      <c r="F40" s="37">
        <v>140.83311666666668</v>
      </c>
      <c r="G40" s="37">
        <v>0</v>
      </c>
      <c r="H40" s="37">
        <v>696.58226166666668</v>
      </c>
      <c r="I40" s="37">
        <v>696.58226166666668</v>
      </c>
      <c r="J40" s="37">
        <v>0</v>
      </c>
      <c r="K40" s="37">
        <v>0</v>
      </c>
    </row>
    <row r="41" spans="1:11" x14ac:dyDescent="0.25">
      <c r="A41" s="39" t="s">
        <v>180</v>
      </c>
      <c r="B41" s="37">
        <v>0</v>
      </c>
      <c r="C41" s="37">
        <v>2118.9933333333333</v>
      </c>
      <c r="D41" s="37">
        <v>2166.6633333333334</v>
      </c>
      <c r="E41" s="37">
        <v>140.83311666666668</v>
      </c>
      <c r="F41" s="37">
        <v>140.83311666666668</v>
      </c>
      <c r="G41" s="37">
        <v>0</v>
      </c>
      <c r="H41" s="37">
        <v>696.58226166666668</v>
      </c>
      <c r="I41" s="37">
        <v>696.58226166666668</v>
      </c>
      <c r="J41" s="37">
        <v>0</v>
      </c>
      <c r="K41" s="37">
        <v>0</v>
      </c>
    </row>
    <row r="42" spans="1:11" x14ac:dyDescent="0.25">
      <c r="A42" s="39" t="s">
        <v>183</v>
      </c>
      <c r="B42" s="37">
        <v>0</v>
      </c>
      <c r="C42" s="37">
        <v>2118.9933333333333</v>
      </c>
      <c r="D42" s="37">
        <v>2166.6633333333334</v>
      </c>
      <c r="E42" s="37">
        <v>140.83311666666668</v>
      </c>
      <c r="F42" s="37">
        <v>140.83311666666668</v>
      </c>
      <c r="G42" s="37">
        <v>0</v>
      </c>
      <c r="H42" s="37">
        <v>696.58226166666668</v>
      </c>
      <c r="I42" s="37">
        <v>696.58226166666668</v>
      </c>
      <c r="J42" s="37">
        <v>0</v>
      </c>
      <c r="K42" s="37">
        <v>0</v>
      </c>
    </row>
    <row r="43" spans="1:11" x14ac:dyDescent="0.25">
      <c r="A43" s="39" t="s">
        <v>184</v>
      </c>
      <c r="B43" s="37">
        <v>0</v>
      </c>
      <c r="C43" s="37">
        <v>2118.9933333333333</v>
      </c>
      <c r="D43" s="37">
        <v>2166.6633333333334</v>
      </c>
      <c r="E43" s="37">
        <v>140.83311666666668</v>
      </c>
      <c r="F43" s="37">
        <v>140.83311666666668</v>
      </c>
      <c r="G43" s="37">
        <v>0</v>
      </c>
      <c r="H43" s="37">
        <v>696.58226166666668</v>
      </c>
      <c r="I43" s="37">
        <v>696.58226166666668</v>
      </c>
      <c r="J43" s="37">
        <v>0</v>
      </c>
      <c r="K43" s="37">
        <v>0</v>
      </c>
    </row>
    <row r="44" spans="1:11" x14ac:dyDescent="0.25">
      <c r="A44" s="39" t="s">
        <v>185</v>
      </c>
      <c r="B44" s="37">
        <v>0</v>
      </c>
      <c r="C44" s="37">
        <v>2118.9933333333333</v>
      </c>
      <c r="D44" s="37">
        <v>2166.6633333333334</v>
      </c>
      <c r="E44" s="37">
        <v>140.83311666666668</v>
      </c>
      <c r="F44" s="37">
        <v>140.83311666666668</v>
      </c>
      <c r="G44" s="37">
        <v>0</v>
      </c>
      <c r="H44" s="37">
        <v>696.58226166666668</v>
      </c>
      <c r="I44" s="37">
        <v>696.58226166666668</v>
      </c>
      <c r="J44" s="37">
        <v>0</v>
      </c>
      <c r="K44" s="37">
        <v>0</v>
      </c>
    </row>
    <row r="45" spans="1:11" x14ac:dyDescent="0.25">
      <c r="A45" s="39" t="s">
        <v>186</v>
      </c>
      <c r="B45" s="37">
        <v>0</v>
      </c>
      <c r="C45" s="37">
        <v>2118.9933333333333</v>
      </c>
      <c r="D45" s="37">
        <v>2166.6633333333334</v>
      </c>
      <c r="E45" s="37">
        <v>140.83311666666668</v>
      </c>
      <c r="F45" s="37">
        <v>140.83311666666668</v>
      </c>
      <c r="G45" s="37">
        <v>0</v>
      </c>
      <c r="H45" s="37">
        <v>696.58226166666668</v>
      </c>
      <c r="I45" s="37">
        <v>696.58226166666668</v>
      </c>
      <c r="J45" s="37">
        <v>0</v>
      </c>
      <c r="K45" s="37">
        <v>0</v>
      </c>
    </row>
    <row r="46" spans="1:11" x14ac:dyDescent="0.25">
      <c r="A46" s="39" t="s">
        <v>187</v>
      </c>
      <c r="B46" s="37">
        <v>0</v>
      </c>
      <c r="C46" s="37">
        <v>2118.9933333333333</v>
      </c>
      <c r="D46" s="37">
        <v>2166.6633333333334</v>
      </c>
      <c r="E46" s="37">
        <v>140.83311666666668</v>
      </c>
      <c r="F46" s="37">
        <v>140.83311666666668</v>
      </c>
      <c r="G46" s="37">
        <v>0</v>
      </c>
      <c r="H46" s="37">
        <v>696.58226166666668</v>
      </c>
      <c r="I46" s="37">
        <v>696.58226166666668</v>
      </c>
      <c r="J46" s="37">
        <v>0</v>
      </c>
      <c r="K46" s="37">
        <v>0</v>
      </c>
    </row>
    <row r="47" spans="1:11" x14ac:dyDescent="0.25">
      <c r="A47" s="39" t="s">
        <v>189</v>
      </c>
      <c r="B47" s="37">
        <v>0</v>
      </c>
      <c r="C47" s="37">
        <v>2118.9933333333333</v>
      </c>
      <c r="D47" s="37">
        <v>2166.6633333333334</v>
      </c>
      <c r="E47" s="37">
        <v>140.83311666666668</v>
      </c>
      <c r="F47" s="37">
        <v>140.83311666666668</v>
      </c>
      <c r="G47" s="37">
        <v>0</v>
      </c>
      <c r="H47" s="37">
        <v>696.58226166666668</v>
      </c>
      <c r="I47" s="37">
        <v>696.58226166666668</v>
      </c>
      <c r="J47" s="37">
        <v>0</v>
      </c>
      <c r="K47" s="37">
        <v>0</v>
      </c>
    </row>
    <row r="48" spans="1:11" x14ac:dyDescent="0.25">
      <c r="A48" s="40" t="s">
        <v>352</v>
      </c>
      <c r="B48" s="41">
        <f t="shared" ref="B48:K48" si="0">SUM(B36:B47)</f>
        <v>0</v>
      </c>
      <c r="C48" s="41">
        <f t="shared" si="0"/>
        <v>25427.919999999995</v>
      </c>
      <c r="D48" s="41">
        <f t="shared" si="0"/>
        <v>25999.960000000003</v>
      </c>
      <c r="E48" s="41">
        <f t="shared" si="0"/>
        <v>1689.9974000000002</v>
      </c>
      <c r="F48" s="41">
        <f t="shared" si="0"/>
        <v>1689.9974000000002</v>
      </c>
      <c r="G48" s="41">
        <f t="shared" si="0"/>
        <v>0</v>
      </c>
      <c r="H48" s="41">
        <f t="shared" si="0"/>
        <v>8358.9871399999993</v>
      </c>
      <c r="I48" s="41">
        <f t="shared" si="0"/>
        <v>8358.9871399999993</v>
      </c>
      <c r="J48" s="41">
        <f t="shared" si="0"/>
        <v>0</v>
      </c>
      <c r="K48" s="41">
        <f t="shared" si="0"/>
        <v>0</v>
      </c>
    </row>
  </sheetData>
  <mergeCells count="4">
    <mergeCell ref="A1:H1"/>
    <mergeCell ref="D5:H5"/>
    <mergeCell ref="A30:C30"/>
    <mergeCell ref="A32:K32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K48"/>
  <sheetViews>
    <sheetView workbookViewId="0"/>
  </sheetViews>
  <sheetFormatPr baseColWidth="10" defaultColWidth="9.140625" defaultRowHeight="15" x14ac:dyDescent="0.25"/>
  <cols>
    <col min="1" max="1" width="18" customWidth="1"/>
    <col min="2" max="11" width="16" customWidth="1"/>
  </cols>
  <sheetData>
    <row r="1" spans="1:8" ht="26.1" customHeight="1" x14ac:dyDescent="0.3">
      <c r="A1" s="46" t="s">
        <v>332</v>
      </c>
      <c r="B1" s="46"/>
      <c r="C1" s="46"/>
      <c r="D1" s="46"/>
      <c r="E1" s="46"/>
      <c r="F1" s="46"/>
      <c r="G1" s="46"/>
      <c r="H1" s="46"/>
    </row>
    <row r="3" spans="1:8" x14ac:dyDescent="0.25">
      <c r="A3" t="s">
        <v>149</v>
      </c>
      <c r="B3" s="13" t="s">
        <v>134</v>
      </c>
    </row>
    <row r="5" spans="1:8" x14ac:dyDescent="0.25">
      <c r="A5" t="s">
        <v>74</v>
      </c>
      <c r="B5" t="s">
        <v>135</v>
      </c>
      <c r="D5" s="54" t="s">
        <v>333</v>
      </c>
      <c r="E5" s="54"/>
      <c r="F5" s="54"/>
      <c r="G5" s="54"/>
      <c r="H5" s="54"/>
    </row>
    <row r="6" spans="1:8" x14ac:dyDescent="0.25">
      <c r="A6" t="s">
        <v>334</v>
      </c>
      <c r="B6">
        <v>1947</v>
      </c>
      <c r="D6" t="s">
        <v>335</v>
      </c>
      <c r="E6" s="9">
        <v>100027.20000000003</v>
      </c>
    </row>
    <row r="7" spans="1:8" x14ac:dyDescent="0.25">
      <c r="A7" t="s">
        <v>76</v>
      </c>
      <c r="B7" s="1">
        <v>34406</v>
      </c>
      <c r="D7" t="s">
        <v>336</v>
      </c>
      <c r="E7" s="9">
        <v>4061.6802719999996</v>
      </c>
    </row>
    <row r="8" spans="1:8" x14ac:dyDescent="0.25">
      <c r="A8" t="s">
        <v>77</v>
      </c>
      <c r="B8" s="4">
        <v>0.30330000000000001</v>
      </c>
      <c r="D8" t="s">
        <v>77</v>
      </c>
      <c r="E8" s="9">
        <v>30138.195360000002</v>
      </c>
    </row>
    <row r="9" spans="1:8" x14ac:dyDescent="0.25">
      <c r="A9" t="s">
        <v>78</v>
      </c>
      <c r="B9" s="4">
        <v>1</v>
      </c>
      <c r="D9" t="s">
        <v>337</v>
      </c>
      <c r="E9" s="9">
        <v>65827.324367999972</v>
      </c>
    </row>
    <row r="10" spans="1:8" x14ac:dyDescent="0.25">
      <c r="A10" t="s">
        <v>79</v>
      </c>
      <c r="B10" t="s">
        <v>141</v>
      </c>
      <c r="D10" t="s">
        <v>338</v>
      </c>
      <c r="E10" s="9">
        <v>20093.955647999999</v>
      </c>
    </row>
    <row r="11" spans="1:8" x14ac:dyDescent="0.25">
      <c r="A11" t="s">
        <v>82</v>
      </c>
      <c r="B11" s="9">
        <v>4541.41</v>
      </c>
      <c r="D11" t="s">
        <v>267</v>
      </c>
      <c r="E11" s="9">
        <v>120121.15564800003</v>
      </c>
    </row>
    <row r="12" spans="1:8" x14ac:dyDescent="0.25">
      <c r="A12" t="s">
        <v>81</v>
      </c>
      <c r="B12" s="4">
        <v>1.4999999999999999E-2</v>
      </c>
    </row>
    <row r="13" spans="1:8" x14ac:dyDescent="0.25">
      <c r="A13" s="35" t="s">
        <v>90</v>
      </c>
      <c r="B13" s="34">
        <v>0</v>
      </c>
    </row>
    <row r="15" spans="1:8" x14ac:dyDescent="0.25">
      <c r="A15" s="6" t="s">
        <v>150</v>
      </c>
      <c r="B15" s="6" t="s">
        <v>339</v>
      </c>
      <c r="C15" s="6" t="s">
        <v>165</v>
      </c>
      <c r="D15" s="6" t="s">
        <v>94</v>
      </c>
      <c r="E15" s="6" t="s">
        <v>336</v>
      </c>
      <c r="F15" s="6" t="s">
        <v>77</v>
      </c>
      <c r="G15" s="6" t="s">
        <v>95</v>
      </c>
      <c r="H15" s="6" t="s">
        <v>267</v>
      </c>
    </row>
    <row r="16" spans="1:8" x14ac:dyDescent="0.25">
      <c r="A16" t="s">
        <v>173</v>
      </c>
      <c r="B16" s="4">
        <v>1</v>
      </c>
      <c r="C16" t="s">
        <v>175</v>
      </c>
      <c r="D16" s="9">
        <v>7144.7999999999993</v>
      </c>
      <c r="E16" s="9">
        <v>338.47335599999997</v>
      </c>
      <c r="F16" s="9">
        <v>2152.7282399999999</v>
      </c>
      <c r="G16" s="9">
        <v>4653.5984039999985</v>
      </c>
      <c r="H16" s="9">
        <v>8819.2963039999995</v>
      </c>
    </row>
    <row r="17" spans="1:11" x14ac:dyDescent="0.25">
      <c r="A17" t="s">
        <v>176</v>
      </c>
      <c r="B17" s="4">
        <v>1</v>
      </c>
      <c r="C17" t="s">
        <v>175</v>
      </c>
      <c r="D17" s="9">
        <v>7144.7999999999993</v>
      </c>
      <c r="E17" s="9">
        <v>338.47335599999997</v>
      </c>
      <c r="F17" s="9">
        <v>2152.7282399999999</v>
      </c>
      <c r="G17" s="9">
        <v>4653.5984039999985</v>
      </c>
      <c r="H17" s="9">
        <v>8819.2963039999995</v>
      </c>
    </row>
    <row r="18" spans="1:11" x14ac:dyDescent="0.25">
      <c r="A18" t="s">
        <v>177</v>
      </c>
      <c r="B18" s="4">
        <v>1</v>
      </c>
      <c r="C18" t="s">
        <v>175</v>
      </c>
      <c r="D18" s="9">
        <v>7144.7999999999993</v>
      </c>
      <c r="E18" s="9">
        <v>338.47335599999997</v>
      </c>
      <c r="F18" s="9">
        <v>2152.7282399999999</v>
      </c>
      <c r="G18" s="9">
        <v>4653.5984039999985</v>
      </c>
      <c r="H18" s="9">
        <v>8819.2963039999995</v>
      </c>
    </row>
    <row r="19" spans="1:11" x14ac:dyDescent="0.25">
      <c r="A19" t="s">
        <v>178</v>
      </c>
      <c r="B19" s="4">
        <v>1</v>
      </c>
      <c r="C19" t="s">
        <v>175</v>
      </c>
      <c r="D19" s="9">
        <v>7144.7999999999993</v>
      </c>
      <c r="E19" s="9">
        <v>338.47335599999997</v>
      </c>
      <c r="F19" s="9">
        <v>2152.7282399999999</v>
      </c>
      <c r="G19" s="9">
        <v>4653.5984039999985</v>
      </c>
      <c r="H19" s="9">
        <v>8819.2963039999995</v>
      </c>
    </row>
    <row r="20" spans="1:11" x14ac:dyDescent="0.25">
      <c r="A20" t="s">
        <v>179</v>
      </c>
      <c r="B20" s="4">
        <v>1</v>
      </c>
      <c r="C20" t="s">
        <v>175</v>
      </c>
      <c r="D20" s="9">
        <v>7144.7999999999993</v>
      </c>
      <c r="E20" s="9">
        <v>338.47335599999997</v>
      </c>
      <c r="F20" s="9">
        <v>2152.7282399999999</v>
      </c>
      <c r="G20" s="9">
        <v>4653.5984039999985</v>
      </c>
      <c r="H20" s="9">
        <v>8819.2963039999995</v>
      </c>
    </row>
    <row r="21" spans="1:11" x14ac:dyDescent="0.25">
      <c r="A21" t="s">
        <v>180</v>
      </c>
      <c r="B21" s="4">
        <v>1</v>
      </c>
      <c r="C21" t="s">
        <v>175</v>
      </c>
      <c r="D21" s="9">
        <v>7144.7999999999993</v>
      </c>
      <c r="E21" s="9">
        <v>338.47335599999997</v>
      </c>
      <c r="F21" s="9">
        <v>2152.7282399999999</v>
      </c>
      <c r="G21" s="9">
        <v>4653.5984039999985</v>
      </c>
      <c r="H21" s="9">
        <v>8819.2963039999995</v>
      </c>
    </row>
    <row r="22" spans="1:11" x14ac:dyDescent="0.25">
      <c r="A22" t="s">
        <v>181</v>
      </c>
      <c r="B22" s="4">
        <v>1</v>
      </c>
      <c r="C22" t="s">
        <v>175</v>
      </c>
      <c r="D22" s="9">
        <v>7144.7999999999993</v>
      </c>
      <c r="E22" s="9">
        <v>0</v>
      </c>
      <c r="F22" s="9">
        <v>2152.7282400000004</v>
      </c>
      <c r="G22" s="9">
        <v>4992.0717599999989</v>
      </c>
      <c r="H22" s="9">
        <v>7144.7999999999993</v>
      </c>
    </row>
    <row r="23" spans="1:11" x14ac:dyDescent="0.25">
      <c r="A23" t="s">
        <v>183</v>
      </c>
      <c r="B23" s="4">
        <v>1</v>
      </c>
      <c r="C23" t="s">
        <v>175</v>
      </c>
      <c r="D23" s="9">
        <v>7144.7999999999993</v>
      </c>
      <c r="E23" s="9">
        <v>338.47335599999997</v>
      </c>
      <c r="F23" s="9">
        <v>2152.7282399999999</v>
      </c>
      <c r="G23" s="9">
        <v>4653.5984039999985</v>
      </c>
      <c r="H23" s="9">
        <v>8819.2963039999995</v>
      </c>
    </row>
    <row r="24" spans="1:11" x14ac:dyDescent="0.25">
      <c r="A24" t="s">
        <v>184</v>
      </c>
      <c r="B24" s="4">
        <v>1</v>
      </c>
      <c r="C24" t="s">
        <v>175</v>
      </c>
      <c r="D24" s="9">
        <v>7144.7999999999993</v>
      </c>
      <c r="E24" s="9">
        <v>338.47335599999997</v>
      </c>
      <c r="F24" s="9">
        <v>2152.7282399999999</v>
      </c>
      <c r="G24" s="9">
        <v>4653.5984039999985</v>
      </c>
      <c r="H24" s="9">
        <v>8819.2963039999995</v>
      </c>
    </row>
    <row r="25" spans="1:11" x14ac:dyDescent="0.25">
      <c r="A25" t="s">
        <v>185</v>
      </c>
      <c r="B25" s="4">
        <v>1</v>
      </c>
      <c r="C25" t="s">
        <v>175</v>
      </c>
      <c r="D25" s="9">
        <v>7144.7999999999993</v>
      </c>
      <c r="E25" s="9">
        <v>338.47335599999997</v>
      </c>
      <c r="F25" s="9">
        <v>2152.7282399999999</v>
      </c>
      <c r="G25" s="9">
        <v>4653.5984039999985</v>
      </c>
      <c r="H25" s="9">
        <v>8819.2963039999995</v>
      </c>
    </row>
    <row r="26" spans="1:11" x14ac:dyDescent="0.25">
      <c r="A26" t="s">
        <v>186</v>
      </c>
      <c r="B26" s="4">
        <v>1</v>
      </c>
      <c r="C26" t="s">
        <v>175</v>
      </c>
      <c r="D26" s="9">
        <v>7144.7999999999993</v>
      </c>
      <c r="E26" s="9">
        <v>338.47335599999997</v>
      </c>
      <c r="F26" s="9">
        <v>2152.7282399999999</v>
      </c>
      <c r="G26" s="9">
        <v>4653.5984039999985</v>
      </c>
      <c r="H26" s="9">
        <v>8819.2963039999995</v>
      </c>
    </row>
    <row r="27" spans="1:11" x14ac:dyDescent="0.25">
      <c r="A27" t="s">
        <v>187</v>
      </c>
      <c r="B27" s="4">
        <v>1</v>
      </c>
      <c r="C27" t="s">
        <v>175</v>
      </c>
      <c r="D27" s="9">
        <v>7144.7999999999993</v>
      </c>
      <c r="E27" s="9">
        <v>338.47335599999997</v>
      </c>
      <c r="F27" s="9">
        <v>2152.7282399999999</v>
      </c>
      <c r="G27" s="9">
        <v>4653.5984039999985</v>
      </c>
      <c r="H27" s="9">
        <v>8819.2963039999995</v>
      </c>
    </row>
    <row r="28" spans="1:11" x14ac:dyDescent="0.25">
      <c r="A28" t="s">
        <v>188</v>
      </c>
      <c r="B28" s="4">
        <v>1</v>
      </c>
      <c r="C28" t="s">
        <v>175</v>
      </c>
      <c r="D28" s="9">
        <v>7144.7999999999993</v>
      </c>
      <c r="E28" s="9">
        <v>0</v>
      </c>
      <c r="F28" s="9">
        <v>2152.7282400000004</v>
      </c>
      <c r="G28" s="9">
        <v>4992.0717599999989</v>
      </c>
      <c r="H28" s="9">
        <v>7144.7999999999993</v>
      </c>
    </row>
    <row r="29" spans="1:11" x14ac:dyDescent="0.25">
      <c r="A29" t="s">
        <v>189</v>
      </c>
      <c r="B29" s="4">
        <v>1</v>
      </c>
      <c r="C29" t="s">
        <v>175</v>
      </c>
      <c r="D29" s="9">
        <v>7144.7999999999993</v>
      </c>
      <c r="E29" s="9">
        <v>338.47335599999997</v>
      </c>
      <c r="F29" s="9">
        <v>2152.7282399999999</v>
      </c>
      <c r="G29" s="9">
        <v>4653.5984039999985</v>
      </c>
      <c r="H29" s="9">
        <v>8819.2963039999995</v>
      </c>
    </row>
    <row r="30" spans="1:11" x14ac:dyDescent="0.25">
      <c r="A30" s="45" t="s">
        <v>340</v>
      </c>
      <c r="B30" s="45"/>
      <c r="C30" s="45"/>
      <c r="D30" s="14">
        <v>100027.20000000003</v>
      </c>
      <c r="E30" s="14">
        <v>4061.6802719999996</v>
      </c>
      <c r="F30" s="14">
        <v>30138.195360000002</v>
      </c>
      <c r="G30" s="14">
        <v>65827.324367999972</v>
      </c>
      <c r="H30" s="14">
        <v>120121.15564800003</v>
      </c>
    </row>
    <row r="32" spans="1:11" x14ac:dyDescent="0.25">
      <c r="A32" s="55" t="s">
        <v>279</v>
      </c>
      <c r="B32" s="55"/>
      <c r="C32" s="55"/>
      <c r="D32" s="55"/>
      <c r="E32" s="55"/>
      <c r="F32" s="55"/>
      <c r="G32" s="55"/>
      <c r="H32" s="55"/>
      <c r="I32" s="55"/>
      <c r="J32" s="55"/>
      <c r="K32" s="55"/>
    </row>
    <row r="33" spans="1:11" ht="30" x14ac:dyDescent="0.25">
      <c r="A33" s="36" t="s">
        <v>341</v>
      </c>
      <c r="B33" s="37">
        <v>0</v>
      </c>
      <c r="C33" s="37"/>
      <c r="D33" s="38" t="s">
        <v>342</v>
      </c>
      <c r="E33" s="37">
        <v>0</v>
      </c>
      <c r="F33" s="37"/>
      <c r="G33" s="38" t="s">
        <v>343</v>
      </c>
      <c r="H33" s="37">
        <v>0</v>
      </c>
      <c r="I33" s="39"/>
      <c r="J33" s="39"/>
      <c r="K33" s="39"/>
    </row>
    <row r="34" spans="1:11" x14ac:dyDescent="0.25">
      <c r="A34" s="39"/>
      <c r="B34" s="39"/>
      <c r="C34" s="39"/>
      <c r="D34" s="39"/>
      <c r="E34" s="39"/>
      <c r="F34" s="39"/>
      <c r="G34" s="39"/>
      <c r="H34" s="39"/>
      <c r="I34" s="39"/>
      <c r="J34" s="39"/>
      <c r="K34" s="39"/>
    </row>
    <row r="35" spans="1:11" ht="33.950000000000003" customHeight="1" x14ac:dyDescent="0.25">
      <c r="A35" s="33" t="s">
        <v>150</v>
      </c>
      <c r="B35" s="33" t="s">
        <v>344</v>
      </c>
      <c r="C35" s="33" t="s">
        <v>345</v>
      </c>
      <c r="D35" s="33" t="s">
        <v>346</v>
      </c>
      <c r="E35" s="33" t="s">
        <v>347</v>
      </c>
      <c r="F35" s="33" t="s">
        <v>348</v>
      </c>
      <c r="G35" s="33" t="s">
        <v>349</v>
      </c>
      <c r="H35" s="33" t="s">
        <v>327</v>
      </c>
      <c r="I35" s="33" t="s">
        <v>328</v>
      </c>
      <c r="J35" s="33" t="s">
        <v>350</v>
      </c>
      <c r="K35" s="33" t="s">
        <v>351</v>
      </c>
    </row>
    <row r="36" spans="1:11" x14ac:dyDescent="0.25">
      <c r="A36" s="39" t="s">
        <v>173</v>
      </c>
      <c r="B36" s="37">
        <v>0</v>
      </c>
      <c r="C36" s="37">
        <v>8477.2986666666657</v>
      </c>
      <c r="D36" s="37">
        <v>8335.5999999999985</v>
      </c>
      <c r="E36" s="37">
        <v>338.47335599999997</v>
      </c>
      <c r="F36" s="37">
        <v>338.47335599999997</v>
      </c>
      <c r="G36" s="37">
        <v>0</v>
      </c>
      <c r="H36" s="37">
        <v>1674.4963039999998</v>
      </c>
      <c r="I36" s="37">
        <v>1674.4963039999998</v>
      </c>
      <c r="J36" s="37">
        <v>0</v>
      </c>
      <c r="K36" s="37">
        <v>0</v>
      </c>
    </row>
    <row r="37" spans="1:11" x14ac:dyDescent="0.25">
      <c r="A37" s="39" t="s">
        <v>176</v>
      </c>
      <c r="B37" s="37">
        <v>0</v>
      </c>
      <c r="C37" s="37">
        <v>8477.2986666666657</v>
      </c>
      <c r="D37" s="37">
        <v>8335.5999999999985</v>
      </c>
      <c r="E37" s="37">
        <v>338.47335599999997</v>
      </c>
      <c r="F37" s="37">
        <v>338.47335599999997</v>
      </c>
      <c r="G37" s="37">
        <v>0</v>
      </c>
      <c r="H37" s="37">
        <v>1674.4963039999998</v>
      </c>
      <c r="I37" s="37">
        <v>1674.4963039999998</v>
      </c>
      <c r="J37" s="37">
        <v>0</v>
      </c>
      <c r="K37" s="37">
        <v>0</v>
      </c>
    </row>
    <row r="38" spans="1:11" x14ac:dyDescent="0.25">
      <c r="A38" s="39" t="s">
        <v>177</v>
      </c>
      <c r="B38" s="37">
        <v>0</v>
      </c>
      <c r="C38" s="37">
        <v>8477.2986666666657</v>
      </c>
      <c r="D38" s="37">
        <v>8335.5999999999985</v>
      </c>
      <c r="E38" s="37">
        <v>338.47335599999997</v>
      </c>
      <c r="F38" s="37">
        <v>338.47335599999997</v>
      </c>
      <c r="G38" s="37">
        <v>0</v>
      </c>
      <c r="H38" s="37">
        <v>1674.4963039999998</v>
      </c>
      <c r="I38" s="37">
        <v>1674.4963039999998</v>
      </c>
      <c r="J38" s="37">
        <v>0</v>
      </c>
      <c r="K38" s="37">
        <v>0</v>
      </c>
    </row>
    <row r="39" spans="1:11" x14ac:dyDescent="0.25">
      <c r="A39" s="39" t="s">
        <v>178</v>
      </c>
      <c r="B39" s="37">
        <v>0</v>
      </c>
      <c r="C39" s="37">
        <v>8477.2986666666657</v>
      </c>
      <c r="D39" s="37">
        <v>8335.5999999999985</v>
      </c>
      <c r="E39" s="37">
        <v>338.47335599999997</v>
      </c>
      <c r="F39" s="37">
        <v>338.47335599999997</v>
      </c>
      <c r="G39" s="37">
        <v>0</v>
      </c>
      <c r="H39" s="37">
        <v>1674.4963039999998</v>
      </c>
      <c r="I39" s="37">
        <v>1674.4963039999998</v>
      </c>
      <c r="J39" s="37">
        <v>0</v>
      </c>
      <c r="K39" s="37">
        <v>0</v>
      </c>
    </row>
    <row r="40" spans="1:11" x14ac:dyDescent="0.25">
      <c r="A40" s="39" t="s">
        <v>179</v>
      </c>
      <c r="B40" s="37">
        <v>0</v>
      </c>
      <c r="C40" s="37">
        <v>8477.2986666666657</v>
      </c>
      <c r="D40" s="37">
        <v>8335.5999999999985</v>
      </c>
      <c r="E40" s="37">
        <v>338.47335599999997</v>
      </c>
      <c r="F40" s="37">
        <v>338.47335599999997</v>
      </c>
      <c r="G40" s="37">
        <v>0</v>
      </c>
      <c r="H40" s="37">
        <v>1674.4963039999998</v>
      </c>
      <c r="I40" s="37">
        <v>1674.4963039999998</v>
      </c>
      <c r="J40" s="37">
        <v>0</v>
      </c>
      <c r="K40" s="37">
        <v>0</v>
      </c>
    </row>
    <row r="41" spans="1:11" x14ac:dyDescent="0.25">
      <c r="A41" s="39" t="s">
        <v>180</v>
      </c>
      <c r="B41" s="37">
        <v>0</v>
      </c>
      <c r="C41" s="37">
        <v>8477.2986666666657</v>
      </c>
      <c r="D41" s="37">
        <v>8335.5999999999985</v>
      </c>
      <c r="E41" s="37">
        <v>338.47335599999997</v>
      </c>
      <c r="F41" s="37">
        <v>338.47335599999997</v>
      </c>
      <c r="G41" s="37">
        <v>0</v>
      </c>
      <c r="H41" s="37">
        <v>1674.4963039999998</v>
      </c>
      <c r="I41" s="37">
        <v>1674.4963039999998</v>
      </c>
      <c r="J41" s="37">
        <v>0</v>
      </c>
      <c r="K41" s="37">
        <v>0</v>
      </c>
    </row>
    <row r="42" spans="1:11" x14ac:dyDescent="0.25">
      <c r="A42" s="39" t="s">
        <v>183</v>
      </c>
      <c r="B42" s="37">
        <v>0</v>
      </c>
      <c r="C42" s="37">
        <v>8477.2986666666657</v>
      </c>
      <c r="D42" s="37">
        <v>8335.5999999999985</v>
      </c>
      <c r="E42" s="37">
        <v>338.47335599999997</v>
      </c>
      <c r="F42" s="37">
        <v>338.47335599999997</v>
      </c>
      <c r="G42" s="37">
        <v>0</v>
      </c>
      <c r="H42" s="37">
        <v>1674.4963039999998</v>
      </c>
      <c r="I42" s="37">
        <v>1674.4963039999998</v>
      </c>
      <c r="J42" s="37">
        <v>0</v>
      </c>
      <c r="K42" s="37">
        <v>0</v>
      </c>
    </row>
    <row r="43" spans="1:11" x14ac:dyDescent="0.25">
      <c r="A43" s="39" t="s">
        <v>184</v>
      </c>
      <c r="B43" s="37">
        <v>0</v>
      </c>
      <c r="C43" s="37">
        <v>8477.2986666666657</v>
      </c>
      <c r="D43" s="37">
        <v>8335.5999999999985</v>
      </c>
      <c r="E43" s="37">
        <v>338.47335599999997</v>
      </c>
      <c r="F43" s="37">
        <v>338.47335599999997</v>
      </c>
      <c r="G43" s="37">
        <v>0</v>
      </c>
      <c r="H43" s="37">
        <v>1674.4963039999998</v>
      </c>
      <c r="I43" s="37">
        <v>1674.4963039999998</v>
      </c>
      <c r="J43" s="37">
        <v>0</v>
      </c>
      <c r="K43" s="37">
        <v>0</v>
      </c>
    </row>
    <row r="44" spans="1:11" x14ac:dyDescent="0.25">
      <c r="A44" s="39" t="s">
        <v>185</v>
      </c>
      <c r="B44" s="37">
        <v>0</v>
      </c>
      <c r="C44" s="37">
        <v>8477.2986666666657</v>
      </c>
      <c r="D44" s="37">
        <v>8335.5999999999985</v>
      </c>
      <c r="E44" s="37">
        <v>338.47335599999997</v>
      </c>
      <c r="F44" s="37">
        <v>338.47335599999997</v>
      </c>
      <c r="G44" s="37">
        <v>0</v>
      </c>
      <c r="H44" s="37">
        <v>1674.4963039999998</v>
      </c>
      <c r="I44" s="37">
        <v>1674.4963039999998</v>
      </c>
      <c r="J44" s="37">
        <v>0</v>
      </c>
      <c r="K44" s="37">
        <v>0</v>
      </c>
    </row>
    <row r="45" spans="1:11" x14ac:dyDescent="0.25">
      <c r="A45" s="39" t="s">
        <v>186</v>
      </c>
      <c r="B45" s="37">
        <v>0</v>
      </c>
      <c r="C45" s="37">
        <v>8477.2986666666657</v>
      </c>
      <c r="D45" s="37">
        <v>8335.5999999999985</v>
      </c>
      <c r="E45" s="37">
        <v>338.47335599999997</v>
      </c>
      <c r="F45" s="37">
        <v>338.47335599999997</v>
      </c>
      <c r="G45" s="37">
        <v>0</v>
      </c>
      <c r="H45" s="37">
        <v>1674.4963039999998</v>
      </c>
      <c r="I45" s="37">
        <v>1674.4963039999998</v>
      </c>
      <c r="J45" s="37">
        <v>0</v>
      </c>
      <c r="K45" s="37">
        <v>0</v>
      </c>
    </row>
    <row r="46" spans="1:11" x14ac:dyDescent="0.25">
      <c r="A46" s="39" t="s">
        <v>187</v>
      </c>
      <c r="B46" s="37">
        <v>0</v>
      </c>
      <c r="C46" s="37">
        <v>8477.2986666666657</v>
      </c>
      <c r="D46" s="37">
        <v>8335.5999999999985</v>
      </c>
      <c r="E46" s="37">
        <v>338.47335599999997</v>
      </c>
      <c r="F46" s="37">
        <v>338.47335599999997</v>
      </c>
      <c r="G46" s="37">
        <v>0</v>
      </c>
      <c r="H46" s="37">
        <v>1674.4963039999998</v>
      </c>
      <c r="I46" s="37">
        <v>1674.4963039999998</v>
      </c>
      <c r="J46" s="37">
        <v>0</v>
      </c>
      <c r="K46" s="37">
        <v>0</v>
      </c>
    </row>
    <row r="47" spans="1:11" x14ac:dyDescent="0.25">
      <c r="A47" s="39" t="s">
        <v>189</v>
      </c>
      <c r="B47" s="37">
        <v>0</v>
      </c>
      <c r="C47" s="37">
        <v>8477.2986666666657</v>
      </c>
      <c r="D47" s="37">
        <v>8335.5999999999985</v>
      </c>
      <c r="E47" s="37">
        <v>338.47335599999997</v>
      </c>
      <c r="F47" s="37">
        <v>338.47335599999997</v>
      </c>
      <c r="G47" s="37">
        <v>0</v>
      </c>
      <c r="H47" s="37">
        <v>1674.4963039999998</v>
      </c>
      <c r="I47" s="37">
        <v>1674.4963039999998</v>
      </c>
      <c r="J47" s="37">
        <v>0</v>
      </c>
      <c r="K47" s="37">
        <v>0</v>
      </c>
    </row>
    <row r="48" spans="1:11" x14ac:dyDescent="0.25">
      <c r="A48" s="40" t="s">
        <v>352</v>
      </c>
      <c r="B48" s="41">
        <f t="shared" ref="B48:K48" si="0">SUM(B36:B47)</f>
        <v>0</v>
      </c>
      <c r="C48" s="41">
        <f t="shared" si="0"/>
        <v>101727.58400000002</v>
      </c>
      <c r="D48" s="41">
        <f t="shared" si="0"/>
        <v>100027.20000000001</v>
      </c>
      <c r="E48" s="41">
        <f t="shared" si="0"/>
        <v>4061.6802719999996</v>
      </c>
      <c r="F48" s="41">
        <f t="shared" si="0"/>
        <v>4061.6802719999996</v>
      </c>
      <c r="G48" s="41">
        <f t="shared" si="0"/>
        <v>0</v>
      </c>
      <c r="H48" s="41">
        <f t="shared" si="0"/>
        <v>20093.955647999999</v>
      </c>
      <c r="I48" s="41">
        <f t="shared" si="0"/>
        <v>20093.955647999999</v>
      </c>
      <c r="J48" s="41">
        <f t="shared" si="0"/>
        <v>0</v>
      </c>
      <c r="K48" s="41">
        <f t="shared" si="0"/>
        <v>0</v>
      </c>
    </row>
  </sheetData>
  <mergeCells count="4">
    <mergeCell ref="A1:H1"/>
    <mergeCell ref="D5:H5"/>
    <mergeCell ref="A30:C30"/>
    <mergeCell ref="A32:K32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K48"/>
  <sheetViews>
    <sheetView workbookViewId="0"/>
  </sheetViews>
  <sheetFormatPr baseColWidth="10" defaultColWidth="9.140625" defaultRowHeight="15" x14ac:dyDescent="0.25"/>
  <cols>
    <col min="1" max="1" width="18" customWidth="1"/>
    <col min="2" max="11" width="16" customWidth="1"/>
  </cols>
  <sheetData>
    <row r="1" spans="1:8" ht="26.1" customHeight="1" x14ac:dyDescent="0.3">
      <c r="A1" s="46" t="s">
        <v>332</v>
      </c>
      <c r="B1" s="46"/>
      <c r="C1" s="46"/>
      <c r="D1" s="46"/>
      <c r="E1" s="46"/>
      <c r="F1" s="46"/>
      <c r="G1" s="46"/>
      <c r="H1" s="46"/>
    </row>
    <row r="3" spans="1:8" x14ac:dyDescent="0.25">
      <c r="A3" t="s">
        <v>149</v>
      </c>
      <c r="B3" s="13" t="s">
        <v>136</v>
      </c>
    </row>
    <row r="5" spans="1:8" x14ac:dyDescent="0.25">
      <c r="A5" t="s">
        <v>74</v>
      </c>
      <c r="B5" t="s">
        <v>137</v>
      </c>
      <c r="D5" s="54" t="s">
        <v>333</v>
      </c>
      <c r="E5" s="54"/>
      <c r="F5" s="54"/>
      <c r="G5" s="54"/>
      <c r="H5" s="54"/>
    </row>
    <row r="6" spans="1:8" x14ac:dyDescent="0.25">
      <c r="A6" t="s">
        <v>334</v>
      </c>
      <c r="B6">
        <v>1985</v>
      </c>
      <c r="D6" t="s">
        <v>335</v>
      </c>
      <c r="E6" s="9">
        <v>21092.112720000001</v>
      </c>
    </row>
    <row r="7" spans="1:8" x14ac:dyDescent="0.25">
      <c r="A7" t="s">
        <v>76</v>
      </c>
      <c r="B7" s="1">
        <v>45359</v>
      </c>
      <c r="D7" t="s">
        <v>336</v>
      </c>
      <c r="E7" s="9">
        <v>1370.9873268000003</v>
      </c>
    </row>
    <row r="8" spans="1:8" x14ac:dyDescent="0.25">
      <c r="A8" t="s">
        <v>77</v>
      </c>
      <c r="B8" s="4">
        <v>0.1043</v>
      </c>
      <c r="D8" t="s">
        <v>77</v>
      </c>
      <c r="E8" s="9">
        <v>2242.0915821360004</v>
      </c>
    </row>
    <row r="9" spans="1:8" x14ac:dyDescent="0.25">
      <c r="A9" t="s">
        <v>78</v>
      </c>
      <c r="B9" s="4">
        <v>1</v>
      </c>
      <c r="D9" t="s">
        <v>337</v>
      </c>
      <c r="E9" s="9">
        <v>17479.033811063997</v>
      </c>
    </row>
    <row r="10" spans="1:8" x14ac:dyDescent="0.25">
      <c r="A10" t="s">
        <v>79</v>
      </c>
      <c r="B10" t="s">
        <v>141</v>
      </c>
      <c r="D10" t="s">
        <v>338</v>
      </c>
      <c r="E10" s="9">
        <v>6781.1142394799981</v>
      </c>
    </row>
    <row r="11" spans="1:8" x14ac:dyDescent="0.25">
      <c r="A11" t="s">
        <v>82</v>
      </c>
      <c r="B11" s="9">
        <v>1394.66</v>
      </c>
      <c r="D11" t="s">
        <v>267</v>
      </c>
      <c r="E11" s="9">
        <v>27873.226959480002</v>
      </c>
    </row>
    <row r="12" spans="1:8" x14ac:dyDescent="0.25">
      <c r="A12" t="s">
        <v>81</v>
      </c>
      <c r="B12" s="4">
        <v>1.4999999999999999E-2</v>
      </c>
    </row>
    <row r="13" spans="1:8" x14ac:dyDescent="0.25">
      <c r="A13" s="35" t="s">
        <v>90</v>
      </c>
      <c r="B13" s="34">
        <v>0</v>
      </c>
    </row>
    <row r="15" spans="1:8" x14ac:dyDescent="0.25">
      <c r="A15" s="6" t="s">
        <v>150</v>
      </c>
      <c r="B15" s="6" t="s">
        <v>339</v>
      </c>
      <c r="C15" s="6" t="s">
        <v>165</v>
      </c>
      <c r="D15" s="6" t="s">
        <v>94</v>
      </c>
      <c r="E15" s="6" t="s">
        <v>336</v>
      </c>
      <c r="F15" s="6" t="s">
        <v>77</v>
      </c>
      <c r="G15" s="6" t="s">
        <v>95</v>
      </c>
      <c r="H15" s="6" t="s">
        <v>267</v>
      </c>
    </row>
    <row r="16" spans="1:8" x14ac:dyDescent="0.25">
      <c r="A16" t="s">
        <v>173</v>
      </c>
      <c r="B16" s="4">
        <v>1</v>
      </c>
      <c r="C16" t="s">
        <v>175</v>
      </c>
      <c r="D16" s="9">
        <v>1506.5794800000001</v>
      </c>
      <c r="E16" s="9">
        <v>114.24894390000001</v>
      </c>
      <c r="F16" s="9">
        <v>160.14939872400001</v>
      </c>
      <c r="G16" s="9">
        <v>1232.1811373759999</v>
      </c>
      <c r="H16" s="9">
        <v>2071.6723332900001</v>
      </c>
    </row>
    <row r="17" spans="1:11" x14ac:dyDescent="0.25">
      <c r="A17" t="s">
        <v>176</v>
      </c>
      <c r="B17" s="4">
        <v>1</v>
      </c>
      <c r="C17" t="s">
        <v>175</v>
      </c>
      <c r="D17" s="9">
        <v>1506.5794800000001</v>
      </c>
      <c r="E17" s="9">
        <v>114.24894390000001</v>
      </c>
      <c r="F17" s="9">
        <v>160.14939872400001</v>
      </c>
      <c r="G17" s="9">
        <v>1232.1811373759999</v>
      </c>
      <c r="H17" s="9">
        <v>2071.6723332900001</v>
      </c>
    </row>
    <row r="18" spans="1:11" x14ac:dyDescent="0.25">
      <c r="A18" t="s">
        <v>177</v>
      </c>
      <c r="B18" s="4">
        <v>1</v>
      </c>
      <c r="C18" t="s">
        <v>175</v>
      </c>
      <c r="D18" s="9">
        <v>1506.5794800000001</v>
      </c>
      <c r="E18" s="9">
        <v>114.24894390000001</v>
      </c>
      <c r="F18" s="9">
        <v>160.14939872400001</v>
      </c>
      <c r="G18" s="9">
        <v>1232.1811373759999</v>
      </c>
      <c r="H18" s="9">
        <v>2071.6723332900001</v>
      </c>
    </row>
    <row r="19" spans="1:11" x14ac:dyDescent="0.25">
      <c r="A19" t="s">
        <v>178</v>
      </c>
      <c r="B19" s="4">
        <v>1</v>
      </c>
      <c r="C19" t="s">
        <v>175</v>
      </c>
      <c r="D19" s="9">
        <v>1506.5794800000001</v>
      </c>
      <c r="E19" s="9">
        <v>114.24894390000001</v>
      </c>
      <c r="F19" s="9">
        <v>160.14939872400001</v>
      </c>
      <c r="G19" s="9">
        <v>1232.1811373759999</v>
      </c>
      <c r="H19" s="9">
        <v>2071.6723332900001</v>
      </c>
    </row>
    <row r="20" spans="1:11" x14ac:dyDescent="0.25">
      <c r="A20" t="s">
        <v>179</v>
      </c>
      <c r="B20" s="4">
        <v>1</v>
      </c>
      <c r="C20" t="s">
        <v>175</v>
      </c>
      <c r="D20" s="9">
        <v>1506.5794800000001</v>
      </c>
      <c r="E20" s="9">
        <v>114.24894390000001</v>
      </c>
      <c r="F20" s="9">
        <v>160.14939872400001</v>
      </c>
      <c r="G20" s="9">
        <v>1232.1811373759999</v>
      </c>
      <c r="H20" s="9">
        <v>2071.6723332900001</v>
      </c>
    </row>
    <row r="21" spans="1:11" x14ac:dyDescent="0.25">
      <c r="A21" t="s">
        <v>180</v>
      </c>
      <c r="B21" s="4">
        <v>1</v>
      </c>
      <c r="C21" t="s">
        <v>175</v>
      </c>
      <c r="D21" s="9">
        <v>1506.5794800000001</v>
      </c>
      <c r="E21" s="9">
        <v>114.24894390000001</v>
      </c>
      <c r="F21" s="9">
        <v>160.14939872400001</v>
      </c>
      <c r="G21" s="9">
        <v>1232.1811373759999</v>
      </c>
      <c r="H21" s="9">
        <v>2071.6723332900001</v>
      </c>
    </row>
    <row r="22" spans="1:11" x14ac:dyDescent="0.25">
      <c r="A22" t="s">
        <v>181</v>
      </c>
      <c r="B22" s="4">
        <v>1</v>
      </c>
      <c r="C22" t="s">
        <v>175</v>
      </c>
      <c r="D22" s="9">
        <v>1506.5794800000001</v>
      </c>
      <c r="E22" s="9">
        <v>0</v>
      </c>
      <c r="F22" s="9">
        <v>160.14939872400001</v>
      </c>
      <c r="G22" s="9">
        <v>1346.430081276</v>
      </c>
      <c r="H22" s="9">
        <v>1506.5794800000001</v>
      </c>
    </row>
    <row r="23" spans="1:11" x14ac:dyDescent="0.25">
      <c r="A23" t="s">
        <v>183</v>
      </c>
      <c r="B23" s="4">
        <v>1</v>
      </c>
      <c r="C23" t="s">
        <v>175</v>
      </c>
      <c r="D23" s="9">
        <v>1506.5794800000001</v>
      </c>
      <c r="E23" s="9">
        <v>114.24894390000001</v>
      </c>
      <c r="F23" s="9">
        <v>160.14939872400001</v>
      </c>
      <c r="G23" s="9">
        <v>1232.1811373759999</v>
      </c>
      <c r="H23" s="9">
        <v>2071.6723332900001</v>
      </c>
    </row>
    <row r="24" spans="1:11" x14ac:dyDescent="0.25">
      <c r="A24" t="s">
        <v>184</v>
      </c>
      <c r="B24" s="4">
        <v>1</v>
      </c>
      <c r="C24" t="s">
        <v>175</v>
      </c>
      <c r="D24" s="9">
        <v>1506.5794800000001</v>
      </c>
      <c r="E24" s="9">
        <v>114.24894390000001</v>
      </c>
      <c r="F24" s="9">
        <v>160.14939872400001</v>
      </c>
      <c r="G24" s="9">
        <v>1232.1811373759999</v>
      </c>
      <c r="H24" s="9">
        <v>2071.6723332900001</v>
      </c>
    </row>
    <row r="25" spans="1:11" x14ac:dyDescent="0.25">
      <c r="A25" t="s">
        <v>185</v>
      </c>
      <c r="B25" s="4">
        <v>1</v>
      </c>
      <c r="C25" t="s">
        <v>175</v>
      </c>
      <c r="D25" s="9">
        <v>1506.5794800000001</v>
      </c>
      <c r="E25" s="9">
        <v>114.24894390000001</v>
      </c>
      <c r="F25" s="9">
        <v>160.14939872400001</v>
      </c>
      <c r="G25" s="9">
        <v>1232.1811373759999</v>
      </c>
      <c r="H25" s="9">
        <v>2071.6723332900001</v>
      </c>
    </row>
    <row r="26" spans="1:11" x14ac:dyDescent="0.25">
      <c r="A26" t="s">
        <v>186</v>
      </c>
      <c r="B26" s="4">
        <v>1</v>
      </c>
      <c r="C26" t="s">
        <v>175</v>
      </c>
      <c r="D26" s="9">
        <v>1506.5794800000001</v>
      </c>
      <c r="E26" s="9">
        <v>114.24894390000001</v>
      </c>
      <c r="F26" s="9">
        <v>160.14939872400001</v>
      </c>
      <c r="G26" s="9">
        <v>1232.1811373759999</v>
      </c>
      <c r="H26" s="9">
        <v>2071.6723332900001</v>
      </c>
    </row>
    <row r="27" spans="1:11" x14ac:dyDescent="0.25">
      <c r="A27" t="s">
        <v>187</v>
      </c>
      <c r="B27" s="4">
        <v>1</v>
      </c>
      <c r="C27" t="s">
        <v>175</v>
      </c>
      <c r="D27" s="9">
        <v>1506.5794800000001</v>
      </c>
      <c r="E27" s="9">
        <v>114.24894390000001</v>
      </c>
      <c r="F27" s="9">
        <v>160.14939872400001</v>
      </c>
      <c r="G27" s="9">
        <v>1232.1811373759999</v>
      </c>
      <c r="H27" s="9">
        <v>2071.6723332900001</v>
      </c>
    </row>
    <row r="28" spans="1:11" x14ac:dyDescent="0.25">
      <c r="A28" t="s">
        <v>188</v>
      </c>
      <c r="B28" s="4">
        <v>1</v>
      </c>
      <c r="C28" t="s">
        <v>175</v>
      </c>
      <c r="D28" s="9">
        <v>1506.5794800000001</v>
      </c>
      <c r="E28" s="9">
        <v>0</v>
      </c>
      <c r="F28" s="9">
        <v>160.14939872400001</v>
      </c>
      <c r="G28" s="9">
        <v>1346.430081276</v>
      </c>
      <c r="H28" s="9">
        <v>1506.5794800000001</v>
      </c>
    </row>
    <row r="29" spans="1:11" x14ac:dyDescent="0.25">
      <c r="A29" t="s">
        <v>189</v>
      </c>
      <c r="B29" s="4">
        <v>1</v>
      </c>
      <c r="C29" t="s">
        <v>175</v>
      </c>
      <c r="D29" s="9">
        <v>1506.5794800000001</v>
      </c>
      <c r="E29" s="9">
        <v>114.24894390000001</v>
      </c>
      <c r="F29" s="9">
        <v>160.14939872400001</v>
      </c>
      <c r="G29" s="9">
        <v>1232.1811373759999</v>
      </c>
      <c r="H29" s="9">
        <v>2071.6723332900001</v>
      </c>
    </row>
    <row r="30" spans="1:11" x14ac:dyDescent="0.25">
      <c r="A30" s="45" t="s">
        <v>340</v>
      </c>
      <c r="B30" s="45"/>
      <c r="C30" s="45"/>
      <c r="D30" s="14">
        <v>21092.112720000001</v>
      </c>
      <c r="E30" s="14">
        <v>1370.9873268000003</v>
      </c>
      <c r="F30" s="14">
        <v>2242.0915821360004</v>
      </c>
      <c r="G30" s="14">
        <v>17479.033811063997</v>
      </c>
      <c r="H30" s="14">
        <v>27873.226959480002</v>
      </c>
    </row>
    <row r="32" spans="1:11" x14ac:dyDescent="0.25">
      <c r="A32" s="55" t="s">
        <v>279</v>
      </c>
      <c r="B32" s="55"/>
      <c r="C32" s="55"/>
      <c r="D32" s="55"/>
      <c r="E32" s="55"/>
      <c r="F32" s="55"/>
      <c r="G32" s="55"/>
      <c r="H32" s="55"/>
      <c r="I32" s="55"/>
      <c r="J32" s="55"/>
      <c r="K32" s="55"/>
    </row>
    <row r="33" spans="1:11" ht="30" x14ac:dyDescent="0.25">
      <c r="A33" s="36" t="s">
        <v>341</v>
      </c>
      <c r="B33" s="37">
        <v>0</v>
      </c>
      <c r="C33" s="37"/>
      <c r="D33" s="38" t="s">
        <v>342</v>
      </c>
      <c r="E33" s="37">
        <v>0</v>
      </c>
      <c r="F33" s="37"/>
      <c r="G33" s="38" t="s">
        <v>343</v>
      </c>
      <c r="H33" s="37">
        <v>0</v>
      </c>
      <c r="I33" s="39"/>
      <c r="J33" s="39"/>
      <c r="K33" s="39"/>
    </row>
    <row r="34" spans="1:11" x14ac:dyDescent="0.25">
      <c r="A34" s="39"/>
      <c r="B34" s="39"/>
      <c r="C34" s="39"/>
      <c r="D34" s="39"/>
      <c r="E34" s="39"/>
      <c r="F34" s="39"/>
      <c r="G34" s="39"/>
      <c r="H34" s="39"/>
      <c r="I34" s="39"/>
      <c r="J34" s="39"/>
      <c r="K34" s="39"/>
    </row>
    <row r="35" spans="1:11" ht="33.950000000000003" customHeight="1" x14ac:dyDescent="0.25">
      <c r="A35" s="33" t="s">
        <v>150</v>
      </c>
      <c r="B35" s="33" t="s">
        <v>344</v>
      </c>
      <c r="C35" s="33" t="s">
        <v>345</v>
      </c>
      <c r="D35" s="33" t="s">
        <v>346</v>
      </c>
      <c r="E35" s="33" t="s">
        <v>347</v>
      </c>
      <c r="F35" s="33" t="s">
        <v>348</v>
      </c>
      <c r="G35" s="33" t="s">
        <v>349</v>
      </c>
      <c r="H35" s="33" t="s">
        <v>327</v>
      </c>
      <c r="I35" s="33" t="s">
        <v>328</v>
      </c>
      <c r="J35" s="33" t="s">
        <v>350</v>
      </c>
      <c r="K35" s="33" t="s">
        <v>351</v>
      </c>
    </row>
    <row r="36" spans="1:11" x14ac:dyDescent="0.25">
      <c r="A36" s="39" t="s">
        <v>173</v>
      </c>
      <c r="B36" s="37">
        <v>0</v>
      </c>
      <c r="C36" s="37">
        <v>1627.1033333333335</v>
      </c>
      <c r="D36" s="37">
        <v>1757.6760600000002</v>
      </c>
      <c r="E36" s="37">
        <v>114.24894390000001</v>
      </c>
      <c r="F36" s="37">
        <v>114.24894390000001</v>
      </c>
      <c r="G36" s="37">
        <v>0</v>
      </c>
      <c r="H36" s="37">
        <v>565.09285328999999</v>
      </c>
      <c r="I36" s="37">
        <v>565.09285328999999</v>
      </c>
      <c r="J36" s="37">
        <v>0</v>
      </c>
      <c r="K36" s="37">
        <v>0</v>
      </c>
    </row>
    <row r="37" spans="1:11" x14ac:dyDescent="0.25">
      <c r="A37" s="39" t="s">
        <v>176</v>
      </c>
      <c r="B37" s="37">
        <v>0</v>
      </c>
      <c r="C37" s="37">
        <v>1627.1033333333335</v>
      </c>
      <c r="D37" s="37">
        <v>1757.6760600000002</v>
      </c>
      <c r="E37" s="37">
        <v>114.24894390000001</v>
      </c>
      <c r="F37" s="37">
        <v>114.24894390000001</v>
      </c>
      <c r="G37" s="37">
        <v>0</v>
      </c>
      <c r="H37" s="37">
        <v>565.09285328999999</v>
      </c>
      <c r="I37" s="37">
        <v>565.09285328999999</v>
      </c>
      <c r="J37" s="37">
        <v>0</v>
      </c>
      <c r="K37" s="37">
        <v>0</v>
      </c>
    </row>
    <row r="38" spans="1:11" x14ac:dyDescent="0.25">
      <c r="A38" s="39" t="s">
        <v>177</v>
      </c>
      <c r="B38" s="37">
        <v>0</v>
      </c>
      <c r="C38" s="37">
        <v>1627.1033333333335</v>
      </c>
      <c r="D38" s="37">
        <v>1757.6760600000002</v>
      </c>
      <c r="E38" s="37">
        <v>114.24894390000001</v>
      </c>
      <c r="F38" s="37">
        <v>114.24894390000001</v>
      </c>
      <c r="G38" s="37">
        <v>0</v>
      </c>
      <c r="H38" s="37">
        <v>565.09285328999999</v>
      </c>
      <c r="I38" s="37">
        <v>565.09285328999999</v>
      </c>
      <c r="J38" s="37">
        <v>0</v>
      </c>
      <c r="K38" s="37">
        <v>0</v>
      </c>
    </row>
    <row r="39" spans="1:11" x14ac:dyDescent="0.25">
      <c r="A39" s="39" t="s">
        <v>178</v>
      </c>
      <c r="B39" s="37">
        <v>0</v>
      </c>
      <c r="C39" s="37">
        <v>1708.4585000000002</v>
      </c>
      <c r="D39" s="37">
        <v>1757.6760600000002</v>
      </c>
      <c r="E39" s="37">
        <v>114.24894390000001</v>
      </c>
      <c r="F39" s="37">
        <v>114.24894390000001</v>
      </c>
      <c r="G39" s="37">
        <v>0</v>
      </c>
      <c r="H39" s="37">
        <v>565.09285328999999</v>
      </c>
      <c r="I39" s="37">
        <v>565.09285328999999</v>
      </c>
      <c r="J39" s="37">
        <v>0</v>
      </c>
      <c r="K39" s="37">
        <v>0</v>
      </c>
    </row>
    <row r="40" spans="1:11" x14ac:dyDescent="0.25">
      <c r="A40" s="39" t="s">
        <v>179</v>
      </c>
      <c r="B40" s="37">
        <v>0</v>
      </c>
      <c r="C40" s="37">
        <v>1708.4585000000002</v>
      </c>
      <c r="D40" s="37">
        <v>1708.4585000000002</v>
      </c>
      <c r="E40" s="37">
        <v>114.24894390000001</v>
      </c>
      <c r="F40" s="37">
        <v>114.24894390000001</v>
      </c>
      <c r="G40" s="37">
        <v>0</v>
      </c>
      <c r="H40" s="37">
        <v>565.09285328999999</v>
      </c>
      <c r="I40" s="37">
        <v>565.09285328999999</v>
      </c>
      <c r="J40" s="37">
        <v>0</v>
      </c>
      <c r="K40" s="37">
        <v>0</v>
      </c>
    </row>
    <row r="41" spans="1:11" x14ac:dyDescent="0.25">
      <c r="A41" s="39" t="s">
        <v>180</v>
      </c>
      <c r="B41" s="37">
        <v>0</v>
      </c>
      <c r="C41" s="37">
        <v>1708.4585000000002</v>
      </c>
      <c r="D41" s="37">
        <v>1757.6760600000002</v>
      </c>
      <c r="E41" s="37">
        <v>114.24894390000001</v>
      </c>
      <c r="F41" s="37">
        <v>114.24894390000001</v>
      </c>
      <c r="G41" s="37">
        <v>0</v>
      </c>
      <c r="H41" s="37">
        <v>565.09285328999999</v>
      </c>
      <c r="I41" s="37">
        <v>565.09285328999999</v>
      </c>
      <c r="J41" s="37">
        <v>0</v>
      </c>
      <c r="K41" s="37">
        <v>0</v>
      </c>
    </row>
    <row r="42" spans="1:11" x14ac:dyDescent="0.25">
      <c r="A42" s="39" t="s">
        <v>183</v>
      </c>
      <c r="B42" s="37">
        <v>0</v>
      </c>
      <c r="C42" s="37">
        <v>1708.4585000000002</v>
      </c>
      <c r="D42" s="37">
        <v>1757.6760600000002</v>
      </c>
      <c r="E42" s="37">
        <v>114.24894390000001</v>
      </c>
      <c r="F42" s="37">
        <v>114.24894390000001</v>
      </c>
      <c r="G42" s="37">
        <v>0</v>
      </c>
      <c r="H42" s="37">
        <v>565.09285328999999</v>
      </c>
      <c r="I42" s="37">
        <v>565.09285328999999</v>
      </c>
      <c r="J42" s="37">
        <v>0</v>
      </c>
      <c r="K42" s="37">
        <v>0</v>
      </c>
    </row>
    <row r="43" spans="1:11" x14ac:dyDescent="0.25">
      <c r="A43" s="39" t="s">
        <v>184</v>
      </c>
      <c r="B43" s="37">
        <v>0</v>
      </c>
      <c r="C43" s="37">
        <v>1708.4585000000002</v>
      </c>
      <c r="D43" s="37">
        <v>1757.6760600000002</v>
      </c>
      <c r="E43" s="37">
        <v>114.24894390000001</v>
      </c>
      <c r="F43" s="37">
        <v>114.24894390000001</v>
      </c>
      <c r="G43" s="37">
        <v>0</v>
      </c>
      <c r="H43" s="37">
        <v>565.09285328999999</v>
      </c>
      <c r="I43" s="37">
        <v>565.09285328999999</v>
      </c>
      <c r="J43" s="37">
        <v>0</v>
      </c>
      <c r="K43" s="37">
        <v>0</v>
      </c>
    </row>
    <row r="44" spans="1:11" x14ac:dyDescent="0.25">
      <c r="A44" s="39" t="s">
        <v>185</v>
      </c>
      <c r="B44" s="37">
        <v>0</v>
      </c>
      <c r="C44" s="37">
        <v>1708.4585000000002</v>
      </c>
      <c r="D44" s="37">
        <v>1757.6760600000002</v>
      </c>
      <c r="E44" s="37">
        <v>114.24894390000001</v>
      </c>
      <c r="F44" s="37">
        <v>114.24894390000001</v>
      </c>
      <c r="G44" s="37">
        <v>0</v>
      </c>
      <c r="H44" s="37">
        <v>565.09285328999999</v>
      </c>
      <c r="I44" s="37">
        <v>565.09285328999999</v>
      </c>
      <c r="J44" s="37">
        <v>0</v>
      </c>
      <c r="K44" s="37">
        <v>0</v>
      </c>
    </row>
    <row r="45" spans="1:11" x14ac:dyDescent="0.25">
      <c r="A45" s="39" t="s">
        <v>186</v>
      </c>
      <c r="B45" s="37">
        <v>0</v>
      </c>
      <c r="C45" s="37">
        <v>1708.4585000000002</v>
      </c>
      <c r="D45" s="37">
        <v>1757.6760600000002</v>
      </c>
      <c r="E45" s="37">
        <v>114.24894390000001</v>
      </c>
      <c r="F45" s="37">
        <v>114.24894390000001</v>
      </c>
      <c r="G45" s="37">
        <v>0</v>
      </c>
      <c r="H45" s="37">
        <v>565.09285328999999</v>
      </c>
      <c r="I45" s="37">
        <v>565.09285328999999</v>
      </c>
      <c r="J45" s="37">
        <v>0</v>
      </c>
      <c r="K45" s="37">
        <v>0</v>
      </c>
    </row>
    <row r="46" spans="1:11" x14ac:dyDescent="0.25">
      <c r="A46" s="39" t="s">
        <v>187</v>
      </c>
      <c r="B46" s="37">
        <v>0</v>
      </c>
      <c r="C46" s="37">
        <v>1708.4585000000002</v>
      </c>
      <c r="D46" s="37">
        <v>1757.6760600000002</v>
      </c>
      <c r="E46" s="37">
        <v>114.24894390000001</v>
      </c>
      <c r="F46" s="37">
        <v>114.24894390000001</v>
      </c>
      <c r="G46" s="37">
        <v>0</v>
      </c>
      <c r="H46" s="37">
        <v>565.09285328999999</v>
      </c>
      <c r="I46" s="37">
        <v>565.09285328999999</v>
      </c>
      <c r="J46" s="37">
        <v>0</v>
      </c>
      <c r="K46" s="37">
        <v>0</v>
      </c>
    </row>
    <row r="47" spans="1:11" x14ac:dyDescent="0.25">
      <c r="A47" s="39" t="s">
        <v>189</v>
      </c>
      <c r="B47" s="37">
        <v>0</v>
      </c>
      <c r="C47" s="37">
        <v>1708.4585000000002</v>
      </c>
      <c r="D47" s="37">
        <v>1757.6760600000002</v>
      </c>
      <c r="E47" s="37">
        <v>114.24894390000001</v>
      </c>
      <c r="F47" s="37">
        <v>114.24894390000001</v>
      </c>
      <c r="G47" s="37">
        <v>0</v>
      </c>
      <c r="H47" s="37">
        <v>565.09285328999999</v>
      </c>
      <c r="I47" s="37">
        <v>565.09285328999999</v>
      </c>
      <c r="J47" s="37">
        <v>0</v>
      </c>
      <c r="K47" s="37">
        <v>0</v>
      </c>
    </row>
    <row r="48" spans="1:11" x14ac:dyDescent="0.25">
      <c r="A48" s="40" t="s">
        <v>352</v>
      </c>
      <c r="B48" s="41">
        <f t="shared" ref="B48:K48" si="0">SUM(B36:B47)</f>
        <v>0</v>
      </c>
      <c r="C48" s="41">
        <f t="shared" si="0"/>
        <v>20257.436500000003</v>
      </c>
      <c r="D48" s="41">
        <f t="shared" si="0"/>
        <v>21042.895160000004</v>
      </c>
      <c r="E48" s="41">
        <f t="shared" si="0"/>
        <v>1370.9873268000003</v>
      </c>
      <c r="F48" s="41">
        <f t="shared" si="0"/>
        <v>1370.9873268000003</v>
      </c>
      <c r="G48" s="41">
        <f t="shared" si="0"/>
        <v>0</v>
      </c>
      <c r="H48" s="41">
        <f t="shared" si="0"/>
        <v>6781.1142394799981</v>
      </c>
      <c r="I48" s="41">
        <f t="shared" si="0"/>
        <v>6781.1142394799981</v>
      </c>
      <c r="J48" s="41">
        <f t="shared" si="0"/>
        <v>0</v>
      </c>
      <c r="K48" s="41">
        <f t="shared" si="0"/>
        <v>0</v>
      </c>
    </row>
  </sheetData>
  <mergeCells count="4">
    <mergeCell ref="A1:H1"/>
    <mergeCell ref="D5:H5"/>
    <mergeCell ref="A30:C30"/>
    <mergeCell ref="A32:K32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K48"/>
  <sheetViews>
    <sheetView workbookViewId="0"/>
  </sheetViews>
  <sheetFormatPr baseColWidth="10" defaultColWidth="9.140625" defaultRowHeight="15" x14ac:dyDescent="0.25"/>
  <cols>
    <col min="1" max="1" width="18" customWidth="1"/>
    <col min="2" max="11" width="16" customWidth="1"/>
  </cols>
  <sheetData>
    <row r="1" spans="1:8" ht="26.1" customHeight="1" x14ac:dyDescent="0.3">
      <c r="A1" s="46" t="s">
        <v>332</v>
      </c>
      <c r="B1" s="46"/>
      <c r="C1" s="46"/>
      <c r="D1" s="46"/>
      <c r="E1" s="46"/>
      <c r="F1" s="46"/>
      <c r="G1" s="46"/>
      <c r="H1" s="46"/>
    </row>
    <row r="3" spans="1:8" x14ac:dyDescent="0.25">
      <c r="A3" t="s">
        <v>149</v>
      </c>
      <c r="B3" s="13" t="s">
        <v>138</v>
      </c>
    </row>
    <row r="5" spans="1:8" x14ac:dyDescent="0.25">
      <c r="A5" t="s">
        <v>74</v>
      </c>
      <c r="B5" t="s">
        <v>139</v>
      </c>
      <c r="D5" s="54" t="s">
        <v>333</v>
      </c>
      <c r="E5" s="54"/>
      <c r="F5" s="54"/>
      <c r="G5" s="54"/>
      <c r="H5" s="54"/>
    </row>
    <row r="6" spans="1:8" x14ac:dyDescent="0.25">
      <c r="A6" t="s">
        <v>334</v>
      </c>
      <c r="B6">
        <v>1986</v>
      </c>
      <c r="D6" t="s">
        <v>335</v>
      </c>
      <c r="E6" s="9">
        <v>35418.678625</v>
      </c>
    </row>
    <row r="7" spans="1:8" x14ac:dyDescent="0.25">
      <c r="A7" t="s">
        <v>76</v>
      </c>
      <c r="B7" s="1">
        <v>41087</v>
      </c>
      <c r="D7" t="s">
        <v>336</v>
      </c>
      <c r="E7" s="9">
        <v>2298.76612875</v>
      </c>
    </row>
    <row r="8" spans="1:8" x14ac:dyDescent="0.25">
      <c r="A8" t="s">
        <v>77</v>
      </c>
      <c r="B8" s="4">
        <v>0.18479999999999999</v>
      </c>
      <c r="D8" t="s">
        <v>77</v>
      </c>
      <c r="E8" s="9">
        <v>6429.4720339499991</v>
      </c>
    </row>
    <row r="9" spans="1:8" x14ac:dyDescent="0.25">
      <c r="A9" t="s">
        <v>78</v>
      </c>
      <c r="B9" s="4">
        <v>1</v>
      </c>
      <c r="D9" t="s">
        <v>337</v>
      </c>
      <c r="E9" s="9">
        <v>26690.440462300008</v>
      </c>
    </row>
    <row r="10" spans="1:8" x14ac:dyDescent="0.25">
      <c r="A10" t="s">
        <v>79</v>
      </c>
      <c r="B10" t="s">
        <v>141</v>
      </c>
      <c r="D10" t="s">
        <v>338</v>
      </c>
      <c r="E10" s="9">
        <v>11370.050929125004</v>
      </c>
    </row>
    <row r="11" spans="1:8" x14ac:dyDescent="0.25">
      <c r="A11" t="s">
        <v>82</v>
      </c>
      <c r="B11" s="9">
        <v>2063.33</v>
      </c>
      <c r="D11" t="s">
        <v>267</v>
      </c>
      <c r="E11" s="9">
        <v>46788.729554124991</v>
      </c>
    </row>
    <row r="12" spans="1:8" x14ac:dyDescent="0.25">
      <c r="A12" t="s">
        <v>81</v>
      </c>
      <c r="B12" s="4">
        <v>1.4999999999999999E-2</v>
      </c>
    </row>
    <row r="13" spans="1:8" x14ac:dyDescent="0.25">
      <c r="A13" s="35" t="s">
        <v>90</v>
      </c>
      <c r="B13" s="34">
        <v>9506</v>
      </c>
    </row>
    <row r="15" spans="1:8" x14ac:dyDescent="0.25">
      <c r="A15" s="6" t="s">
        <v>150</v>
      </c>
      <c r="B15" s="6" t="s">
        <v>339</v>
      </c>
      <c r="C15" s="6" t="s">
        <v>165</v>
      </c>
      <c r="D15" s="6" t="s">
        <v>94</v>
      </c>
      <c r="E15" s="6" t="s">
        <v>336</v>
      </c>
      <c r="F15" s="6" t="s">
        <v>77</v>
      </c>
      <c r="G15" s="6" t="s">
        <v>95</v>
      </c>
      <c r="H15" s="6" t="s">
        <v>267</v>
      </c>
    </row>
    <row r="16" spans="1:8" x14ac:dyDescent="0.25">
      <c r="A16" t="s">
        <v>173</v>
      </c>
      <c r="B16" s="4">
        <v>1</v>
      </c>
      <c r="C16" t="s">
        <v>175</v>
      </c>
      <c r="D16" s="9">
        <v>2526.1166250000001</v>
      </c>
      <c r="E16" s="9">
        <v>191.56384406250001</v>
      </c>
      <c r="F16" s="9">
        <v>459.24800242499998</v>
      </c>
      <c r="G16" s="9">
        <v>1875.3047785125004</v>
      </c>
      <c r="H16" s="9">
        <v>3473.6208690937501</v>
      </c>
    </row>
    <row r="17" spans="1:11" x14ac:dyDescent="0.25">
      <c r="A17" t="s">
        <v>176</v>
      </c>
      <c r="B17" s="4">
        <v>1</v>
      </c>
      <c r="C17" t="s">
        <v>175</v>
      </c>
      <c r="D17" s="9">
        <v>2526.1166250000001</v>
      </c>
      <c r="E17" s="9">
        <v>191.56384406250001</v>
      </c>
      <c r="F17" s="9">
        <v>459.24800242499998</v>
      </c>
      <c r="G17" s="9">
        <v>1875.3047785125004</v>
      </c>
      <c r="H17" s="9">
        <v>3473.6208690937501</v>
      </c>
    </row>
    <row r="18" spans="1:11" x14ac:dyDescent="0.25">
      <c r="A18" t="s">
        <v>177</v>
      </c>
      <c r="B18" s="4">
        <v>1</v>
      </c>
      <c r="C18" t="s">
        <v>175</v>
      </c>
      <c r="D18" s="9">
        <v>2526.1166250000001</v>
      </c>
      <c r="E18" s="9">
        <v>191.56384406250001</v>
      </c>
      <c r="F18" s="9">
        <v>459.24800242499998</v>
      </c>
      <c r="G18" s="9">
        <v>1875.3047785125004</v>
      </c>
      <c r="H18" s="9">
        <v>3473.6208690937501</v>
      </c>
    </row>
    <row r="19" spans="1:11" x14ac:dyDescent="0.25">
      <c r="A19" t="s">
        <v>178</v>
      </c>
      <c r="B19" s="4">
        <v>1</v>
      </c>
      <c r="C19" t="s">
        <v>175</v>
      </c>
      <c r="D19" s="9">
        <v>2526.1166250000001</v>
      </c>
      <c r="E19" s="9">
        <v>191.56384406250001</v>
      </c>
      <c r="F19" s="9">
        <v>459.24800242499998</v>
      </c>
      <c r="G19" s="9">
        <v>1875.3047785125004</v>
      </c>
      <c r="H19" s="9">
        <v>3473.6208690937501</v>
      </c>
    </row>
    <row r="20" spans="1:11" x14ac:dyDescent="0.25">
      <c r="A20" t="s">
        <v>179</v>
      </c>
      <c r="B20" s="4">
        <v>1</v>
      </c>
      <c r="C20" t="s">
        <v>175</v>
      </c>
      <c r="D20" s="9">
        <v>2526.1166250000001</v>
      </c>
      <c r="E20" s="9">
        <v>191.56384406250001</v>
      </c>
      <c r="F20" s="9">
        <v>459.24800242499998</v>
      </c>
      <c r="G20" s="9">
        <v>1875.3047785125004</v>
      </c>
      <c r="H20" s="9">
        <v>3473.6208690937501</v>
      </c>
    </row>
    <row r="21" spans="1:11" x14ac:dyDescent="0.25">
      <c r="A21" t="s">
        <v>180</v>
      </c>
      <c r="B21" s="4">
        <v>1</v>
      </c>
      <c r="C21" t="s">
        <v>175</v>
      </c>
      <c r="D21" s="9">
        <v>2526.1166250000001</v>
      </c>
      <c r="E21" s="9">
        <v>191.56384406250001</v>
      </c>
      <c r="F21" s="9">
        <v>459.24800242499998</v>
      </c>
      <c r="G21" s="9">
        <v>1875.3047785125004</v>
      </c>
      <c r="H21" s="9">
        <v>3473.6208690937501</v>
      </c>
    </row>
    <row r="22" spans="1:11" x14ac:dyDescent="0.25">
      <c r="A22" t="s">
        <v>181</v>
      </c>
      <c r="B22" s="4">
        <v>1</v>
      </c>
      <c r="C22" t="s">
        <v>175</v>
      </c>
      <c r="D22" s="9">
        <v>2526.1166250000001</v>
      </c>
      <c r="E22" s="9">
        <v>0</v>
      </c>
      <c r="F22" s="9">
        <v>459.24800242499998</v>
      </c>
      <c r="G22" s="9">
        <v>2066.8686225750002</v>
      </c>
      <c r="H22" s="9">
        <v>2526.1166250000001</v>
      </c>
    </row>
    <row r="23" spans="1:11" x14ac:dyDescent="0.25">
      <c r="A23" t="s">
        <v>183</v>
      </c>
      <c r="B23" s="4">
        <v>1</v>
      </c>
      <c r="C23" t="s">
        <v>175</v>
      </c>
      <c r="D23" s="9">
        <v>2526.1166250000001</v>
      </c>
      <c r="E23" s="9">
        <v>191.56384406250001</v>
      </c>
      <c r="F23" s="9">
        <v>459.24800242499998</v>
      </c>
      <c r="G23" s="9">
        <v>1875.3047785125004</v>
      </c>
      <c r="H23" s="9">
        <v>3473.6208690937501</v>
      </c>
    </row>
    <row r="24" spans="1:11" x14ac:dyDescent="0.25">
      <c r="A24" t="s">
        <v>184</v>
      </c>
      <c r="B24" s="4">
        <v>1</v>
      </c>
      <c r="C24" t="s">
        <v>175</v>
      </c>
      <c r="D24" s="9">
        <v>2526.1166250000001</v>
      </c>
      <c r="E24" s="9">
        <v>191.56384406250001</v>
      </c>
      <c r="F24" s="9">
        <v>459.24800242499998</v>
      </c>
      <c r="G24" s="9">
        <v>1875.3047785125004</v>
      </c>
      <c r="H24" s="9">
        <v>3473.6208690937501</v>
      </c>
    </row>
    <row r="25" spans="1:11" x14ac:dyDescent="0.25">
      <c r="A25" t="s">
        <v>185</v>
      </c>
      <c r="B25" s="4">
        <v>1</v>
      </c>
      <c r="C25" t="s">
        <v>175</v>
      </c>
      <c r="D25" s="9">
        <v>2526.1166250000001</v>
      </c>
      <c r="E25" s="9">
        <v>191.56384406250001</v>
      </c>
      <c r="F25" s="9">
        <v>459.24800242499998</v>
      </c>
      <c r="G25" s="9">
        <v>1875.3047785125004</v>
      </c>
      <c r="H25" s="9">
        <v>3473.6208690937501</v>
      </c>
    </row>
    <row r="26" spans="1:11" x14ac:dyDescent="0.25">
      <c r="A26" t="s">
        <v>186</v>
      </c>
      <c r="B26" s="4">
        <v>1</v>
      </c>
      <c r="C26" t="s">
        <v>175</v>
      </c>
      <c r="D26" s="9">
        <v>2526.1166250000001</v>
      </c>
      <c r="E26" s="9">
        <v>191.56384406250001</v>
      </c>
      <c r="F26" s="9">
        <v>459.24800242499998</v>
      </c>
      <c r="G26" s="9">
        <v>1875.3047785125004</v>
      </c>
      <c r="H26" s="9">
        <v>3473.6208690937501</v>
      </c>
    </row>
    <row r="27" spans="1:11" x14ac:dyDescent="0.25">
      <c r="A27" t="s">
        <v>187</v>
      </c>
      <c r="B27" s="4">
        <v>1</v>
      </c>
      <c r="C27" t="s">
        <v>175</v>
      </c>
      <c r="D27" s="9">
        <v>2526.1166250000001</v>
      </c>
      <c r="E27" s="9">
        <v>191.56384406250001</v>
      </c>
      <c r="F27" s="9">
        <v>459.24800242499998</v>
      </c>
      <c r="G27" s="9">
        <v>1875.3047785125004</v>
      </c>
      <c r="H27" s="9">
        <v>3473.6208690937501</v>
      </c>
    </row>
    <row r="28" spans="1:11" x14ac:dyDescent="0.25">
      <c r="A28" t="s">
        <v>188</v>
      </c>
      <c r="B28" s="4">
        <v>1</v>
      </c>
      <c r="C28" t="s">
        <v>175</v>
      </c>
      <c r="D28" s="9">
        <v>2579.1624999999999</v>
      </c>
      <c r="E28" s="9">
        <v>0</v>
      </c>
      <c r="F28" s="9">
        <v>459.24800242499998</v>
      </c>
      <c r="G28" s="9">
        <v>2119.914497575</v>
      </c>
      <c r="H28" s="9">
        <v>2579.1624999999999</v>
      </c>
    </row>
    <row r="29" spans="1:11" x14ac:dyDescent="0.25">
      <c r="A29" t="s">
        <v>189</v>
      </c>
      <c r="B29" s="4">
        <v>1</v>
      </c>
      <c r="C29" t="s">
        <v>175</v>
      </c>
      <c r="D29" s="9">
        <v>2526.1166250000001</v>
      </c>
      <c r="E29" s="9">
        <v>191.56384406250001</v>
      </c>
      <c r="F29" s="9">
        <v>459.24800242499998</v>
      </c>
      <c r="G29" s="9">
        <v>1875.3047785125004</v>
      </c>
      <c r="H29" s="9">
        <v>3473.6208690937501</v>
      </c>
    </row>
    <row r="30" spans="1:11" x14ac:dyDescent="0.25">
      <c r="A30" s="45" t="s">
        <v>340</v>
      </c>
      <c r="B30" s="45"/>
      <c r="C30" s="45"/>
      <c r="D30" s="14">
        <v>35418.678625</v>
      </c>
      <c r="E30" s="14">
        <v>2298.76612875</v>
      </c>
      <c r="F30" s="14">
        <v>6429.4720339499991</v>
      </c>
      <c r="G30" s="14">
        <v>26690.440462300008</v>
      </c>
      <c r="H30" s="14">
        <v>46788.729554124991</v>
      </c>
    </row>
    <row r="32" spans="1:11" x14ac:dyDescent="0.25">
      <c r="A32" s="55" t="s">
        <v>279</v>
      </c>
      <c r="B32" s="55"/>
      <c r="C32" s="55"/>
      <c r="D32" s="55"/>
      <c r="E32" s="55"/>
      <c r="F32" s="55"/>
      <c r="G32" s="55"/>
      <c r="H32" s="55"/>
      <c r="I32" s="55"/>
      <c r="J32" s="55"/>
      <c r="K32" s="55"/>
    </row>
    <row r="33" spans="1:11" ht="30" x14ac:dyDescent="0.25">
      <c r="A33" s="36" t="s">
        <v>341</v>
      </c>
      <c r="B33" s="37">
        <v>9506</v>
      </c>
      <c r="C33" s="37"/>
      <c r="D33" s="38" t="s">
        <v>342</v>
      </c>
      <c r="E33" s="37">
        <v>792.16666666666663</v>
      </c>
      <c r="F33" s="37"/>
      <c r="G33" s="38" t="s">
        <v>343</v>
      </c>
      <c r="H33" s="37">
        <v>3787.6999999999989</v>
      </c>
      <c r="I33" s="39"/>
      <c r="J33" s="39"/>
      <c r="K33" s="39"/>
    </row>
    <row r="34" spans="1:11" x14ac:dyDescent="0.25">
      <c r="A34" s="39"/>
      <c r="B34" s="39"/>
      <c r="C34" s="39"/>
      <c r="D34" s="39"/>
      <c r="E34" s="39"/>
      <c r="F34" s="39"/>
      <c r="G34" s="39"/>
      <c r="H34" s="39"/>
      <c r="I34" s="39"/>
      <c r="J34" s="39"/>
      <c r="K34" s="39"/>
    </row>
    <row r="35" spans="1:11" ht="33.950000000000003" customHeight="1" x14ac:dyDescent="0.25">
      <c r="A35" s="33" t="s">
        <v>150</v>
      </c>
      <c r="B35" s="33" t="s">
        <v>344</v>
      </c>
      <c r="C35" s="33" t="s">
        <v>345</v>
      </c>
      <c r="D35" s="33" t="s">
        <v>346</v>
      </c>
      <c r="E35" s="33" t="s">
        <v>347</v>
      </c>
      <c r="F35" s="33" t="s">
        <v>348</v>
      </c>
      <c r="G35" s="33" t="s">
        <v>349</v>
      </c>
      <c r="H35" s="33" t="s">
        <v>327</v>
      </c>
      <c r="I35" s="33" t="s">
        <v>328</v>
      </c>
      <c r="J35" s="33" t="s">
        <v>350</v>
      </c>
      <c r="K35" s="33" t="s">
        <v>351</v>
      </c>
    </row>
    <row r="36" spans="1:11" x14ac:dyDescent="0.25">
      <c r="A36" s="39" t="s">
        <v>173</v>
      </c>
      <c r="B36" s="37">
        <v>792.16666666666663</v>
      </c>
      <c r="C36" s="37">
        <v>3009.0229166666668</v>
      </c>
      <c r="D36" s="37">
        <v>3763.8027291666667</v>
      </c>
      <c r="E36" s="37">
        <v>191.56384406250001</v>
      </c>
      <c r="F36" s="37">
        <v>244.64717739583335</v>
      </c>
      <c r="G36" s="37">
        <v>53.083333333333343</v>
      </c>
      <c r="H36" s="37">
        <v>947.50424409375012</v>
      </c>
      <c r="I36" s="37">
        <v>1210.0625774270834</v>
      </c>
      <c r="J36" s="37">
        <v>262.55833333333328</v>
      </c>
      <c r="K36" s="37">
        <v>315.64166666666665</v>
      </c>
    </row>
    <row r="37" spans="1:11" x14ac:dyDescent="0.25">
      <c r="A37" s="39" t="s">
        <v>176</v>
      </c>
      <c r="B37" s="37">
        <v>792.16666666666663</v>
      </c>
      <c r="C37" s="37">
        <v>3009.0229166666668</v>
      </c>
      <c r="D37" s="37">
        <v>3763.8027291666667</v>
      </c>
      <c r="E37" s="37">
        <v>191.56384406250001</v>
      </c>
      <c r="F37" s="37">
        <v>244.64717739583335</v>
      </c>
      <c r="G37" s="37">
        <v>53.083333333333343</v>
      </c>
      <c r="H37" s="37">
        <v>947.50424409375012</v>
      </c>
      <c r="I37" s="37">
        <v>1210.0625774270834</v>
      </c>
      <c r="J37" s="37">
        <v>262.55833333333328</v>
      </c>
      <c r="K37" s="37">
        <v>315.64166666666665</v>
      </c>
    </row>
    <row r="38" spans="1:11" x14ac:dyDescent="0.25">
      <c r="A38" s="39" t="s">
        <v>177</v>
      </c>
      <c r="B38" s="37">
        <v>792.16666666666663</v>
      </c>
      <c r="C38" s="37">
        <v>3009.0229166666668</v>
      </c>
      <c r="D38" s="37">
        <v>3763.8027291666667</v>
      </c>
      <c r="E38" s="37">
        <v>191.56384406250001</v>
      </c>
      <c r="F38" s="37">
        <v>244.64717739583335</v>
      </c>
      <c r="G38" s="37">
        <v>53.083333333333343</v>
      </c>
      <c r="H38" s="37">
        <v>947.50424409375012</v>
      </c>
      <c r="I38" s="37">
        <v>1210.0625774270834</v>
      </c>
      <c r="J38" s="37">
        <v>262.55833333333328</v>
      </c>
      <c r="K38" s="37">
        <v>315.64166666666665</v>
      </c>
    </row>
    <row r="39" spans="1:11" x14ac:dyDescent="0.25">
      <c r="A39" s="39" t="s">
        <v>178</v>
      </c>
      <c r="B39" s="37">
        <v>792.16666666666663</v>
      </c>
      <c r="C39" s="37">
        <v>3009.0229166666668</v>
      </c>
      <c r="D39" s="37">
        <v>3763.8027291666667</v>
      </c>
      <c r="E39" s="37">
        <v>191.56384406250001</v>
      </c>
      <c r="F39" s="37">
        <v>244.64717739583335</v>
      </c>
      <c r="G39" s="37">
        <v>53.083333333333343</v>
      </c>
      <c r="H39" s="37">
        <v>947.50424409375012</v>
      </c>
      <c r="I39" s="37">
        <v>1210.0625774270834</v>
      </c>
      <c r="J39" s="37">
        <v>262.55833333333328</v>
      </c>
      <c r="K39" s="37">
        <v>315.64166666666665</v>
      </c>
    </row>
    <row r="40" spans="1:11" x14ac:dyDescent="0.25">
      <c r="A40" s="39" t="s">
        <v>179</v>
      </c>
      <c r="B40" s="37">
        <v>792.16666666666663</v>
      </c>
      <c r="C40" s="37">
        <v>3009.0229166666668</v>
      </c>
      <c r="D40" s="37">
        <v>3763.8027291666667</v>
      </c>
      <c r="E40" s="37">
        <v>191.56384406250001</v>
      </c>
      <c r="F40" s="37">
        <v>244.64717739583335</v>
      </c>
      <c r="G40" s="37">
        <v>53.083333333333343</v>
      </c>
      <c r="H40" s="37">
        <v>947.50424409375012</v>
      </c>
      <c r="I40" s="37">
        <v>1210.0625774270834</v>
      </c>
      <c r="J40" s="37">
        <v>262.55833333333328</v>
      </c>
      <c r="K40" s="37">
        <v>315.64166666666665</v>
      </c>
    </row>
    <row r="41" spans="1:11" x14ac:dyDescent="0.25">
      <c r="A41" s="39" t="s">
        <v>180</v>
      </c>
      <c r="B41" s="37">
        <v>792.16666666666663</v>
      </c>
      <c r="C41" s="37">
        <v>3009.0229166666668</v>
      </c>
      <c r="D41" s="37">
        <v>3763.8027291666667</v>
      </c>
      <c r="E41" s="37">
        <v>191.56384406250001</v>
      </c>
      <c r="F41" s="37">
        <v>244.64717739583335</v>
      </c>
      <c r="G41" s="37">
        <v>53.083333333333343</v>
      </c>
      <c r="H41" s="37">
        <v>947.50424409375012</v>
      </c>
      <c r="I41" s="37">
        <v>1210.0625774270834</v>
      </c>
      <c r="J41" s="37">
        <v>262.55833333333328</v>
      </c>
      <c r="K41" s="37">
        <v>315.64166666666665</v>
      </c>
    </row>
    <row r="42" spans="1:11" x14ac:dyDescent="0.25">
      <c r="A42" s="39" t="s">
        <v>183</v>
      </c>
      <c r="B42" s="37">
        <v>792.16666666666663</v>
      </c>
      <c r="C42" s="37">
        <v>3009.0229166666668</v>
      </c>
      <c r="D42" s="37">
        <v>3763.8027291666667</v>
      </c>
      <c r="E42" s="37">
        <v>191.56384406250001</v>
      </c>
      <c r="F42" s="37">
        <v>244.64717739583335</v>
      </c>
      <c r="G42" s="37">
        <v>53.083333333333343</v>
      </c>
      <c r="H42" s="37">
        <v>947.50424409375012</v>
      </c>
      <c r="I42" s="37">
        <v>1210.0625774270834</v>
      </c>
      <c r="J42" s="37">
        <v>262.55833333333328</v>
      </c>
      <c r="K42" s="37">
        <v>315.64166666666665</v>
      </c>
    </row>
    <row r="43" spans="1:11" x14ac:dyDescent="0.25">
      <c r="A43" s="39" t="s">
        <v>184</v>
      </c>
      <c r="B43" s="37">
        <v>792.16666666666663</v>
      </c>
      <c r="C43" s="37">
        <v>3009.0229166666668</v>
      </c>
      <c r="D43" s="37">
        <v>3763.8027291666667</v>
      </c>
      <c r="E43" s="37">
        <v>191.56384406250001</v>
      </c>
      <c r="F43" s="37">
        <v>244.64717739583335</v>
      </c>
      <c r="G43" s="37">
        <v>53.083333333333343</v>
      </c>
      <c r="H43" s="37">
        <v>947.50424409375012</v>
      </c>
      <c r="I43" s="37">
        <v>1210.0625774270834</v>
      </c>
      <c r="J43" s="37">
        <v>262.55833333333328</v>
      </c>
      <c r="K43" s="37">
        <v>315.64166666666665</v>
      </c>
    </row>
    <row r="44" spans="1:11" x14ac:dyDescent="0.25">
      <c r="A44" s="39" t="s">
        <v>185</v>
      </c>
      <c r="B44" s="37">
        <v>792.16666666666663</v>
      </c>
      <c r="C44" s="37">
        <v>3009.0229166666668</v>
      </c>
      <c r="D44" s="37">
        <v>3763.8027291666667</v>
      </c>
      <c r="E44" s="37">
        <v>191.56384406250001</v>
      </c>
      <c r="F44" s="37">
        <v>244.64717739583335</v>
      </c>
      <c r="G44" s="37">
        <v>53.083333333333343</v>
      </c>
      <c r="H44" s="37">
        <v>947.50424409375012</v>
      </c>
      <c r="I44" s="37">
        <v>1210.0625774270834</v>
      </c>
      <c r="J44" s="37">
        <v>262.55833333333328</v>
      </c>
      <c r="K44" s="37">
        <v>315.64166666666665</v>
      </c>
    </row>
    <row r="45" spans="1:11" x14ac:dyDescent="0.25">
      <c r="A45" s="39" t="s">
        <v>186</v>
      </c>
      <c r="B45" s="37">
        <v>792.16666666666663</v>
      </c>
      <c r="C45" s="37">
        <v>3009.0229166666668</v>
      </c>
      <c r="D45" s="37">
        <v>3763.8027291666667</v>
      </c>
      <c r="E45" s="37">
        <v>191.56384406250001</v>
      </c>
      <c r="F45" s="37">
        <v>244.64717739583335</v>
      </c>
      <c r="G45" s="37">
        <v>53.083333333333343</v>
      </c>
      <c r="H45" s="37">
        <v>947.50424409375012</v>
      </c>
      <c r="I45" s="37">
        <v>1210.0625774270834</v>
      </c>
      <c r="J45" s="37">
        <v>262.55833333333328</v>
      </c>
      <c r="K45" s="37">
        <v>315.64166666666665</v>
      </c>
    </row>
    <row r="46" spans="1:11" x14ac:dyDescent="0.25">
      <c r="A46" s="39" t="s">
        <v>187</v>
      </c>
      <c r="B46" s="37">
        <v>792.16666666666663</v>
      </c>
      <c r="C46" s="37">
        <v>3009.0229166666668</v>
      </c>
      <c r="D46" s="37">
        <v>3763.8027291666667</v>
      </c>
      <c r="E46" s="37">
        <v>191.56384406250001</v>
      </c>
      <c r="F46" s="37">
        <v>244.64717739583335</v>
      </c>
      <c r="G46" s="37">
        <v>53.083333333333343</v>
      </c>
      <c r="H46" s="37">
        <v>947.50424409375012</v>
      </c>
      <c r="I46" s="37">
        <v>1210.0625774270834</v>
      </c>
      <c r="J46" s="37">
        <v>262.55833333333328</v>
      </c>
      <c r="K46" s="37">
        <v>315.64166666666665</v>
      </c>
    </row>
    <row r="47" spans="1:11" x14ac:dyDescent="0.25">
      <c r="A47" s="39" t="s">
        <v>189</v>
      </c>
      <c r="B47" s="37">
        <v>792.16666666666663</v>
      </c>
      <c r="C47" s="37">
        <v>3009.0229166666668</v>
      </c>
      <c r="D47" s="37">
        <v>3763.8027291666667</v>
      </c>
      <c r="E47" s="37">
        <v>191.56384406250001</v>
      </c>
      <c r="F47" s="37">
        <v>244.64717739583335</v>
      </c>
      <c r="G47" s="37">
        <v>53.083333333333343</v>
      </c>
      <c r="H47" s="37">
        <v>947.50424409375012</v>
      </c>
      <c r="I47" s="37">
        <v>1210.0625774270834</v>
      </c>
      <c r="J47" s="37">
        <v>262.55833333333328</v>
      </c>
      <c r="K47" s="37">
        <v>315.64166666666665</v>
      </c>
    </row>
    <row r="48" spans="1:11" x14ac:dyDescent="0.25">
      <c r="A48" s="40" t="s">
        <v>352</v>
      </c>
      <c r="B48" s="41">
        <f t="shared" ref="B48:K48" si="0">SUM(B36:B47)</f>
        <v>9506</v>
      </c>
      <c r="C48" s="41">
        <f t="shared" si="0"/>
        <v>36108.275000000009</v>
      </c>
      <c r="D48" s="41">
        <f t="shared" si="0"/>
        <v>45165.632749999997</v>
      </c>
      <c r="E48" s="41">
        <f t="shared" si="0"/>
        <v>2298.76612875</v>
      </c>
      <c r="F48" s="41">
        <f t="shared" si="0"/>
        <v>2935.76612875</v>
      </c>
      <c r="G48" s="41">
        <f t="shared" si="0"/>
        <v>637.00000000000034</v>
      </c>
      <c r="H48" s="41">
        <f t="shared" si="0"/>
        <v>11370.050929125004</v>
      </c>
      <c r="I48" s="41">
        <f t="shared" si="0"/>
        <v>14520.750929124997</v>
      </c>
      <c r="J48" s="41">
        <f t="shared" si="0"/>
        <v>3150.7000000000003</v>
      </c>
      <c r="K48" s="41">
        <f t="shared" si="0"/>
        <v>3787.6999999999989</v>
      </c>
    </row>
  </sheetData>
  <mergeCells count="4">
    <mergeCell ref="A1:H1"/>
    <mergeCell ref="D5:H5"/>
    <mergeCell ref="A30:C30"/>
    <mergeCell ref="A32:K32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K48"/>
  <sheetViews>
    <sheetView workbookViewId="0"/>
  </sheetViews>
  <sheetFormatPr baseColWidth="10" defaultColWidth="9.140625" defaultRowHeight="15" x14ac:dyDescent="0.25"/>
  <cols>
    <col min="1" max="1" width="18" customWidth="1"/>
    <col min="2" max="11" width="16" customWidth="1"/>
  </cols>
  <sheetData>
    <row r="1" spans="1:8" ht="26.1" customHeight="1" x14ac:dyDescent="0.3">
      <c r="A1" s="46" t="s">
        <v>332</v>
      </c>
      <c r="B1" s="46"/>
      <c r="C1" s="46"/>
      <c r="D1" s="46"/>
      <c r="E1" s="46"/>
      <c r="F1" s="46"/>
      <c r="G1" s="46"/>
      <c r="H1" s="46"/>
    </row>
    <row r="3" spans="1:8" x14ac:dyDescent="0.25">
      <c r="A3" t="s">
        <v>149</v>
      </c>
      <c r="B3" s="13" t="s">
        <v>140</v>
      </c>
    </row>
    <row r="5" spans="1:8" x14ac:dyDescent="0.25">
      <c r="A5" t="s">
        <v>74</v>
      </c>
      <c r="B5" t="s">
        <v>143</v>
      </c>
      <c r="D5" s="54" t="s">
        <v>333</v>
      </c>
      <c r="E5" s="54"/>
      <c r="F5" s="54"/>
      <c r="G5" s="54"/>
      <c r="H5" s="54"/>
    </row>
    <row r="6" spans="1:8" x14ac:dyDescent="0.25">
      <c r="A6" t="s">
        <v>334</v>
      </c>
      <c r="B6">
        <v>1995</v>
      </c>
      <c r="D6" t="s">
        <v>335</v>
      </c>
      <c r="E6" s="9">
        <v>22664.577600000004</v>
      </c>
    </row>
    <row r="7" spans="1:8" x14ac:dyDescent="0.25">
      <c r="A7" t="s">
        <v>76</v>
      </c>
      <c r="B7" s="1">
        <v>43342</v>
      </c>
      <c r="D7" t="s">
        <v>336</v>
      </c>
      <c r="E7" s="9">
        <v>1470.2393160000001</v>
      </c>
    </row>
    <row r="8" spans="1:8" x14ac:dyDescent="0.25">
      <c r="A8" t="s">
        <v>77</v>
      </c>
      <c r="B8" s="4">
        <v>4.6800000000000001E-2</v>
      </c>
      <c r="D8" t="s">
        <v>77</v>
      </c>
      <c r="E8" s="9">
        <v>1092.5009071199997</v>
      </c>
    </row>
    <row r="9" spans="1:8" x14ac:dyDescent="0.25">
      <c r="A9" t="s">
        <v>78</v>
      </c>
      <c r="B9" s="4">
        <v>0.5</v>
      </c>
      <c r="D9" t="s">
        <v>337</v>
      </c>
      <c r="E9" s="9">
        <v>20101.837376880001</v>
      </c>
    </row>
    <row r="10" spans="1:8" x14ac:dyDescent="0.25">
      <c r="A10" t="s">
        <v>79</v>
      </c>
      <c r="B10" t="s">
        <v>141</v>
      </c>
      <c r="D10" t="s">
        <v>338</v>
      </c>
      <c r="E10" s="9">
        <v>7272.0298476000007</v>
      </c>
    </row>
    <row r="11" spans="1:8" x14ac:dyDescent="0.25">
      <c r="A11" t="s">
        <v>82</v>
      </c>
      <c r="B11" s="9">
        <v>1344.86</v>
      </c>
      <c r="D11" t="s">
        <v>267</v>
      </c>
      <c r="E11" s="9">
        <v>29936.607447599996</v>
      </c>
    </row>
    <row r="12" spans="1:8" x14ac:dyDescent="0.25">
      <c r="A12" t="s">
        <v>81</v>
      </c>
      <c r="B12" s="4">
        <v>1.4999999999999999E-2</v>
      </c>
    </row>
    <row r="13" spans="1:8" x14ac:dyDescent="0.25">
      <c r="A13" s="35" t="s">
        <v>90</v>
      </c>
      <c r="B13" s="34">
        <v>0</v>
      </c>
    </row>
    <row r="15" spans="1:8" x14ac:dyDescent="0.25">
      <c r="A15" s="6" t="s">
        <v>150</v>
      </c>
      <c r="B15" s="6" t="s">
        <v>339</v>
      </c>
      <c r="C15" s="6" t="s">
        <v>165</v>
      </c>
      <c r="D15" s="6" t="s">
        <v>94</v>
      </c>
      <c r="E15" s="6" t="s">
        <v>336</v>
      </c>
      <c r="F15" s="6" t="s">
        <v>77</v>
      </c>
      <c r="G15" s="6" t="s">
        <v>95</v>
      </c>
      <c r="H15" s="6" t="s">
        <v>267</v>
      </c>
    </row>
    <row r="16" spans="1:8" x14ac:dyDescent="0.25">
      <c r="A16" t="s">
        <v>173</v>
      </c>
      <c r="B16" s="4">
        <v>1</v>
      </c>
      <c r="C16" t="s">
        <v>175</v>
      </c>
      <c r="D16" s="9">
        <v>1570.1364000000001</v>
      </c>
      <c r="E16" s="9">
        <v>119.06867700000001</v>
      </c>
      <c r="F16" s="9">
        <v>75.837588120000007</v>
      </c>
      <c r="G16" s="9">
        <v>1375.2301348800002</v>
      </c>
      <c r="H16" s="9">
        <v>2159.0683947000002</v>
      </c>
    </row>
    <row r="17" spans="1:11" x14ac:dyDescent="0.25">
      <c r="A17" t="s">
        <v>176</v>
      </c>
      <c r="B17" s="4">
        <v>1</v>
      </c>
      <c r="C17" t="s">
        <v>175</v>
      </c>
      <c r="D17" s="9">
        <v>1570.1364000000001</v>
      </c>
      <c r="E17" s="9">
        <v>119.06867700000001</v>
      </c>
      <c r="F17" s="9">
        <v>75.837588120000007</v>
      </c>
      <c r="G17" s="9">
        <v>1375.2301348800002</v>
      </c>
      <c r="H17" s="9">
        <v>2159.0683947000002</v>
      </c>
    </row>
    <row r="18" spans="1:11" x14ac:dyDescent="0.25">
      <c r="A18" t="s">
        <v>177</v>
      </c>
      <c r="B18" s="4">
        <v>1</v>
      </c>
      <c r="C18" t="s">
        <v>175</v>
      </c>
      <c r="D18" s="9">
        <v>1570.1364000000001</v>
      </c>
      <c r="E18" s="9">
        <v>119.06867700000001</v>
      </c>
      <c r="F18" s="9">
        <v>75.837588120000007</v>
      </c>
      <c r="G18" s="9">
        <v>1375.2301348800002</v>
      </c>
      <c r="H18" s="9">
        <v>2159.0683947000002</v>
      </c>
    </row>
    <row r="19" spans="1:11" x14ac:dyDescent="0.25">
      <c r="A19" t="s">
        <v>178</v>
      </c>
      <c r="B19" s="4">
        <v>1</v>
      </c>
      <c r="C19" t="s">
        <v>175</v>
      </c>
      <c r="D19" s="9">
        <v>1570.1364000000001</v>
      </c>
      <c r="E19" s="9">
        <v>119.06867700000001</v>
      </c>
      <c r="F19" s="9">
        <v>75.837588120000007</v>
      </c>
      <c r="G19" s="9">
        <v>1375.2301348800002</v>
      </c>
      <c r="H19" s="9">
        <v>2159.0683947000002</v>
      </c>
    </row>
    <row r="20" spans="1:11" x14ac:dyDescent="0.25">
      <c r="A20" t="s">
        <v>179</v>
      </c>
      <c r="B20" s="4">
        <v>1</v>
      </c>
      <c r="C20" t="s">
        <v>175</v>
      </c>
      <c r="D20" s="9">
        <v>1638.4032</v>
      </c>
      <c r="E20" s="9">
        <v>124.24557599999999</v>
      </c>
      <c r="F20" s="9">
        <v>79.13487456</v>
      </c>
      <c r="G20" s="9">
        <v>1435.0227494399999</v>
      </c>
      <c r="H20" s="9">
        <v>2252.9409335999999</v>
      </c>
    </row>
    <row r="21" spans="1:11" x14ac:dyDescent="0.25">
      <c r="A21" t="s">
        <v>180</v>
      </c>
      <c r="B21" s="4">
        <v>1</v>
      </c>
      <c r="C21" t="s">
        <v>175</v>
      </c>
      <c r="D21" s="9">
        <v>1638.4032</v>
      </c>
      <c r="E21" s="9">
        <v>124.24557599999999</v>
      </c>
      <c r="F21" s="9">
        <v>79.13487456</v>
      </c>
      <c r="G21" s="9">
        <v>1435.0227494399999</v>
      </c>
      <c r="H21" s="9">
        <v>2252.9409335999999</v>
      </c>
    </row>
    <row r="22" spans="1:11" x14ac:dyDescent="0.25">
      <c r="A22" t="s">
        <v>181</v>
      </c>
      <c r="B22" s="4">
        <v>1</v>
      </c>
      <c r="C22" t="s">
        <v>175</v>
      </c>
      <c r="D22" s="9">
        <v>1638.4032</v>
      </c>
      <c r="E22" s="9">
        <v>0</v>
      </c>
      <c r="F22" s="9">
        <v>76.936683600000009</v>
      </c>
      <c r="G22" s="9">
        <v>1561.4665164</v>
      </c>
      <c r="H22" s="9">
        <v>1638.4032</v>
      </c>
    </row>
    <row r="23" spans="1:11" x14ac:dyDescent="0.25">
      <c r="A23" t="s">
        <v>183</v>
      </c>
      <c r="B23" s="4">
        <v>1</v>
      </c>
      <c r="C23" t="s">
        <v>175</v>
      </c>
      <c r="D23" s="9">
        <v>1638.4032</v>
      </c>
      <c r="E23" s="9">
        <v>124.24557599999999</v>
      </c>
      <c r="F23" s="9">
        <v>79.13487456</v>
      </c>
      <c r="G23" s="9">
        <v>1435.0227494399999</v>
      </c>
      <c r="H23" s="9">
        <v>2252.9409335999999</v>
      </c>
    </row>
    <row r="24" spans="1:11" x14ac:dyDescent="0.25">
      <c r="A24" t="s">
        <v>184</v>
      </c>
      <c r="B24" s="4">
        <v>1</v>
      </c>
      <c r="C24" t="s">
        <v>175</v>
      </c>
      <c r="D24" s="9">
        <v>1638.4032</v>
      </c>
      <c r="E24" s="9">
        <v>124.24557599999999</v>
      </c>
      <c r="F24" s="9">
        <v>79.13487456</v>
      </c>
      <c r="G24" s="9">
        <v>1435.0227494399999</v>
      </c>
      <c r="H24" s="9">
        <v>2252.9409335999999</v>
      </c>
    </row>
    <row r="25" spans="1:11" x14ac:dyDescent="0.25">
      <c r="A25" t="s">
        <v>185</v>
      </c>
      <c r="B25" s="4">
        <v>1</v>
      </c>
      <c r="C25" t="s">
        <v>175</v>
      </c>
      <c r="D25" s="9">
        <v>1638.4032</v>
      </c>
      <c r="E25" s="9">
        <v>124.24557599999999</v>
      </c>
      <c r="F25" s="9">
        <v>79.13487456</v>
      </c>
      <c r="G25" s="9">
        <v>1435.0227494399999</v>
      </c>
      <c r="H25" s="9">
        <v>2252.9409335999999</v>
      </c>
    </row>
    <row r="26" spans="1:11" x14ac:dyDescent="0.25">
      <c r="A26" t="s">
        <v>186</v>
      </c>
      <c r="B26" s="4">
        <v>1</v>
      </c>
      <c r="C26" t="s">
        <v>175</v>
      </c>
      <c r="D26" s="9">
        <v>1638.4032</v>
      </c>
      <c r="E26" s="9">
        <v>124.24557599999999</v>
      </c>
      <c r="F26" s="9">
        <v>79.13487456</v>
      </c>
      <c r="G26" s="9">
        <v>1435.0227494399999</v>
      </c>
      <c r="H26" s="9">
        <v>2252.9409335999999</v>
      </c>
    </row>
    <row r="27" spans="1:11" x14ac:dyDescent="0.25">
      <c r="A27" t="s">
        <v>187</v>
      </c>
      <c r="B27" s="4">
        <v>1</v>
      </c>
      <c r="C27" t="s">
        <v>175</v>
      </c>
      <c r="D27" s="9">
        <v>1638.4032</v>
      </c>
      <c r="E27" s="9">
        <v>124.24557599999999</v>
      </c>
      <c r="F27" s="9">
        <v>79.13487456</v>
      </c>
      <c r="G27" s="9">
        <v>1435.0227494399999</v>
      </c>
      <c r="H27" s="9">
        <v>2252.9409335999999</v>
      </c>
    </row>
    <row r="28" spans="1:11" x14ac:dyDescent="0.25">
      <c r="A28" t="s">
        <v>188</v>
      </c>
      <c r="B28" s="4">
        <v>1</v>
      </c>
      <c r="C28" t="s">
        <v>175</v>
      </c>
      <c r="D28" s="9">
        <v>1638.4032</v>
      </c>
      <c r="E28" s="9">
        <v>0</v>
      </c>
      <c r="F28" s="9">
        <v>79.13487456</v>
      </c>
      <c r="G28" s="9">
        <v>1559.2683254399999</v>
      </c>
      <c r="H28" s="9">
        <v>1638.4032</v>
      </c>
    </row>
    <row r="29" spans="1:11" x14ac:dyDescent="0.25">
      <c r="A29" t="s">
        <v>189</v>
      </c>
      <c r="B29" s="4">
        <v>1</v>
      </c>
      <c r="C29" t="s">
        <v>175</v>
      </c>
      <c r="D29" s="9">
        <v>1638.4032</v>
      </c>
      <c r="E29" s="9">
        <v>124.24557599999999</v>
      </c>
      <c r="F29" s="9">
        <v>79.13487456</v>
      </c>
      <c r="G29" s="9">
        <v>1435.0227494399999</v>
      </c>
      <c r="H29" s="9">
        <v>2252.9409335999999</v>
      </c>
    </row>
    <row r="30" spans="1:11" x14ac:dyDescent="0.25">
      <c r="A30" s="45" t="s">
        <v>340</v>
      </c>
      <c r="B30" s="45"/>
      <c r="C30" s="45"/>
      <c r="D30" s="14">
        <v>22664.577600000004</v>
      </c>
      <c r="E30" s="14">
        <v>1470.2393160000001</v>
      </c>
      <c r="F30" s="14">
        <v>1092.5009071199997</v>
      </c>
      <c r="G30" s="14">
        <v>20101.837376880001</v>
      </c>
      <c r="H30" s="14">
        <v>29936.607447599996</v>
      </c>
    </row>
    <row r="32" spans="1:11" x14ac:dyDescent="0.25">
      <c r="A32" s="55" t="s">
        <v>279</v>
      </c>
      <c r="B32" s="55"/>
      <c r="C32" s="55"/>
      <c r="D32" s="55"/>
      <c r="E32" s="55"/>
      <c r="F32" s="55"/>
      <c r="G32" s="55"/>
      <c r="H32" s="55"/>
      <c r="I32" s="55"/>
      <c r="J32" s="55"/>
      <c r="K32" s="55"/>
    </row>
    <row r="33" spans="1:11" ht="30" x14ac:dyDescent="0.25">
      <c r="A33" s="36" t="s">
        <v>341</v>
      </c>
      <c r="B33" s="37">
        <v>0</v>
      </c>
      <c r="C33" s="37"/>
      <c r="D33" s="38" t="s">
        <v>342</v>
      </c>
      <c r="E33" s="37">
        <v>0</v>
      </c>
      <c r="F33" s="37"/>
      <c r="G33" s="38" t="s">
        <v>343</v>
      </c>
      <c r="H33" s="37">
        <v>0</v>
      </c>
      <c r="I33" s="39"/>
      <c r="J33" s="39"/>
      <c r="K33" s="39"/>
    </row>
    <row r="34" spans="1:11" x14ac:dyDescent="0.25">
      <c r="A34" s="39"/>
      <c r="B34" s="39"/>
      <c r="C34" s="39"/>
      <c r="D34" s="39"/>
      <c r="E34" s="39"/>
      <c r="F34" s="39"/>
      <c r="G34" s="39"/>
      <c r="H34" s="39"/>
      <c r="I34" s="39"/>
      <c r="J34" s="39"/>
      <c r="K34" s="39"/>
    </row>
    <row r="35" spans="1:11" ht="33.950000000000003" customHeight="1" x14ac:dyDescent="0.25">
      <c r="A35" s="33" t="s">
        <v>150</v>
      </c>
      <c r="B35" s="33" t="s">
        <v>344</v>
      </c>
      <c r="C35" s="33" t="s">
        <v>345</v>
      </c>
      <c r="D35" s="33" t="s">
        <v>346</v>
      </c>
      <c r="E35" s="33" t="s">
        <v>347</v>
      </c>
      <c r="F35" s="33" t="s">
        <v>348</v>
      </c>
      <c r="G35" s="33" t="s">
        <v>349</v>
      </c>
      <c r="H35" s="33" t="s">
        <v>327</v>
      </c>
      <c r="I35" s="33" t="s">
        <v>328</v>
      </c>
      <c r="J35" s="33" t="s">
        <v>350</v>
      </c>
      <c r="K35" s="33" t="s">
        <v>351</v>
      </c>
    </row>
    <row r="36" spans="1:11" x14ac:dyDescent="0.25">
      <c r="A36" s="39" t="s">
        <v>173</v>
      </c>
      <c r="B36" s="37">
        <v>0</v>
      </c>
      <c r="C36" s="37">
        <v>1804.3538333333331</v>
      </c>
      <c r="D36" s="37">
        <v>1831.8258000000001</v>
      </c>
      <c r="E36" s="37">
        <v>119.06867700000001</v>
      </c>
      <c r="F36" s="37">
        <v>119.06867700000001</v>
      </c>
      <c r="G36" s="37">
        <v>0</v>
      </c>
      <c r="H36" s="37">
        <v>588.93199470000002</v>
      </c>
      <c r="I36" s="37">
        <v>588.93199470000002</v>
      </c>
      <c r="J36" s="37">
        <v>0</v>
      </c>
      <c r="K36" s="37">
        <v>0</v>
      </c>
    </row>
    <row r="37" spans="1:11" x14ac:dyDescent="0.25">
      <c r="A37" s="39" t="s">
        <v>176</v>
      </c>
      <c r="B37" s="37">
        <v>0</v>
      </c>
      <c r="C37" s="37">
        <v>1804.3538333333331</v>
      </c>
      <c r="D37" s="37">
        <v>1831.8258000000001</v>
      </c>
      <c r="E37" s="37">
        <v>119.06867700000001</v>
      </c>
      <c r="F37" s="37">
        <v>119.06867700000001</v>
      </c>
      <c r="G37" s="37">
        <v>0</v>
      </c>
      <c r="H37" s="37">
        <v>588.93199470000002</v>
      </c>
      <c r="I37" s="37">
        <v>588.93199470000002</v>
      </c>
      <c r="J37" s="37">
        <v>0</v>
      </c>
      <c r="K37" s="37">
        <v>0</v>
      </c>
    </row>
    <row r="38" spans="1:11" x14ac:dyDescent="0.25">
      <c r="A38" s="39" t="s">
        <v>177</v>
      </c>
      <c r="B38" s="37">
        <v>0</v>
      </c>
      <c r="C38" s="37">
        <v>1804.3538333333331</v>
      </c>
      <c r="D38" s="37">
        <v>1831.8258000000001</v>
      </c>
      <c r="E38" s="37">
        <v>119.06867700000001</v>
      </c>
      <c r="F38" s="37">
        <v>119.06867700000001</v>
      </c>
      <c r="G38" s="37">
        <v>0</v>
      </c>
      <c r="H38" s="37">
        <v>588.93199470000002</v>
      </c>
      <c r="I38" s="37">
        <v>588.93199470000002</v>
      </c>
      <c r="J38" s="37">
        <v>0</v>
      </c>
      <c r="K38" s="37">
        <v>0</v>
      </c>
    </row>
    <row r="39" spans="1:11" x14ac:dyDescent="0.25">
      <c r="A39" s="39" t="s">
        <v>178</v>
      </c>
      <c r="B39" s="37">
        <v>0</v>
      </c>
      <c r="C39" s="37">
        <v>1804.3538333333331</v>
      </c>
      <c r="D39" s="37">
        <v>1831.8258000000001</v>
      </c>
      <c r="E39" s="37">
        <v>119.06867700000001</v>
      </c>
      <c r="F39" s="37">
        <v>119.06867700000001</v>
      </c>
      <c r="G39" s="37">
        <v>0</v>
      </c>
      <c r="H39" s="37">
        <v>588.93199470000002</v>
      </c>
      <c r="I39" s="37">
        <v>588.93199470000002</v>
      </c>
      <c r="J39" s="37">
        <v>0</v>
      </c>
      <c r="K39" s="37">
        <v>0</v>
      </c>
    </row>
    <row r="40" spans="1:11" x14ac:dyDescent="0.25">
      <c r="A40" s="39" t="s">
        <v>179</v>
      </c>
      <c r="B40" s="37">
        <v>0</v>
      </c>
      <c r="C40" s="37">
        <v>1804.3538333333331</v>
      </c>
      <c r="D40" s="37">
        <v>1911.4703999999999</v>
      </c>
      <c r="E40" s="37">
        <v>124.24557599999999</v>
      </c>
      <c r="F40" s="37">
        <v>124.24557599999999</v>
      </c>
      <c r="G40" s="37">
        <v>0</v>
      </c>
      <c r="H40" s="37">
        <v>614.53773360000002</v>
      </c>
      <c r="I40" s="37">
        <v>614.53773360000002</v>
      </c>
      <c r="J40" s="37">
        <v>0</v>
      </c>
      <c r="K40" s="37">
        <v>0</v>
      </c>
    </row>
    <row r="41" spans="1:11" x14ac:dyDescent="0.25">
      <c r="A41" s="39" t="s">
        <v>180</v>
      </c>
      <c r="B41" s="37">
        <v>0</v>
      </c>
      <c r="C41" s="37">
        <v>1804.3538333333331</v>
      </c>
      <c r="D41" s="37">
        <v>1911.4703999999999</v>
      </c>
      <c r="E41" s="37">
        <v>124.24557599999999</v>
      </c>
      <c r="F41" s="37">
        <v>124.24557599999999</v>
      </c>
      <c r="G41" s="37">
        <v>0</v>
      </c>
      <c r="H41" s="37">
        <v>614.53773360000002</v>
      </c>
      <c r="I41" s="37">
        <v>614.53773360000002</v>
      </c>
      <c r="J41" s="37">
        <v>0</v>
      </c>
      <c r="K41" s="37">
        <v>0</v>
      </c>
    </row>
    <row r="42" spans="1:11" x14ac:dyDescent="0.25">
      <c r="A42" s="39" t="s">
        <v>183</v>
      </c>
      <c r="B42" s="37">
        <v>0</v>
      </c>
      <c r="C42" s="37">
        <v>1804.3538333333331</v>
      </c>
      <c r="D42" s="37">
        <v>1911.4703999999999</v>
      </c>
      <c r="E42" s="37">
        <v>124.24557599999999</v>
      </c>
      <c r="F42" s="37">
        <v>124.24557599999999</v>
      </c>
      <c r="G42" s="37">
        <v>0</v>
      </c>
      <c r="H42" s="37">
        <v>614.53773360000002</v>
      </c>
      <c r="I42" s="37">
        <v>614.53773360000002</v>
      </c>
      <c r="J42" s="37">
        <v>0</v>
      </c>
      <c r="K42" s="37">
        <v>0</v>
      </c>
    </row>
    <row r="43" spans="1:11" x14ac:dyDescent="0.25">
      <c r="A43" s="39" t="s">
        <v>184</v>
      </c>
      <c r="B43" s="37">
        <v>0</v>
      </c>
      <c r="C43" s="37">
        <v>1804.3538333333331</v>
      </c>
      <c r="D43" s="37">
        <v>1911.4703999999999</v>
      </c>
      <c r="E43" s="37">
        <v>124.24557599999999</v>
      </c>
      <c r="F43" s="37">
        <v>124.24557599999999</v>
      </c>
      <c r="G43" s="37">
        <v>0</v>
      </c>
      <c r="H43" s="37">
        <v>614.53773360000002</v>
      </c>
      <c r="I43" s="37">
        <v>614.53773360000002</v>
      </c>
      <c r="J43" s="37">
        <v>0</v>
      </c>
      <c r="K43" s="37">
        <v>0</v>
      </c>
    </row>
    <row r="44" spans="1:11" x14ac:dyDescent="0.25">
      <c r="A44" s="39" t="s">
        <v>185</v>
      </c>
      <c r="B44" s="37">
        <v>0</v>
      </c>
      <c r="C44" s="37">
        <v>1882.8039999999999</v>
      </c>
      <c r="D44" s="37">
        <v>1911.4703999999999</v>
      </c>
      <c r="E44" s="37">
        <v>124.24557599999999</v>
      </c>
      <c r="F44" s="37">
        <v>124.24557599999999</v>
      </c>
      <c r="G44" s="37">
        <v>0</v>
      </c>
      <c r="H44" s="37">
        <v>614.53773360000002</v>
      </c>
      <c r="I44" s="37">
        <v>614.53773360000002</v>
      </c>
      <c r="J44" s="37">
        <v>0</v>
      </c>
      <c r="K44" s="37">
        <v>0</v>
      </c>
    </row>
    <row r="45" spans="1:11" x14ac:dyDescent="0.25">
      <c r="A45" s="39" t="s">
        <v>186</v>
      </c>
      <c r="B45" s="37">
        <v>0</v>
      </c>
      <c r="C45" s="37">
        <v>1882.8039999999999</v>
      </c>
      <c r="D45" s="37">
        <v>1911.4703999999999</v>
      </c>
      <c r="E45" s="37">
        <v>124.24557599999999</v>
      </c>
      <c r="F45" s="37">
        <v>124.24557599999999</v>
      </c>
      <c r="G45" s="37">
        <v>0</v>
      </c>
      <c r="H45" s="37">
        <v>614.53773360000002</v>
      </c>
      <c r="I45" s="37">
        <v>614.53773360000002</v>
      </c>
      <c r="J45" s="37">
        <v>0</v>
      </c>
      <c r="K45" s="37">
        <v>0</v>
      </c>
    </row>
    <row r="46" spans="1:11" x14ac:dyDescent="0.25">
      <c r="A46" s="39" t="s">
        <v>187</v>
      </c>
      <c r="B46" s="37">
        <v>0</v>
      </c>
      <c r="C46" s="37">
        <v>1882.8039999999999</v>
      </c>
      <c r="D46" s="37">
        <v>1911.4703999999999</v>
      </c>
      <c r="E46" s="37">
        <v>124.24557599999999</v>
      </c>
      <c r="F46" s="37">
        <v>124.24557599999999</v>
      </c>
      <c r="G46" s="37">
        <v>0</v>
      </c>
      <c r="H46" s="37">
        <v>614.53773360000002</v>
      </c>
      <c r="I46" s="37">
        <v>614.53773360000002</v>
      </c>
      <c r="J46" s="37">
        <v>0</v>
      </c>
      <c r="K46" s="37">
        <v>0</v>
      </c>
    </row>
    <row r="47" spans="1:11" x14ac:dyDescent="0.25">
      <c r="A47" s="39" t="s">
        <v>189</v>
      </c>
      <c r="B47" s="37">
        <v>0</v>
      </c>
      <c r="C47" s="37">
        <v>1882.8039999999999</v>
      </c>
      <c r="D47" s="37">
        <v>1911.4703999999999</v>
      </c>
      <c r="E47" s="37">
        <v>124.24557599999999</v>
      </c>
      <c r="F47" s="37">
        <v>124.24557599999999</v>
      </c>
      <c r="G47" s="37">
        <v>0</v>
      </c>
      <c r="H47" s="37">
        <v>614.53773360000002</v>
      </c>
      <c r="I47" s="37">
        <v>614.53773360000002</v>
      </c>
      <c r="J47" s="37">
        <v>0</v>
      </c>
      <c r="K47" s="37">
        <v>0</v>
      </c>
    </row>
    <row r="48" spans="1:11" x14ac:dyDescent="0.25">
      <c r="A48" s="40" t="s">
        <v>352</v>
      </c>
      <c r="B48" s="41">
        <f t="shared" ref="B48:K48" si="0">SUM(B36:B47)</f>
        <v>0</v>
      </c>
      <c r="C48" s="41">
        <f t="shared" si="0"/>
        <v>21966.046666666662</v>
      </c>
      <c r="D48" s="41">
        <f t="shared" si="0"/>
        <v>22619.066399999996</v>
      </c>
      <c r="E48" s="41">
        <f t="shared" si="0"/>
        <v>1470.2393160000001</v>
      </c>
      <c r="F48" s="41">
        <f t="shared" si="0"/>
        <v>1470.2393160000001</v>
      </c>
      <c r="G48" s="41">
        <f t="shared" si="0"/>
        <v>0</v>
      </c>
      <c r="H48" s="41">
        <f t="shared" si="0"/>
        <v>7272.0298476000007</v>
      </c>
      <c r="I48" s="41">
        <f t="shared" si="0"/>
        <v>7272.0298476000007</v>
      </c>
      <c r="J48" s="41">
        <f t="shared" si="0"/>
        <v>0</v>
      </c>
      <c r="K48" s="41">
        <f t="shared" si="0"/>
        <v>0</v>
      </c>
    </row>
  </sheetData>
  <mergeCells count="4">
    <mergeCell ref="A1:H1"/>
    <mergeCell ref="D5:H5"/>
    <mergeCell ref="A30:C30"/>
    <mergeCell ref="A32:K32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AE292"/>
  <sheetViews>
    <sheetView workbookViewId="0"/>
  </sheetViews>
  <sheetFormatPr baseColWidth="10" defaultColWidth="9.140625" defaultRowHeight="15" x14ac:dyDescent="0.25"/>
  <cols>
    <col min="1" max="1" width="20" customWidth="1"/>
    <col min="2" max="2" width="10" customWidth="1"/>
    <col min="3" max="3" width="24" customWidth="1"/>
    <col min="4" max="4" width="11" customWidth="1"/>
    <col min="5" max="5" width="13" customWidth="1"/>
    <col min="6" max="6" width="18" customWidth="1"/>
    <col min="7" max="8" width="16" customWidth="1"/>
    <col min="9" max="9" width="17" customWidth="1"/>
    <col min="10" max="10" width="14" customWidth="1"/>
    <col min="11" max="12" width="15" customWidth="1"/>
    <col min="13" max="14" width="14" customWidth="1"/>
    <col min="15" max="15" width="15" customWidth="1"/>
    <col min="16" max="16" width="14" customWidth="1"/>
    <col min="17" max="17" width="11" customWidth="1"/>
    <col min="18" max="18" width="14" customWidth="1"/>
    <col min="19" max="20" width="15" customWidth="1"/>
    <col min="21" max="21" width="19" customWidth="1"/>
    <col min="22" max="22" width="12" customWidth="1"/>
  </cols>
  <sheetData>
    <row r="1" spans="1:31" ht="26.1" customHeight="1" x14ac:dyDescent="0.3">
      <c r="A1" s="56" t="s">
        <v>353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X1" s="58" t="s">
        <v>354</v>
      </c>
      <c r="Y1" s="58"/>
      <c r="Z1" s="58"/>
      <c r="AA1" s="58"/>
      <c r="AB1" s="58"/>
      <c r="AC1" s="58"/>
      <c r="AD1" s="58"/>
      <c r="AE1" s="58"/>
    </row>
    <row r="2" spans="1:31" x14ac:dyDescent="0.25">
      <c r="A2" s="57" t="s">
        <v>355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</row>
    <row r="3" spans="1:31" ht="45" x14ac:dyDescent="0.25">
      <c r="X3" s="22" t="s">
        <v>356</v>
      </c>
      <c r="Y3" s="22" t="s">
        <v>357</v>
      </c>
      <c r="Z3" s="22" t="s">
        <v>358</v>
      </c>
      <c r="AA3" s="22" t="s">
        <v>359</v>
      </c>
      <c r="AB3" s="22" t="s">
        <v>360</v>
      </c>
      <c r="AC3" s="22" t="s">
        <v>361</v>
      </c>
      <c r="AD3" s="22" t="s">
        <v>362</v>
      </c>
      <c r="AE3" s="22" t="s">
        <v>363</v>
      </c>
    </row>
    <row r="4" spans="1:31" ht="45" x14ac:dyDescent="0.25">
      <c r="A4" s="24" t="s">
        <v>149</v>
      </c>
      <c r="B4" s="24" t="s">
        <v>364</v>
      </c>
      <c r="C4" s="24" t="s">
        <v>165</v>
      </c>
      <c r="D4" s="24" t="s">
        <v>357</v>
      </c>
      <c r="E4" s="24" t="s">
        <v>202</v>
      </c>
      <c r="F4" s="24" t="s">
        <v>365</v>
      </c>
      <c r="G4" s="24" t="s">
        <v>366</v>
      </c>
      <c r="H4" s="24" t="s">
        <v>367</v>
      </c>
      <c r="I4" s="24" t="s">
        <v>368</v>
      </c>
      <c r="J4" s="24" t="s">
        <v>369</v>
      </c>
      <c r="K4" s="24" t="s">
        <v>210</v>
      </c>
      <c r="L4" s="24" t="s">
        <v>370</v>
      </c>
      <c r="M4" s="24" t="s">
        <v>371</v>
      </c>
      <c r="N4" s="24" t="s">
        <v>265</v>
      </c>
      <c r="O4" s="24" t="s">
        <v>266</v>
      </c>
      <c r="P4" s="24" t="s">
        <v>372</v>
      </c>
      <c r="Q4" s="24" t="s">
        <v>269</v>
      </c>
      <c r="R4" s="24" t="s">
        <v>270</v>
      </c>
      <c r="S4" s="24" t="s">
        <v>373</v>
      </c>
      <c r="T4" s="24" t="s">
        <v>374</v>
      </c>
      <c r="U4" s="24" t="s">
        <v>375</v>
      </c>
      <c r="V4" s="24" t="s">
        <v>331</v>
      </c>
      <c r="X4" s="21">
        <v>2000</v>
      </c>
      <c r="Y4" s="4">
        <v>0.75</v>
      </c>
      <c r="Z4" s="21">
        <v>333.33333333333331</v>
      </c>
      <c r="AA4" s="21">
        <v>2333.3333333333335</v>
      </c>
      <c r="AB4" s="21">
        <v>2333.3333333333335</v>
      </c>
      <c r="AC4" s="21">
        <v>1500</v>
      </c>
      <c r="AD4" s="21">
        <v>583.33333333333337</v>
      </c>
      <c r="AE4" s="21">
        <v>2083.3333333333335</v>
      </c>
    </row>
    <row r="5" spans="1:31" x14ac:dyDescent="0.25">
      <c r="A5" t="s">
        <v>91</v>
      </c>
      <c r="B5" t="s">
        <v>173</v>
      </c>
      <c r="C5" t="s">
        <v>175</v>
      </c>
      <c r="D5" s="4">
        <v>1</v>
      </c>
      <c r="E5" s="4">
        <v>0</v>
      </c>
      <c r="F5" s="9">
        <v>10089.280000000001</v>
      </c>
      <c r="G5" s="9">
        <v>1681.5466666666666</v>
      </c>
      <c r="H5" s="9">
        <v>11770.826666666668</v>
      </c>
      <c r="I5" s="9">
        <v>0</v>
      </c>
      <c r="J5" s="9">
        <v>5101.2</v>
      </c>
      <c r="K5" s="9">
        <v>10089.280000000001</v>
      </c>
      <c r="L5" s="9">
        <v>0</v>
      </c>
      <c r="M5" s="9">
        <v>346.71789999999999</v>
      </c>
      <c r="N5" s="9">
        <v>3452.9487699455999</v>
      </c>
      <c r="O5" s="9">
        <v>6289.6133300544006</v>
      </c>
      <c r="P5" s="9">
        <v>0</v>
      </c>
      <c r="Q5" s="9">
        <v>0</v>
      </c>
      <c r="R5" s="9">
        <v>0</v>
      </c>
      <c r="S5" s="9">
        <v>10089.280000000001</v>
      </c>
      <c r="T5" s="9">
        <v>6289.6133300544006</v>
      </c>
      <c r="U5" s="9">
        <v>0</v>
      </c>
      <c r="V5">
        <v>0</v>
      </c>
      <c r="X5" s="21">
        <v>6000</v>
      </c>
      <c r="Y5" s="4">
        <v>0.75</v>
      </c>
      <c r="Z5" s="21">
        <v>1000</v>
      </c>
      <c r="AA5" s="21">
        <v>7000</v>
      </c>
      <c r="AB5" s="21">
        <v>5101.2</v>
      </c>
      <c r="AC5" s="21">
        <v>4500</v>
      </c>
      <c r="AD5" s="21">
        <v>1275.3</v>
      </c>
      <c r="AE5" s="21">
        <v>5775.3</v>
      </c>
    </row>
    <row r="6" spans="1:31" x14ac:dyDescent="0.25">
      <c r="A6" t="s">
        <v>91</v>
      </c>
      <c r="B6" t="s">
        <v>176</v>
      </c>
      <c r="C6" t="s">
        <v>175</v>
      </c>
      <c r="D6" s="4">
        <v>1</v>
      </c>
      <c r="E6" s="4">
        <v>0</v>
      </c>
      <c r="F6" s="9">
        <v>10089.280000000001</v>
      </c>
      <c r="G6" s="9">
        <v>1681.5466666666666</v>
      </c>
      <c r="H6" s="9">
        <v>11513.436181333334</v>
      </c>
      <c r="I6" s="9">
        <v>0</v>
      </c>
      <c r="J6" s="9">
        <v>5101.2</v>
      </c>
      <c r="K6" s="9">
        <v>9868.6595839999991</v>
      </c>
      <c r="L6" s="9">
        <v>0</v>
      </c>
      <c r="M6" s="9">
        <v>346.10016283519997</v>
      </c>
      <c r="N6" s="9">
        <v>3452.9487699455999</v>
      </c>
      <c r="O6" s="9">
        <v>6069.6106512191982</v>
      </c>
      <c r="P6" s="9">
        <v>0</v>
      </c>
      <c r="Q6" s="9">
        <v>0</v>
      </c>
      <c r="R6" s="9">
        <v>0</v>
      </c>
      <c r="S6" s="9">
        <v>9868.6595839999991</v>
      </c>
      <c r="T6" s="9">
        <v>6069.6106512191982</v>
      </c>
      <c r="U6" s="9">
        <v>0</v>
      </c>
      <c r="V6">
        <v>0</v>
      </c>
    </row>
    <row r="7" spans="1:31" x14ac:dyDescent="0.25">
      <c r="A7" t="s">
        <v>91</v>
      </c>
      <c r="B7" t="s">
        <v>177</v>
      </c>
      <c r="C7" t="s">
        <v>175</v>
      </c>
      <c r="D7" s="4">
        <v>1</v>
      </c>
      <c r="E7" s="4">
        <v>0</v>
      </c>
      <c r="F7" s="9">
        <v>10089.280000000001</v>
      </c>
      <c r="G7" s="9">
        <v>1681.5466666666666</v>
      </c>
      <c r="H7" s="9">
        <v>11513.436181333334</v>
      </c>
      <c r="I7" s="9">
        <v>0</v>
      </c>
      <c r="J7" s="9">
        <v>5101.2</v>
      </c>
      <c r="K7" s="9">
        <v>9868.6595839999991</v>
      </c>
      <c r="L7" s="9">
        <v>0</v>
      </c>
      <c r="M7" s="9">
        <v>346.10016283519997</v>
      </c>
      <c r="N7" s="9">
        <v>3452.9487699455999</v>
      </c>
      <c r="O7" s="9">
        <v>6069.6106512191982</v>
      </c>
      <c r="P7" s="9">
        <v>0</v>
      </c>
      <c r="Q7" s="9">
        <v>0</v>
      </c>
      <c r="R7" s="9">
        <v>0</v>
      </c>
      <c r="S7" s="9">
        <v>9868.6595839999991</v>
      </c>
      <c r="T7" s="9">
        <v>6069.6106512191982</v>
      </c>
      <c r="U7" s="9">
        <v>0</v>
      </c>
      <c r="V7">
        <v>0</v>
      </c>
      <c r="X7" s="57" t="s">
        <v>376</v>
      </c>
      <c r="Y7" s="57"/>
      <c r="Z7" s="57"/>
      <c r="AA7" s="57"/>
      <c r="AB7" s="57"/>
      <c r="AC7" s="57"/>
      <c r="AD7" s="57"/>
      <c r="AE7" s="57"/>
    </row>
    <row r="8" spans="1:31" x14ac:dyDescent="0.25">
      <c r="A8" t="s">
        <v>91</v>
      </c>
      <c r="B8" t="s">
        <v>178</v>
      </c>
      <c r="C8" t="s">
        <v>175</v>
      </c>
      <c r="D8" s="4">
        <v>1</v>
      </c>
      <c r="E8" s="4">
        <v>0</v>
      </c>
      <c r="F8" s="9">
        <v>10089.280000000001</v>
      </c>
      <c r="G8" s="9">
        <v>1681.5466666666666</v>
      </c>
      <c r="H8" s="9">
        <v>11513.436181333334</v>
      </c>
      <c r="I8" s="9">
        <v>0</v>
      </c>
      <c r="J8" s="9">
        <v>5101.2</v>
      </c>
      <c r="K8" s="9">
        <v>9868.6595839999991</v>
      </c>
      <c r="L8" s="9">
        <v>0</v>
      </c>
      <c r="M8" s="9">
        <v>346.10016283519997</v>
      </c>
      <c r="N8" s="9">
        <v>3452.9487699455999</v>
      </c>
      <c r="O8" s="9">
        <v>6069.6106512191982</v>
      </c>
      <c r="P8" s="9">
        <v>0</v>
      </c>
      <c r="Q8" s="9">
        <v>0</v>
      </c>
      <c r="R8" s="9">
        <v>0</v>
      </c>
      <c r="S8" s="9">
        <v>9868.6595839999991</v>
      </c>
      <c r="T8" s="9">
        <v>6069.6106512191982</v>
      </c>
      <c r="U8" s="9">
        <v>0</v>
      </c>
      <c r="V8">
        <v>0</v>
      </c>
    </row>
    <row r="9" spans="1:31" x14ac:dyDescent="0.25">
      <c r="A9" t="s">
        <v>91</v>
      </c>
      <c r="B9" t="s">
        <v>179</v>
      </c>
      <c r="C9" t="s">
        <v>175</v>
      </c>
      <c r="D9" s="4">
        <v>1</v>
      </c>
      <c r="E9" s="4">
        <v>0</v>
      </c>
      <c r="F9" s="9">
        <v>10089.280000000001</v>
      </c>
      <c r="G9" s="9">
        <v>1681.5466666666666</v>
      </c>
      <c r="H9" s="9">
        <v>11513.436181333334</v>
      </c>
      <c r="I9" s="9">
        <v>0</v>
      </c>
      <c r="J9" s="9">
        <v>5101.2</v>
      </c>
      <c r="K9" s="9">
        <v>9868.6595839999991</v>
      </c>
      <c r="L9" s="9">
        <v>0</v>
      </c>
      <c r="M9" s="9">
        <v>346.10016283519997</v>
      </c>
      <c r="N9" s="9">
        <v>3452.9487699455999</v>
      </c>
      <c r="O9" s="9">
        <v>6069.6106512191982</v>
      </c>
      <c r="P9" s="9">
        <v>0</v>
      </c>
      <c r="Q9" s="9">
        <v>0</v>
      </c>
      <c r="R9" s="9">
        <v>0</v>
      </c>
      <c r="S9" s="9">
        <v>9868.6595839999991</v>
      </c>
      <c r="T9" s="9">
        <v>6069.6106512191982</v>
      </c>
      <c r="U9" s="9">
        <v>0</v>
      </c>
      <c r="V9">
        <v>0</v>
      </c>
    </row>
    <row r="10" spans="1:31" x14ac:dyDescent="0.25">
      <c r="A10" t="s">
        <v>91</v>
      </c>
      <c r="B10" t="s">
        <v>180</v>
      </c>
      <c r="C10" t="s">
        <v>175</v>
      </c>
      <c r="D10" s="4">
        <v>1</v>
      </c>
      <c r="E10" s="4">
        <v>0</v>
      </c>
      <c r="F10" s="9">
        <v>10089.280000000001</v>
      </c>
      <c r="G10" s="9">
        <v>1681.5466666666666</v>
      </c>
      <c r="H10" s="9">
        <v>11513.436181333334</v>
      </c>
      <c r="I10" s="9">
        <v>0</v>
      </c>
      <c r="J10" s="9">
        <v>5101.2</v>
      </c>
      <c r="K10" s="9">
        <v>9868.6595839999991</v>
      </c>
      <c r="L10" s="9">
        <v>0</v>
      </c>
      <c r="M10" s="9">
        <v>346.10016283519997</v>
      </c>
      <c r="N10" s="9">
        <v>3452.9487699455999</v>
      </c>
      <c r="O10" s="9">
        <v>6069.6106512191982</v>
      </c>
      <c r="P10" s="9">
        <v>0</v>
      </c>
      <c r="Q10" s="9">
        <v>0</v>
      </c>
      <c r="R10" s="9">
        <v>0</v>
      </c>
      <c r="S10" s="9">
        <v>9868.6595839999991</v>
      </c>
      <c r="T10" s="9">
        <v>6069.6106512191982</v>
      </c>
      <c r="U10" s="9">
        <v>0</v>
      </c>
      <c r="V10">
        <v>0</v>
      </c>
    </row>
    <row r="11" spans="1:31" x14ac:dyDescent="0.25">
      <c r="A11" t="s">
        <v>91</v>
      </c>
      <c r="B11" t="s">
        <v>183</v>
      </c>
      <c r="C11" t="s">
        <v>175</v>
      </c>
      <c r="D11" s="4">
        <v>1</v>
      </c>
      <c r="E11" s="4">
        <v>0</v>
      </c>
      <c r="F11" s="9">
        <v>10089.280000000001</v>
      </c>
      <c r="G11" s="9">
        <v>1681.5466666666666</v>
      </c>
      <c r="H11" s="9">
        <v>11513.436181333334</v>
      </c>
      <c r="I11" s="9">
        <v>0</v>
      </c>
      <c r="J11" s="9">
        <v>5101.2</v>
      </c>
      <c r="K11" s="9">
        <v>9868.6595839999991</v>
      </c>
      <c r="L11" s="9">
        <v>0</v>
      </c>
      <c r="M11" s="9">
        <v>346.10016283519997</v>
      </c>
      <c r="N11" s="9">
        <v>3452.9487699455999</v>
      </c>
      <c r="O11" s="9">
        <v>6069.6106512191982</v>
      </c>
      <c r="P11" s="9">
        <v>0</v>
      </c>
      <c r="Q11" s="9">
        <v>0</v>
      </c>
      <c r="R11" s="9">
        <v>0</v>
      </c>
      <c r="S11" s="9">
        <v>9868.6595839999991</v>
      </c>
      <c r="T11" s="9">
        <v>6069.6106512191982</v>
      </c>
      <c r="U11" s="9">
        <v>0</v>
      </c>
      <c r="V11">
        <v>0</v>
      </c>
    </row>
    <row r="12" spans="1:31" x14ac:dyDescent="0.25">
      <c r="A12" t="s">
        <v>91</v>
      </c>
      <c r="B12" t="s">
        <v>184</v>
      </c>
      <c r="C12" t="s">
        <v>175</v>
      </c>
      <c r="D12" s="4">
        <v>1</v>
      </c>
      <c r="E12" s="4">
        <v>0</v>
      </c>
      <c r="F12" s="9">
        <v>10089.280000000001</v>
      </c>
      <c r="G12" s="9">
        <v>1681.5466666666666</v>
      </c>
      <c r="H12" s="9">
        <v>11513.436181333334</v>
      </c>
      <c r="I12" s="9">
        <v>0</v>
      </c>
      <c r="J12" s="9">
        <v>5101.2</v>
      </c>
      <c r="K12" s="9">
        <v>9868.6595839999991</v>
      </c>
      <c r="L12" s="9">
        <v>0</v>
      </c>
      <c r="M12" s="9">
        <v>346.10016283519997</v>
      </c>
      <c r="N12" s="9">
        <v>3452.9487699455999</v>
      </c>
      <c r="O12" s="9">
        <v>6069.6106512191982</v>
      </c>
      <c r="P12" s="9">
        <v>0</v>
      </c>
      <c r="Q12" s="9">
        <v>0</v>
      </c>
      <c r="R12" s="9">
        <v>0</v>
      </c>
      <c r="S12" s="9">
        <v>9868.6595839999991</v>
      </c>
      <c r="T12" s="9">
        <v>6069.6106512191982</v>
      </c>
      <c r="U12" s="9">
        <v>0</v>
      </c>
      <c r="V12">
        <v>0</v>
      </c>
    </row>
    <row r="13" spans="1:31" x14ac:dyDescent="0.25">
      <c r="A13" t="s">
        <v>91</v>
      </c>
      <c r="B13" t="s">
        <v>185</v>
      </c>
      <c r="C13" t="s">
        <v>175</v>
      </c>
      <c r="D13" s="4">
        <v>1</v>
      </c>
      <c r="E13" s="4">
        <v>0</v>
      </c>
      <c r="F13" s="9">
        <v>10089.280000000001</v>
      </c>
      <c r="G13" s="9">
        <v>1681.5466666666666</v>
      </c>
      <c r="H13" s="9">
        <v>11513.436181333334</v>
      </c>
      <c r="I13" s="9">
        <v>0</v>
      </c>
      <c r="J13" s="9">
        <v>5101.2</v>
      </c>
      <c r="K13" s="9">
        <v>9868.6595839999991</v>
      </c>
      <c r="L13" s="9">
        <v>0</v>
      </c>
      <c r="M13" s="9">
        <v>346.10016283519997</v>
      </c>
      <c r="N13" s="9">
        <v>3452.9487699455999</v>
      </c>
      <c r="O13" s="9">
        <v>6069.6106512191982</v>
      </c>
      <c r="P13" s="9">
        <v>0</v>
      </c>
      <c r="Q13" s="9">
        <v>0</v>
      </c>
      <c r="R13" s="9">
        <v>0</v>
      </c>
      <c r="S13" s="9">
        <v>9868.6595839999991</v>
      </c>
      <c r="T13" s="9">
        <v>6069.6106512191982</v>
      </c>
      <c r="U13" s="9">
        <v>0</v>
      </c>
      <c r="V13">
        <v>0</v>
      </c>
    </row>
    <row r="14" spans="1:31" x14ac:dyDescent="0.25">
      <c r="A14" t="s">
        <v>91</v>
      </c>
      <c r="B14" t="s">
        <v>186</v>
      </c>
      <c r="C14" t="s">
        <v>175</v>
      </c>
      <c r="D14" s="4">
        <v>1</v>
      </c>
      <c r="E14" s="4">
        <v>0</v>
      </c>
      <c r="F14" s="9">
        <v>10089.280000000001</v>
      </c>
      <c r="G14" s="9">
        <v>1681.5466666666666</v>
      </c>
      <c r="H14" s="9">
        <v>11513.436181333334</v>
      </c>
      <c r="I14" s="9">
        <v>0</v>
      </c>
      <c r="J14" s="9">
        <v>5101.2</v>
      </c>
      <c r="K14" s="9">
        <v>9868.6595839999991</v>
      </c>
      <c r="L14" s="9">
        <v>0</v>
      </c>
      <c r="M14" s="9">
        <v>346.10016283519997</v>
      </c>
      <c r="N14" s="9">
        <v>3452.9487699455999</v>
      </c>
      <c r="O14" s="9">
        <v>6069.6106512191982</v>
      </c>
      <c r="P14" s="9">
        <v>0</v>
      </c>
      <c r="Q14" s="9">
        <v>0</v>
      </c>
      <c r="R14" s="9">
        <v>0</v>
      </c>
      <c r="S14" s="9">
        <v>9868.6595839999991</v>
      </c>
      <c r="T14" s="9">
        <v>6069.6106512191982</v>
      </c>
      <c r="U14" s="9">
        <v>0</v>
      </c>
      <c r="V14">
        <v>0</v>
      </c>
    </row>
    <row r="15" spans="1:31" x14ac:dyDescent="0.25">
      <c r="A15" t="s">
        <v>91</v>
      </c>
      <c r="B15" t="s">
        <v>187</v>
      </c>
      <c r="C15" t="s">
        <v>175</v>
      </c>
      <c r="D15" s="4">
        <v>1</v>
      </c>
      <c r="E15" s="4">
        <v>0</v>
      </c>
      <c r="F15" s="9">
        <v>10089.280000000001</v>
      </c>
      <c r="G15" s="9">
        <v>1681.5466666666666</v>
      </c>
      <c r="H15" s="9">
        <v>11513.436181333334</v>
      </c>
      <c r="I15" s="9">
        <v>0</v>
      </c>
      <c r="J15" s="9">
        <v>5101.2</v>
      </c>
      <c r="K15" s="9">
        <v>9868.6595839999991</v>
      </c>
      <c r="L15" s="9">
        <v>0</v>
      </c>
      <c r="M15" s="9">
        <v>346.10016283519997</v>
      </c>
      <c r="N15" s="9">
        <v>3452.9487699455999</v>
      </c>
      <c r="O15" s="9">
        <v>6069.6106512191982</v>
      </c>
      <c r="P15" s="9">
        <v>0</v>
      </c>
      <c r="Q15" s="9">
        <v>0</v>
      </c>
      <c r="R15" s="9">
        <v>0</v>
      </c>
      <c r="S15" s="9">
        <v>9868.6595839999991</v>
      </c>
      <c r="T15" s="9">
        <v>6069.6106512191982</v>
      </c>
      <c r="U15" s="9">
        <v>0</v>
      </c>
      <c r="V15">
        <v>0</v>
      </c>
    </row>
    <row r="16" spans="1:31" x14ac:dyDescent="0.25">
      <c r="A16" t="s">
        <v>91</v>
      </c>
      <c r="B16" t="s">
        <v>189</v>
      </c>
      <c r="C16" t="s">
        <v>175</v>
      </c>
      <c r="D16" s="4">
        <v>1</v>
      </c>
      <c r="E16" s="4">
        <v>0</v>
      </c>
      <c r="F16" s="9">
        <v>10089.280000000001</v>
      </c>
      <c r="G16" s="9">
        <v>1681.5466666666666</v>
      </c>
      <c r="H16" s="9">
        <v>11513.436181333334</v>
      </c>
      <c r="I16" s="9">
        <v>0</v>
      </c>
      <c r="J16" s="9">
        <v>5101.2</v>
      </c>
      <c r="K16" s="9">
        <v>9868.6595839999991</v>
      </c>
      <c r="L16" s="9">
        <v>0</v>
      </c>
      <c r="M16" s="9">
        <v>346.10016283519997</v>
      </c>
      <c r="N16" s="9">
        <v>3452.9487699455999</v>
      </c>
      <c r="O16" s="9">
        <v>6069.6106512191982</v>
      </c>
      <c r="P16" s="9">
        <v>0</v>
      </c>
      <c r="Q16" s="9">
        <v>0</v>
      </c>
      <c r="R16" s="9">
        <v>0</v>
      </c>
      <c r="S16" s="9">
        <v>9868.6595839999991</v>
      </c>
      <c r="T16" s="9">
        <v>6069.6106512191982</v>
      </c>
      <c r="U16" s="9">
        <v>0</v>
      </c>
      <c r="V16">
        <v>0</v>
      </c>
    </row>
    <row r="17" spans="1:22" x14ac:dyDescent="0.25">
      <c r="A17" t="s">
        <v>96</v>
      </c>
      <c r="B17" t="s">
        <v>173</v>
      </c>
      <c r="C17" t="s">
        <v>175</v>
      </c>
      <c r="D17" s="4">
        <v>1</v>
      </c>
      <c r="E17" s="4">
        <v>0</v>
      </c>
      <c r="F17" s="9">
        <v>12478.096000000001</v>
      </c>
      <c r="G17" s="9">
        <v>2079.6826666666666</v>
      </c>
      <c r="H17" s="9">
        <v>14803.693333333335</v>
      </c>
      <c r="I17" s="9">
        <v>0</v>
      </c>
      <c r="J17" s="9">
        <v>5101.2</v>
      </c>
      <c r="K17" s="9">
        <v>12688.879999999997</v>
      </c>
      <c r="L17" s="9">
        <v>0</v>
      </c>
      <c r="M17" s="9">
        <v>353.99677999999994</v>
      </c>
      <c r="N17" s="9">
        <v>4808.2045299999991</v>
      </c>
      <c r="O17" s="9">
        <v>7526.6786899999988</v>
      </c>
      <c r="P17" s="9">
        <v>0</v>
      </c>
      <c r="Q17" s="9">
        <v>0</v>
      </c>
      <c r="R17" s="9">
        <v>0</v>
      </c>
      <c r="S17" s="9">
        <v>12688.879999999997</v>
      </c>
      <c r="T17" s="9">
        <v>7526.6786899999988</v>
      </c>
      <c r="U17" s="9">
        <v>0</v>
      </c>
      <c r="V17">
        <v>0</v>
      </c>
    </row>
    <row r="18" spans="1:22" x14ac:dyDescent="0.25">
      <c r="A18" t="s">
        <v>96</v>
      </c>
      <c r="B18" t="s">
        <v>176</v>
      </c>
      <c r="C18" t="s">
        <v>175</v>
      </c>
      <c r="D18" s="4">
        <v>1</v>
      </c>
      <c r="E18" s="4">
        <v>0</v>
      </c>
      <c r="F18" s="9">
        <v>12478.096000000001</v>
      </c>
      <c r="G18" s="9">
        <v>2079.6826666666666</v>
      </c>
      <c r="H18" s="9">
        <v>14803.693333333335</v>
      </c>
      <c r="I18" s="9">
        <v>0</v>
      </c>
      <c r="J18" s="9">
        <v>5101.2</v>
      </c>
      <c r="K18" s="9">
        <v>12688.879999999997</v>
      </c>
      <c r="L18" s="9">
        <v>0</v>
      </c>
      <c r="M18" s="9">
        <v>353.99677999999994</v>
      </c>
      <c r="N18" s="9">
        <v>4808.2045299999991</v>
      </c>
      <c r="O18" s="9">
        <v>7526.6786899999988</v>
      </c>
      <c r="P18" s="9">
        <v>0</v>
      </c>
      <c r="Q18" s="9">
        <v>0</v>
      </c>
      <c r="R18" s="9">
        <v>0</v>
      </c>
      <c r="S18" s="9">
        <v>12688.879999999997</v>
      </c>
      <c r="T18" s="9">
        <v>7526.6786899999988</v>
      </c>
      <c r="U18" s="9">
        <v>0</v>
      </c>
      <c r="V18">
        <v>0</v>
      </c>
    </row>
    <row r="19" spans="1:22" x14ac:dyDescent="0.25">
      <c r="A19" t="s">
        <v>96</v>
      </c>
      <c r="B19" t="s">
        <v>177</v>
      </c>
      <c r="C19" t="s">
        <v>175</v>
      </c>
      <c r="D19" s="4">
        <v>1</v>
      </c>
      <c r="E19" s="4">
        <v>0</v>
      </c>
      <c r="F19" s="9">
        <v>12478.096000000001</v>
      </c>
      <c r="G19" s="9">
        <v>2079.6826666666666</v>
      </c>
      <c r="H19" s="9">
        <v>14803.693333333335</v>
      </c>
      <c r="I19" s="9">
        <v>0</v>
      </c>
      <c r="J19" s="9">
        <v>5101.2</v>
      </c>
      <c r="K19" s="9">
        <v>12688.879999999997</v>
      </c>
      <c r="L19" s="9">
        <v>0</v>
      </c>
      <c r="M19" s="9">
        <v>353.99677999999994</v>
      </c>
      <c r="N19" s="9">
        <v>4808.2045299999991</v>
      </c>
      <c r="O19" s="9">
        <v>7526.6786899999988</v>
      </c>
      <c r="P19" s="9">
        <v>0</v>
      </c>
      <c r="Q19" s="9">
        <v>0</v>
      </c>
      <c r="R19" s="9">
        <v>0</v>
      </c>
      <c r="S19" s="9">
        <v>12688.879999999997</v>
      </c>
      <c r="T19" s="9">
        <v>7526.6786899999988</v>
      </c>
      <c r="U19" s="9">
        <v>0</v>
      </c>
      <c r="V19">
        <v>0</v>
      </c>
    </row>
    <row r="20" spans="1:22" x14ac:dyDescent="0.25">
      <c r="A20" t="s">
        <v>96</v>
      </c>
      <c r="B20" t="s">
        <v>178</v>
      </c>
      <c r="C20" t="s">
        <v>175</v>
      </c>
      <c r="D20" s="4">
        <v>1</v>
      </c>
      <c r="E20" s="4">
        <v>0</v>
      </c>
      <c r="F20" s="9">
        <v>12478.096000000001</v>
      </c>
      <c r="G20" s="9">
        <v>2079.6826666666666</v>
      </c>
      <c r="H20" s="9">
        <v>14803.693333333335</v>
      </c>
      <c r="I20" s="9">
        <v>0</v>
      </c>
      <c r="J20" s="9">
        <v>5101.2</v>
      </c>
      <c r="K20" s="9">
        <v>12688.879999999997</v>
      </c>
      <c r="L20" s="9">
        <v>0</v>
      </c>
      <c r="M20" s="9">
        <v>353.99677999999994</v>
      </c>
      <c r="N20" s="9">
        <v>4808.2045299999991</v>
      </c>
      <c r="O20" s="9">
        <v>7526.6786899999988</v>
      </c>
      <c r="P20" s="9">
        <v>0</v>
      </c>
      <c r="Q20" s="9">
        <v>0</v>
      </c>
      <c r="R20" s="9">
        <v>0</v>
      </c>
      <c r="S20" s="9">
        <v>12688.879999999997</v>
      </c>
      <c r="T20" s="9">
        <v>7526.6786899999988</v>
      </c>
      <c r="U20" s="9">
        <v>0</v>
      </c>
      <c r="V20">
        <v>0</v>
      </c>
    </row>
    <row r="21" spans="1:22" x14ac:dyDescent="0.25">
      <c r="A21" t="s">
        <v>96</v>
      </c>
      <c r="B21" t="s">
        <v>179</v>
      </c>
      <c r="C21" t="s">
        <v>175</v>
      </c>
      <c r="D21" s="4">
        <v>1</v>
      </c>
      <c r="E21" s="4">
        <v>0</v>
      </c>
      <c r="F21" s="9">
        <v>12478.096000000001</v>
      </c>
      <c r="G21" s="9">
        <v>2079.6826666666666</v>
      </c>
      <c r="H21" s="9">
        <v>14803.693333333335</v>
      </c>
      <c r="I21" s="9">
        <v>0</v>
      </c>
      <c r="J21" s="9">
        <v>5101.2</v>
      </c>
      <c r="K21" s="9">
        <v>12688.879999999997</v>
      </c>
      <c r="L21" s="9">
        <v>0</v>
      </c>
      <c r="M21" s="9">
        <v>353.99677999999994</v>
      </c>
      <c r="N21" s="9">
        <v>4808.2045299999991</v>
      </c>
      <c r="O21" s="9">
        <v>7526.6786899999988</v>
      </c>
      <c r="P21" s="9">
        <v>0</v>
      </c>
      <c r="Q21" s="9">
        <v>0</v>
      </c>
      <c r="R21" s="9">
        <v>0</v>
      </c>
      <c r="S21" s="9">
        <v>12688.879999999997</v>
      </c>
      <c r="T21" s="9">
        <v>7526.6786899999988</v>
      </c>
      <c r="U21" s="9">
        <v>0</v>
      </c>
      <c r="V21">
        <v>0</v>
      </c>
    </row>
    <row r="22" spans="1:22" x14ac:dyDescent="0.25">
      <c r="A22" t="s">
        <v>96</v>
      </c>
      <c r="B22" t="s">
        <v>180</v>
      </c>
      <c r="C22" t="s">
        <v>175</v>
      </c>
      <c r="D22" s="4">
        <v>1</v>
      </c>
      <c r="E22" s="4">
        <v>0</v>
      </c>
      <c r="F22" s="9">
        <v>12478.096000000001</v>
      </c>
      <c r="G22" s="9">
        <v>2079.6826666666666</v>
      </c>
      <c r="H22" s="9">
        <v>14803.693333333335</v>
      </c>
      <c r="I22" s="9">
        <v>0</v>
      </c>
      <c r="J22" s="9">
        <v>5101.2</v>
      </c>
      <c r="K22" s="9">
        <v>12688.879999999997</v>
      </c>
      <c r="L22" s="9">
        <v>0</v>
      </c>
      <c r="M22" s="9">
        <v>353.99677999999994</v>
      </c>
      <c r="N22" s="9">
        <v>4808.2045299999991</v>
      </c>
      <c r="O22" s="9">
        <v>7526.6786899999988</v>
      </c>
      <c r="P22" s="9">
        <v>0</v>
      </c>
      <c r="Q22" s="9">
        <v>0</v>
      </c>
      <c r="R22" s="9">
        <v>0</v>
      </c>
      <c r="S22" s="9">
        <v>12688.879999999997</v>
      </c>
      <c r="T22" s="9">
        <v>7526.6786899999988</v>
      </c>
      <c r="U22" s="9">
        <v>0</v>
      </c>
      <c r="V22">
        <v>0</v>
      </c>
    </row>
    <row r="23" spans="1:22" x14ac:dyDescent="0.25">
      <c r="A23" t="s">
        <v>96</v>
      </c>
      <c r="B23" t="s">
        <v>183</v>
      </c>
      <c r="C23" t="s">
        <v>175</v>
      </c>
      <c r="D23" s="4">
        <v>1</v>
      </c>
      <c r="E23" s="4">
        <v>0</v>
      </c>
      <c r="F23" s="9">
        <v>12478.096000000001</v>
      </c>
      <c r="G23" s="9">
        <v>2079.6826666666666</v>
      </c>
      <c r="H23" s="9">
        <v>14803.693333333335</v>
      </c>
      <c r="I23" s="9">
        <v>0</v>
      </c>
      <c r="J23" s="9">
        <v>5101.2</v>
      </c>
      <c r="K23" s="9">
        <v>12688.879999999997</v>
      </c>
      <c r="L23" s="9">
        <v>0</v>
      </c>
      <c r="M23" s="9">
        <v>353.99677999999994</v>
      </c>
      <c r="N23" s="9">
        <v>4808.2045299999991</v>
      </c>
      <c r="O23" s="9">
        <v>7526.6786899999988</v>
      </c>
      <c r="P23" s="9">
        <v>0</v>
      </c>
      <c r="Q23" s="9">
        <v>0</v>
      </c>
      <c r="R23" s="9">
        <v>0</v>
      </c>
      <c r="S23" s="9">
        <v>12688.879999999997</v>
      </c>
      <c r="T23" s="9">
        <v>7526.6786899999988</v>
      </c>
      <c r="U23" s="9">
        <v>0</v>
      </c>
      <c r="V23">
        <v>0</v>
      </c>
    </row>
    <row r="24" spans="1:22" x14ac:dyDescent="0.25">
      <c r="A24" t="s">
        <v>96</v>
      </c>
      <c r="B24" t="s">
        <v>184</v>
      </c>
      <c r="C24" t="s">
        <v>175</v>
      </c>
      <c r="D24" s="4">
        <v>1</v>
      </c>
      <c r="E24" s="4">
        <v>0</v>
      </c>
      <c r="F24" s="9">
        <v>12478.096000000001</v>
      </c>
      <c r="G24" s="9">
        <v>2079.6826666666666</v>
      </c>
      <c r="H24" s="9">
        <v>14803.693333333335</v>
      </c>
      <c r="I24" s="9">
        <v>0</v>
      </c>
      <c r="J24" s="9">
        <v>5101.2</v>
      </c>
      <c r="K24" s="9">
        <v>12688.879999999997</v>
      </c>
      <c r="L24" s="9">
        <v>0</v>
      </c>
      <c r="M24" s="9">
        <v>353.99677999999994</v>
      </c>
      <c r="N24" s="9">
        <v>4808.2045299999991</v>
      </c>
      <c r="O24" s="9">
        <v>7526.6786899999988</v>
      </c>
      <c r="P24" s="9">
        <v>0</v>
      </c>
      <c r="Q24" s="9">
        <v>0</v>
      </c>
      <c r="R24" s="9">
        <v>0</v>
      </c>
      <c r="S24" s="9">
        <v>12688.879999999997</v>
      </c>
      <c r="T24" s="9">
        <v>7526.6786899999988</v>
      </c>
      <c r="U24" s="9">
        <v>0</v>
      </c>
      <c r="V24">
        <v>0</v>
      </c>
    </row>
    <row r="25" spans="1:22" x14ac:dyDescent="0.25">
      <c r="A25" t="s">
        <v>96</v>
      </c>
      <c r="B25" t="s">
        <v>185</v>
      </c>
      <c r="C25" t="s">
        <v>175</v>
      </c>
      <c r="D25" s="4">
        <v>1</v>
      </c>
      <c r="E25" s="4">
        <v>0</v>
      </c>
      <c r="F25" s="9">
        <v>12478.096000000001</v>
      </c>
      <c r="G25" s="9">
        <v>2079.6826666666666</v>
      </c>
      <c r="H25" s="9">
        <v>14803.693333333335</v>
      </c>
      <c r="I25" s="9">
        <v>0</v>
      </c>
      <c r="J25" s="9">
        <v>5101.2</v>
      </c>
      <c r="K25" s="9">
        <v>12688.879999999997</v>
      </c>
      <c r="L25" s="9">
        <v>0</v>
      </c>
      <c r="M25" s="9">
        <v>353.99677999999994</v>
      </c>
      <c r="N25" s="9">
        <v>4808.2045299999991</v>
      </c>
      <c r="O25" s="9">
        <v>7526.6786899999988</v>
      </c>
      <c r="P25" s="9">
        <v>0</v>
      </c>
      <c r="Q25" s="9">
        <v>0</v>
      </c>
      <c r="R25" s="9">
        <v>0</v>
      </c>
      <c r="S25" s="9">
        <v>12688.879999999997</v>
      </c>
      <c r="T25" s="9">
        <v>7526.6786899999988</v>
      </c>
      <c r="U25" s="9">
        <v>0</v>
      </c>
      <c r="V25">
        <v>0</v>
      </c>
    </row>
    <row r="26" spans="1:22" x14ac:dyDescent="0.25">
      <c r="A26" t="s">
        <v>96</v>
      </c>
      <c r="B26" t="s">
        <v>186</v>
      </c>
      <c r="C26" t="s">
        <v>175</v>
      </c>
      <c r="D26" s="4">
        <v>1</v>
      </c>
      <c r="E26" s="4">
        <v>0</v>
      </c>
      <c r="F26" s="9">
        <v>12478.096000000001</v>
      </c>
      <c r="G26" s="9">
        <v>2079.6826666666666</v>
      </c>
      <c r="H26" s="9">
        <v>14803.693333333335</v>
      </c>
      <c r="I26" s="9">
        <v>0</v>
      </c>
      <c r="J26" s="9">
        <v>5101.2</v>
      </c>
      <c r="K26" s="9">
        <v>12688.879999999997</v>
      </c>
      <c r="L26" s="9">
        <v>0</v>
      </c>
      <c r="M26" s="9">
        <v>353.99677999999994</v>
      </c>
      <c r="N26" s="9">
        <v>4808.2045299999991</v>
      </c>
      <c r="O26" s="9">
        <v>7526.6786899999988</v>
      </c>
      <c r="P26" s="9">
        <v>0</v>
      </c>
      <c r="Q26" s="9">
        <v>0</v>
      </c>
      <c r="R26" s="9">
        <v>0</v>
      </c>
      <c r="S26" s="9">
        <v>12688.879999999997</v>
      </c>
      <c r="T26" s="9">
        <v>7526.6786899999988</v>
      </c>
      <c r="U26" s="9">
        <v>0</v>
      </c>
      <c r="V26">
        <v>0</v>
      </c>
    </row>
    <row r="27" spans="1:22" x14ac:dyDescent="0.25">
      <c r="A27" t="s">
        <v>96</v>
      </c>
      <c r="B27" t="s">
        <v>187</v>
      </c>
      <c r="C27" t="s">
        <v>175</v>
      </c>
      <c r="D27" s="4">
        <v>1</v>
      </c>
      <c r="E27" s="4">
        <v>0</v>
      </c>
      <c r="F27" s="9">
        <v>12478.096000000001</v>
      </c>
      <c r="G27" s="9">
        <v>2079.6826666666666</v>
      </c>
      <c r="H27" s="9">
        <v>14803.693333333335</v>
      </c>
      <c r="I27" s="9">
        <v>0</v>
      </c>
      <c r="J27" s="9">
        <v>5101.2</v>
      </c>
      <c r="K27" s="9">
        <v>12688.879999999997</v>
      </c>
      <c r="L27" s="9">
        <v>0</v>
      </c>
      <c r="M27" s="9">
        <v>353.99677999999994</v>
      </c>
      <c r="N27" s="9">
        <v>4808.2045299999991</v>
      </c>
      <c r="O27" s="9">
        <v>7526.6786899999988</v>
      </c>
      <c r="P27" s="9">
        <v>0</v>
      </c>
      <c r="Q27" s="9">
        <v>0</v>
      </c>
      <c r="R27" s="9">
        <v>0</v>
      </c>
      <c r="S27" s="9">
        <v>12688.879999999997</v>
      </c>
      <c r="T27" s="9">
        <v>7526.6786899999988</v>
      </c>
      <c r="U27" s="9">
        <v>0</v>
      </c>
      <c r="V27">
        <v>0</v>
      </c>
    </row>
    <row r="28" spans="1:22" x14ac:dyDescent="0.25">
      <c r="A28" t="s">
        <v>96</v>
      </c>
      <c r="B28" t="s">
        <v>189</v>
      </c>
      <c r="C28" t="s">
        <v>175</v>
      </c>
      <c r="D28" s="4">
        <v>1</v>
      </c>
      <c r="E28" s="4">
        <v>0</v>
      </c>
      <c r="F28" s="9">
        <v>12478.096000000001</v>
      </c>
      <c r="G28" s="9">
        <v>2079.6826666666666</v>
      </c>
      <c r="H28" s="9">
        <v>14803.693333333335</v>
      </c>
      <c r="I28" s="9">
        <v>0</v>
      </c>
      <c r="J28" s="9">
        <v>5101.2</v>
      </c>
      <c r="K28" s="9">
        <v>12688.879999999997</v>
      </c>
      <c r="L28" s="9">
        <v>0</v>
      </c>
      <c r="M28" s="9">
        <v>353.99677999999994</v>
      </c>
      <c r="N28" s="9">
        <v>4808.2045299999991</v>
      </c>
      <c r="O28" s="9">
        <v>7526.6786899999988</v>
      </c>
      <c r="P28" s="9">
        <v>0</v>
      </c>
      <c r="Q28" s="9">
        <v>0</v>
      </c>
      <c r="R28" s="9">
        <v>0</v>
      </c>
      <c r="S28" s="9">
        <v>12688.879999999997</v>
      </c>
      <c r="T28" s="9">
        <v>7526.6786899999988</v>
      </c>
      <c r="U28" s="9">
        <v>0</v>
      </c>
      <c r="V28">
        <v>0</v>
      </c>
    </row>
    <row r="29" spans="1:22" x14ac:dyDescent="0.25">
      <c r="A29" t="s">
        <v>98</v>
      </c>
      <c r="B29" t="s">
        <v>173</v>
      </c>
      <c r="C29" t="s">
        <v>175</v>
      </c>
      <c r="D29" s="4">
        <v>1</v>
      </c>
      <c r="E29" s="4">
        <v>0</v>
      </c>
      <c r="F29" s="9">
        <v>1385.731</v>
      </c>
      <c r="G29" s="9">
        <v>230.95516666666666</v>
      </c>
      <c r="H29" s="9">
        <v>1568.0750925000002</v>
      </c>
      <c r="I29" s="9">
        <v>0</v>
      </c>
      <c r="J29" s="9">
        <v>5101.2</v>
      </c>
      <c r="K29" s="9">
        <v>1344.0643650000002</v>
      </c>
      <c r="L29" s="9">
        <v>0</v>
      </c>
      <c r="M29" s="9">
        <v>101.92488101250001</v>
      </c>
      <c r="N29" s="9">
        <v>90.321125328000008</v>
      </c>
      <c r="O29" s="9">
        <v>1151.8183586595001</v>
      </c>
      <c r="P29" s="9">
        <v>0</v>
      </c>
      <c r="Q29" s="9">
        <v>0</v>
      </c>
      <c r="R29" s="9">
        <v>0</v>
      </c>
      <c r="S29" s="9">
        <v>1344.0643650000002</v>
      </c>
      <c r="T29" s="9">
        <v>1151.8183586595001</v>
      </c>
      <c r="U29" s="9">
        <v>0</v>
      </c>
      <c r="V29">
        <v>0</v>
      </c>
    </row>
    <row r="30" spans="1:22" x14ac:dyDescent="0.25">
      <c r="A30" t="s">
        <v>98</v>
      </c>
      <c r="B30" t="s">
        <v>176</v>
      </c>
      <c r="C30" t="s">
        <v>175</v>
      </c>
      <c r="D30" s="4">
        <v>1</v>
      </c>
      <c r="E30" s="4">
        <v>0</v>
      </c>
      <c r="F30" s="9">
        <v>1385.731</v>
      </c>
      <c r="G30" s="9">
        <v>230.95516666666666</v>
      </c>
      <c r="H30" s="9">
        <v>1568.0750925000002</v>
      </c>
      <c r="I30" s="9">
        <v>0</v>
      </c>
      <c r="J30" s="9">
        <v>5101.2</v>
      </c>
      <c r="K30" s="9">
        <v>1344.0643650000002</v>
      </c>
      <c r="L30" s="9">
        <v>0</v>
      </c>
      <c r="M30" s="9">
        <v>101.92488101250001</v>
      </c>
      <c r="N30" s="9">
        <v>90.321125328000008</v>
      </c>
      <c r="O30" s="9">
        <v>1151.8183586595001</v>
      </c>
      <c r="P30" s="9">
        <v>0</v>
      </c>
      <c r="Q30" s="9">
        <v>0</v>
      </c>
      <c r="R30" s="9">
        <v>0</v>
      </c>
      <c r="S30" s="9">
        <v>1344.0643650000002</v>
      </c>
      <c r="T30" s="9">
        <v>1151.8183586595001</v>
      </c>
      <c r="U30" s="9">
        <v>0</v>
      </c>
      <c r="V30">
        <v>0</v>
      </c>
    </row>
    <row r="31" spans="1:22" x14ac:dyDescent="0.25">
      <c r="A31" t="s">
        <v>98</v>
      </c>
      <c r="B31" t="s">
        <v>177</v>
      </c>
      <c r="C31" t="s">
        <v>175</v>
      </c>
      <c r="D31" s="4">
        <v>1</v>
      </c>
      <c r="E31" s="4">
        <v>0</v>
      </c>
      <c r="F31" s="9">
        <v>1385.731</v>
      </c>
      <c r="G31" s="9">
        <v>230.95516666666666</v>
      </c>
      <c r="H31" s="9">
        <v>1568.0750925000002</v>
      </c>
      <c r="I31" s="9">
        <v>0</v>
      </c>
      <c r="J31" s="9">
        <v>5101.2</v>
      </c>
      <c r="K31" s="9">
        <v>1344.0643650000002</v>
      </c>
      <c r="L31" s="9">
        <v>0</v>
      </c>
      <c r="M31" s="9">
        <v>101.92488101250001</v>
      </c>
      <c r="N31" s="9">
        <v>90.321125328000008</v>
      </c>
      <c r="O31" s="9">
        <v>1151.8183586595001</v>
      </c>
      <c r="P31" s="9">
        <v>0</v>
      </c>
      <c r="Q31" s="9">
        <v>0</v>
      </c>
      <c r="R31" s="9">
        <v>0</v>
      </c>
      <c r="S31" s="9">
        <v>1344.0643650000002</v>
      </c>
      <c r="T31" s="9">
        <v>1151.8183586595001</v>
      </c>
      <c r="U31" s="9">
        <v>0</v>
      </c>
      <c r="V31">
        <v>0</v>
      </c>
    </row>
    <row r="32" spans="1:22" x14ac:dyDescent="0.25">
      <c r="A32" t="s">
        <v>98</v>
      </c>
      <c r="B32" t="s">
        <v>178</v>
      </c>
      <c r="C32" t="s">
        <v>175</v>
      </c>
      <c r="D32" s="4">
        <v>1</v>
      </c>
      <c r="E32" s="4">
        <v>0</v>
      </c>
      <c r="F32" s="9">
        <v>1385.731</v>
      </c>
      <c r="G32" s="9">
        <v>230.95516666666666</v>
      </c>
      <c r="H32" s="9">
        <v>1568.0750925000002</v>
      </c>
      <c r="I32" s="9">
        <v>0</v>
      </c>
      <c r="J32" s="9">
        <v>5101.2</v>
      </c>
      <c r="K32" s="9">
        <v>1344.0643650000002</v>
      </c>
      <c r="L32" s="9">
        <v>0</v>
      </c>
      <c r="M32" s="9">
        <v>101.92488101250001</v>
      </c>
      <c r="N32" s="9">
        <v>90.321125328000008</v>
      </c>
      <c r="O32" s="9">
        <v>1151.8183586595001</v>
      </c>
      <c r="P32" s="9">
        <v>0</v>
      </c>
      <c r="Q32" s="9">
        <v>0</v>
      </c>
      <c r="R32" s="9">
        <v>0</v>
      </c>
      <c r="S32" s="9">
        <v>1344.0643650000002</v>
      </c>
      <c r="T32" s="9">
        <v>1151.8183586595001</v>
      </c>
      <c r="U32" s="9">
        <v>0</v>
      </c>
      <c r="V32">
        <v>0</v>
      </c>
    </row>
    <row r="33" spans="1:22" x14ac:dyDescent="0.25">
      <c r="A33" t="s">
        <v>98</v>
      </c>
      <c r="B33" t="s">
        <v>179</v>
      </c>
      <c r="C33" t="s">
        <v>175</v>
      </c>
      <c r="D33" s="4">
        <v>1</v>
      </c>
      <c r="E33" s="4">
        <v>0</v>
      </c>
      <c r="F33" s="9">
        <v>1385.731</v>
      </c>
      <c r="G33" s="9">
        <v>230.95516666666666</v>
      </c>
      <c r="H33" s="9">
        <v>1568.0750925000002</v>
      </c>
      <c r="I33" s="9">
        <v>0</v>
      </c>
      <c r="J33" s="9">
        <v>5101.2</v>
      </c>
      <c r="K33" s="9">
        <v>1344.0643650000002</v>
      </c>
      <c r="L33" s="9">
        <v>0</v>
      </c>
      <c r="M33" s="9">
        <v>101.92488101250001</v>
      </c>
      <c r="N33" s="9">
        <v>90.321125328000008</v>
      </c>
      <c r="O33" s="9">
        <v>1151.8183586595001</v>
      </c>
      <c r="P33" s="9">
        <v>0</v>
      </c>
      <c r="Q33" s="9">
        <v>0</v>
      </c>
      <c r="R33" s="9">
        <v>0</v>
      </c>
      <c r="S33" s="9">
        <v>1344.0643650000002</v>
      </c>
      <c r="T33" s="9">
        <v>1151.8183586595001</v>
      </c>
      <c r="U33" s="9">
        <v>0</v>
      </c>
      <c r="V33">
        <v>0</v>
      </c>
    </row>
    <row r="34" spans="1:22" x14ac:dyDescent="0.25">
      <c r="A34" t="s">
        <v>98</v>
      </c>
      <c r="B34" t="s">
        <v>180</v>
      </c>
      <c r="C34" t="s">
        <v>175</v>
      </c>
      <c r="D34" s="4">
        <v>1</v>
      </c>
      <c r="E34" s="4">
        <v>0</v>
      </c>
      <c r="F34" s="9">
        <v>1385.731</v>
      </c>
      <c r="G34" s="9">
        <v>230.95516666666666</v>
      </c>
      <c r="H34" s="9">
        <v>1568.0750925000002</v>
      </c>
      <c r="I34" s="9">
        <v>0</v>
      </c>
      <c r="J34" s="9">
        <v>5101.2</v>
      </c>
      <c r="K34" s="9">
        <v>1344.0643650000002</v>
      </c>
      <c r="L34" s="9">
        <v>0</v>
      </c>
      <c r="M34" s="9">
        <v>101.92488101250001</v>
      </c>
      <c r="N34" s="9">
        <v>90.321125328000008</v>
      </c>
      <c r="O34" s="9">
        <v>1151.8183586595001</v>
      </c>
      <c r="P34" s="9">
        <v>0</v>
      </c>
      <c r="Q34" s="9">
        <v>0</v>
      </c>
      <c r="R34" s="9">
        <v>0</v>
      </c>
      <c r="S34" s="9">
        <v>1344.0643650000002</v>
      </c>
      <c r="T34" s="9">
        <v>1151.8183586595001</v>
      </c>
      <c r="U34" s="9">
        <v>0</v>
      </c>
      <c r="V34">
        <v>0</v>
      </c>
    </row>
    <row r="35" spans="1:22" x14ac:dyDescent="0.25">
      <c r="A35" t="s">
        <v>98</v>
      </c>
      <c r="B35" t="s">
        <v>183</v>
      </c>
      <c r="C35" t="s">
        <v>175</v>
      </c>
      <c r="D35" s="4">
        <v>1</v>
      </c>
      <c r="E35" s="4">
        <v>0</v>
      </c>
      <c r="F35" s="9">
        <v>1385.731</v>
      </c>
      <c r="G35" s="9">
        <v>230.95516666666666</v>
      </c>
      <c r="H35" s="9">
        <v>1568.0750925000002</v>
      </c>
      <c r="I35" s="9">
        <v>0</v>
      </c>
      <c r="J35" s="9">
        <v>5101.2</v>
      </c>
      <c r="K35" s="9">
        <v>1344.0643650000002</v>
      </c>
      <c r="L35" s="9">
        <v>0</v>
      </c>
      <c r="M35" s="9">
        <v>101.92488101250001</v>
      </c>
      <c r="N35" s="9">
        <v>90.321125328000008</v>
      </c>
      <c r="O35" s="9">
        <v>1151.8183586595001</v>
      </c>
      <c r="P35" s="9">
        <v>0</v>
      </c>
      <c r="Q35" s="9">
        <v>0</v>
      </c>
      <c r="R35" s="9">
        <v>0</v>
      </c>
      <c r="S35" s="9">
        <v>1344.0643650000002</v>
      </c>
      <c r="T35" s="9">
        <v>1151.8183586595001</v>
      </c>
      <c r="U35" s="9">
        <v>0</v>
      </c>
      <c r="V35">
        <v>0</v>
      </c>
    </row>
    <row r="36" spans="1:22" x14ac:dyDescent="0.25">
      <c r="A36" t="s">
        <v>98</v>
      </c>
      <c r="B36" t="s">
        <v>184</v>
      </c>
      <c r="C36" t="s">
        <v>175</v>
      </c>
      <c r="D36" s="4">
        <v>1</v>
      </c>
      <c r="E36" s="4">
        <v>0</v>
      </c>
      <c r="F36" s="9">
        <v>1385.731</v>
      </c>
      <c r="G36" s="9">
        <v>230.95516666666666</v>
      </c>
      <c r="H36" s="9">
        <v>1568.0750925000002</v>
      </c>
      <c r="I36" s="9">
        <v>0</v>
      </c>
      <c r="J36" s="9">
        <v>5101.2</v>
      </c>
      <c r="K36" s="9">
        <v>1344.0643650000002</v>
      </c>
      <c r="L36" s="9">
        <v>0</v>
      </c>
      <c r="M36" s="9">
        <v>101.92488101250001</v>
      </c>
      <c r="N36" s="9">
        <v>90.321125328000008</v>
      </c>
      <c r="O36" s="9">
        <v>1151.8183586595001</v>
      </c>
      <c r="P36" s="9">
        <v>0</v>
      </c>
      <c r="Q36" s="9">
        <v>0</v>
      </c>
      <c r="R36" s="9">
        <v>0</v>
      </c>
      <c r="S36" s="9">
        <v>1344.0643650000002</v>
      </c>
      <c r="T36" s="9">
        <v>1151.8183586595001</v>
      </c>
      <c r="U36" s="9">
        <v>0</v>
      </c>
      <c r="V36">
        <v>0</v>
      </c>
    </row>
    <row r="37" spans="1:22" x14ac:dyDescent="0.25">
      <c r="A37" t="s">
        <v>98</v>
      </c>
      <c r="B37" t="s">
        <v>185</v>
      </c>
      <c r="C37" t="s">
        <v>175</v>
      </c>
      <c r="D37" s="4">
        <v>1</v>
      </c>
      <c r="E37" s="4">
        <v>0</v>
      </c>
      <c r="F37" s="9">
        <v>1385.731</v>
      </c>
      <c r="G37" s="9">
        <v>230.95516666666666</v>
      </c>
      <c r="H37" s="9">
        <v>1568.0750925000002</v>
      </c>
      <c r="I37" s="9">
        <v>0</v>
      </c>
      <c r="J37" s="9">
        <v>5101.2</v>
      </c>
      <c r="K37" s="9">
        <v>1344.0643650000002</v>
      </c>
      <c r="L37" s="9">
        <v>0</v>
      </c>
      <c r="M37" s="9">
        <v>101.92488101250001</v>
      </c>
      <c r="N37" s="9">
        <v>90.321125328000008</v>
      </c>
      <c r="O37" s="9">
        <v>1151.8183586595001</v>
      </c>
      <c r="P37" s="9">
        <v>0</v>
      </c>
      <c r="Q37" s="9">
        <v>0</v>
      </c>
      <c r="R37" s="9">
        <v>0</v>
      </c>
      <c r="S37" s="9">
        <v>1344.0643650000002</v>
      </c>
      <c r="T37" s="9">
        <v>1151.8183586595001</v>
      </c>
      <c r="U37" s="9">
        <v>0</v>
      </c>
      <c r="V37">
        <v>0</v>
      </c>
    </row>
    <row r="38" spans="1:22" x14ac:dyDescent="0.25">
      <c r="A38" t="s">
        <v>98</v>
      </c>
      <c r="B38" t="s">
        <v>186</v>
      </c>
      <c r="C38" t="s">
        <v>175</v>
      </c>
      <c r="D38" s="4">
        <v>1</v>
      </c>
      <c r="E38" s="4">
        <v>0</v>
      </c>
      <c r="F38" s="9">
        <v>1385.731</v>
      </c>
      <c r="G38" s="9">
        <v>230.95516666666666</v>
      </c>
      <c r="H38" s="9">
        <v>1568.0750925000002</v>
      </c>
      <c r="I38" s="9">
        <v>0</v>
      </c>
      <c r="J38" s="9">
        <v>5101.2</v>
      </c>
      <c r="K38" s="9">
        <v>1344.0643650000002</v>
      </c>
      <c r="L38" s="9">
        <v>0</v>
      </c>
      <c r="M38" s="9">
        <v>101.92488101250001</v>
      </c>
      <c r="N38" s="9">
        <v>90.321125328000008</v>
      </c>
      <c r="O38" s="9">
        <v>1151.8183586595001</v>
      </c>
      <c r="P38" s="9">
        <v>0</v>
      </c>
      <c r="Q38" s="9">
        <v>0</v>
      </c>
      <c r="R38" s="9">
        <v>0</v>
      </c>
      <c r="S38" s="9">
        <v>1344.0643650000002</v>
      </c>
      <c r="T38" s="9">
        <v>1151.8183586595001</v>
      </c>
      <c r="U38" s="9">
        <v>0</v>
      </c>
      <c r="V38">
        <v>0</v>
      </c>
    </row>
    <row r="39" spans="1:22" x14ac:dyDescent="0.25">
      <c r="A39" t="s">
        <v>98</v>
      </c>
      <c r="B39" t="s">
        <v>187</v>
      </c>
      <c r="C39" t="s">
        <v>175</v>
      </c>
      <c r="D39" s="4">
        <v>1</v>
      </c>
      <c r="E39" s="4">
        <v>0</v>
      </c>
      <c r="F39" s="9">
        <v>1385.731</v>
      </c>
      <c r="G39" s="9">
        <v>230.95516666666666</v>
      </c>
      <c r="H39" s="9">
        <v>1568.0750925000002</v>
      </c>
      <c r="I39" s="9">
        <v>0</v>
      </c>
      <c r="J39" s="9">
        <v>5101.2</v>
      </c>
      <c r="K39" s="9">
        <v>1344.0643650000002</v>
      </c>
      <c r="L39" s="9">
        <v>0</v>
      </c>
      <c r="M39" s="9">
        <v>101.92488101250001</v>
      </c>
      <c r="N39" s="9">
        <v>90.321125328000008</v>
      </c>
      <c r="O39" s="9">
        <v>1151.8183586595001</v>
      </c>
      <c r="P39" s="9">
        <v>0</v>
      </c>
      <c r="Q39" s="9">
        <v>0</v>
      </c>
      <c r="R39" s="9">
        <v>0</v>
      </c>
      <c r="S39" s="9">
        <v>1344.0643650000002</v>
      </c>
      <c r="T39" s="9">
        <v>1151.8183586595001</v>
      </c>
      <c r="U39" s="9">
        <v>0</v>
      </c>
      <c r="V39">
        <v>0</v>
      </c>
    </row>
    <row r="40" spans="1:22" x14ac:dyDescent="0.25">
      <c r="A40" t="s">
        <v>98</v>
      </c>
      <c r="B40" t="s">
        <v>189</v>
      </c>
      <c r="C40" t="s">
        <v>175</v>
      </c>
      <c r="D40" s="4">
        <v>1</v>
      </c>
      <c r="E40" s="4">
        <v>0</v>
      </c>
      <c r="F40" s="9">
        <v>1385.731</v>
      </c>
      <c r="G40" s="9">
        <v>230.95516666666666</v>
      </c>
      <c r="H40" s="9">
        <v>1568.0750925000002</v>
      </c>
      <c r="I40" s="9">
        <v>0</v>
      </c>
      <c r="J40" s="9">
        <v>5101.2</v>
      </c>
      <c r="K40" s="9">
        <v>1344.0643650000002</v>
      </c>
      <c r="L40" s="9">
        <v>0</v>
      </c>
      <c r="M40" s="9">
        <v>101.92488101250001</v>
      </c>
      <c r="N40" s="9">
        <v>90.321125328000008</v>
      </c>
      <c r="O40" s="9">
        <v>1151.8183586595001</v>
      </c>
      <c r="P40" s="9">
        <v>0</v>
      </c>
      <c r="Q40" s="9">
        <v>0</v>
      </c>
      <c r="R40" s="9">
        <v>0</v>
      </c>
      <c r="S40" s="9">
        <v>1344.0643650000002</v>
      </c>
      <c r="T40" s="9">
        <v>1151.8183586595001</v>
      </c>
      <c r="U40" s="9">
        <v>0</v>
      </c>
      <c r="V40">
        <v>0</v>
      </c>
    </row>
    <row r="41" spans="1:22" x14ac:dyDescent="0.25">
      <c r="A41" t="s">
        <v>100</v>
      </c>
      <c r="B41" t="s">
        <v>173</v>
      </c>
      <c r="C41" t="s">
        <v>175</v>
      </c>
      <c r="D41" s="4">
        <v>1</v>
      </c>
      <c r="E41" s="4">
        <v>0</v>
      </c>
      <c r="F41" s="9">
        <v>3853.152</v>
      </c>
      <c r="G41" s="9">
        <v>642.19200000000001</v>
      </c>
      <c r="H41" s="9">
        <v>4605.8863200000005</v>
      </c>
      <c r="I41" s="9">
        <v>0</v>
      </c>
      <c r="J41" s="9">
        <v>5101.2</v>
      </c>
      <c r="K41" s="9">
        <v>3947.90256</v>
      </c>
      <c r="L41" s="9">
        <v>0</v>
      </c>
      <c r="M41" s="9">
        <v>299.38261080000001</v>
      </c>
      <c r="N41" s="9">
        <v>930.52063339199992</v>
      </c>
      <c r="O41" s="9">
        <v>2717.9993158080001</v>
      </c>
      <c r="P41" s="9">
        <v>0</v>
      </c>
      <c r="Q41" s="9">
        <v>0</v>
      </c>
      <c r="R41" s="9">
        <v>0</v>
      </c>
      <c r="S41" s="9">
        <v>3947.90256</v>
      </c>
      <c r="T41" s="9">
        <v>2717.9993158080001</v>
      </c>
      <c r="U41" s="9">
        <v>0</v>
      </c>
      <c r="V41">
        <v>0</v>
      </c>
    </row>
    <row r="42" spans="1:22" x14ac:dyDescent="0.25">
      <c r="A42" t="s">
        <v>100</v>
      </c>
      <c r="B42" t="s">
        <v>176</v>
      </c>
      <c r="C42" t="s">
        <v>175</v>
      </c>
      <c r="D42" s="4">
        <v>1</v>
      </c>
      <c r="E42" s="4">
        <v>0</v>
      </c>
      <c r="F42" s="9">
        <v>3853.152</v>
      </c>
      <c r="G42" s="9">
        <v>642.19200000000001</v>
      </c>
      <c r="H42" s="9">
        <v>4605.8863200000005</v>
      </c>
      <c r="I42" s="9">
        <v>0</v>
      </c>
      <c r="J42" s="9">
        <v>5101.2</v>
      </c>
      <c r="K42" s="9">
        <v>3947.90256</v>
      </c>
      <c r="L42" s="9">
        <v>0</v>
      </c>
      <c r="M42" s="9">
        <v>299.38261080000001</v>
      </c>
      <c r="N42" s="9">
        <v>930.52063339199992</v>
      </c>
      <c r="O42" s="9">
        <v>2717.9993158080001</v>
      </c>
      <c r="P42" s="9">
        <v>0</v>
      </c>
      <c r="Q42" s="9">
        <v>0</v>
      </c>
      <c r="R42" s="9">
        <v>0</v>
      </c>
      <c r="S42" s="9">
        <v>3947.90256</v>
      </c>
      <c r="T42" s="9">
        <v>2717.9993158080001</v>
      </c>
      <c r="U42" s="9">
        <v>0</v>
      </c>
      <c r="V42">
        <v>0</v>
      </c>
    </row>
    <row r="43" spans="1:22" x14ac:dyDescent="0.25">
      <c r="A43" t="s">
        <v>100</v>
      </c>
      <c r="B43" t="s">
        <v>177</v>
      </c>
      <c r="C43" t="s">
        <v>175</v>
      </c>
      <c r="D43" s="4">
        <v>1</v>
      </c>
      <c r="E43" s="4">
        <v>0</v>
      </c>
      <c r="F43" s="9">
        <v>3853.152</v>
      </c>
      <c r="G43" s="9">
        <v>642.19200000000001</v>
      </c>
      <c r="H43" s="9">
        <v>4605.8863200000005</v>
      </c>
      <c r="I43" s="9">
        <v>0</v>
      </c>
      <c r="J43" s="9">
        <v>5101.2</v>
      </c>
      <c r="K43" s="9">
        <v>3947.90256</v>
      </c>
      <c r="L43" s="9">
        <v>0</v>
      </c>
      <c r="M43" s="9">
        <v>299.38261080000001</v>
      </c>
      <c r="N43" s="9">
        <v>930.52063339199992</v>
      </c>
      <c r="O43" s="9">
        <v>2717.9993158080001</v>
      </c>
      <c r="P43" s="9">
        <v>0</v>
      </c>
      <c r="Q43" s="9">
        <v>0</v>
      </c>
      <c r="R43" s="9">
        <v>0</v>
      </c>
      <c r="S43" s="9">
        <v>3947.90256</v>
      </c>
      <c r="T43" s="9">
        <v>2717.9993158080001</v>
      </c>
      <c r="U43" s="9">
        <v>0</v>
      </c>
      <c r="V43">
        <v>0</v>
      </c>
    </row>
    <row r="44" spans="1:22" x14ac:dyDescent="0.25">
      <c r="A44" t="s">
        <v>100</v>
      </c>
      <c r="B44" t="s">
        <v>178</v>
      </c>
      <c r="C44" t="s">
        <v>175</v>
      </c>
      <c r="D44" s="4">
        <v>1</v>
      </c>
      <c r="E44" s="4">
        <v>0</v>
      </c>
      <c r="F44" s="9">
        <v>3853.152</v>
      </c>
      <c r="G44" s="9">
        <v>642.19200000000001</v>
      </c>
      <c r="H44" s="9">
        <v>4605.8863200000005</v>
      </c>
      <c r="I44" s="9">
        <v>0</v>
      </c>
      <c r="J44" s="9">
        <v>5101.2</v>
      </c>
      <c r="K44" s="9">
        <v>3947.90256</v>
      </c>
      <c r="L44" s="9">
        <v>0</v>
      </c>
      <c r="M44" s="9">
        <v>299.38261080000001</v>
      </c>
      <c r="N44" s="9">
        <v>930.52063339199992</v>
      </c>
      <c r="O44" s="9">
        <v>2717.9993158080001</v>
      </c>
      <c r="P44" s="9">
        <v>0</v>
      </c>
      <c r="Q44" s="9">
        <v>0</v>
      </c>
      <c r="R44" s="9">
        <v>0</v>
      </c>
      <c r="S44" s="9">
        <v>3947.90256</v>
      </c>
      <c r="T44" s="9">
        <v>2717.9993158080001</v>
      </c>
      <c r="U44" s="9">
        <v>0</v>
      </c>
      <c r="V44">
        <v>0</v>
      </c>
    </row>
    <row r="45" spans="1:22" x14ac:dyDescent="0.25">
      <c r="A45" t="s">
        <v>100</v>
      </c>
      <c r="B45" t="s">
        <v>179</v>
      </c>
      <c r="C45" t="s">
        <v>175</v>
      </c>
      <c r="D45" s="4">
        <v>1</v>
      </c>
      <c r="E45" s="4">
        <v>0</v>
      </c>
      <c r="F45" s="9">
        <v>3853.152</v>
      </c>
      <c r="G45" s="9">
        <v>642.19200000000001</v>
      </c>
      <c r="H45" s="9">
        <v>4605.8863200000005</v>
      </c>
      <c r="I45" s="9">
        <v>0</v>
      </c>
      <c r="J45" s="9">
        <v>5101.2</v>
      </c>
      <c r="K45" s="9">
        <v>3947.90256</v>
      </c>
      <c r="L45" s="9">
        <v>0</v>
      </c>
      <c r="M45" s="9">
        <v>299.38261080000001</v>
      </c>
      <c r="N45" s="9">
        <v>930.52063339199992</v>
      </c>
      <c r="O45" s="9">
        <v>2717.9993158080001</v>
      </c>
      <c r="P45" s="9">
        <v>0</v>
      </c>
      <c r="Q45" s="9">
        <v>0</v>
      </c>
      <c r="R45" s="9">
        <v>0</v>
      </c>
      <c r="S45" s="9">
        <v>3947.90256</v>
      </c>
      <c r="T45" s="9">
        <v>2717.9993158080001</v>
      </c>
      <c r="U45" s="9">
        <v>0</v>
      </c>
      <c r="V45">
        <v>0</v>
      </c>
    </row>
    <row r="46" spans="1:22" x14ac:dyDescent="0.25">
      <c r="A46" t="s">
        <v>100</v>
      </c>
      <c r="B46" t="s">
        <v>180</v>
      </c>
      <c r="C46" t="s">
        <v>175</v>
      </c>
      <c r="D46" s="4">
        <v>1</v>
      </c>
      <c r="E46" s="4">
        <v>0</v>
      </c>
      <c r="F46" s="9">
        <v>3853.152</v>
      </c>
      <c r="G46" s="9">
        <v>642.19200000000001</v>
      </c>
      <c r="H46" s="9">
        <v>4605.8863200000005</v>
      </c>
      <c r="I46" s="9">
        <v>0</v>
      </c>
      <c r="J46" s="9">
        <v>5101.2</v>
      </c>
      <c r="K46" s="9">
        <v>3947.90256</v>
      </c>
      <c r="L46" s="9">
        <v>0</v>
      </c>
      <c r="M46" s="9">
        <v>299.38261080000001</v>
      </c>
      <c r="N46" s="9">
        <v>930.52063339199992</v>
      </c>
      <c r="O46" s="9">
        <v>2717.9993158080001</v>
      </c>
      <c r="P46" s="9">
        <v>0</v>
      </c>
      <c r="Q46" s="9">
        <v>0</v>
      </c>
      <c r="R46" s="9">
        <v>0</v>
      </c>
      <c r="S46" s="9">
        <v>3947.90256</v>
      </c>
      <c r="T46" s="9">
        <v>2717.9993158080001</v>
      </c>
      <c r="U46" s="9">
        <v>0</v>
      </c>
      <c r="V46">
        <v>0</v>
      </c>
    </row>
    <row r="47" spans="1:22" x14ac:dyDescent="0.25">
      <c r="A47" t="s">
        <v>100</v>
      </c>
      <c r="B47" t="s">
        <v>183</v>
      </c>
      <c r="C47" t="s">
        <v>175</v>
      </c>
      <c r="D47" s="4">
        <v>1</v>
      </c>
      <c r="E47" s="4">
        <v>0</v>
      </c>
      <c r="F47" s="9">
        <v>3853.152</v>
      </c>
      <c r="G47" s="9">
        <v>642.19200000000001</v>
      </c>
      <c r="H47" s="9">
        <v>4605.8863200000005</v>
      </c>
      <c r="I47" s="9">
        <v>0</v>
      </c>
      <c r="J47" s="9">
        <v>5101.2</v>
      </c>
      <c r="K47" s="9">
        <v>3947.90256</v>
      </c>
      <c r="L47" s="9">
        <v>0</v>
      </c>
      <c r="M47" s="9">
        <v>299.38261080000001</v>
      </c>
      <c r="N47" s="9">
        <v>930.52063339199992</v>
      </c>
      <c r="O47" s="9">
        <v>2717.9993158080001</v>
      </c>
      <c r="P47" s="9">
        <v>0</v>
      </c>
      <c r="Q47" s="9">
        <v>0</v>
      </c>
      <c r="R47" s="9">
        <v>0</v>
      </c>
      <c r="S47" s="9">
        <v>3947.90256</v>
      </c>
      <c r="T47" s="9">
        <v>2717.9993158080001</v>
      </c>
      <c r="U47" s="9">
        <v>0</v>
      </c>
      <c r="V47">
        <v>0</v>
      </c>
    </row>
    <row r="48" spans="1:22" x14ac:dyDescent="0.25">
      <c r="A48" t="s">
        <v>100</v>
      </c>
      <c r="B48" t="s">
        <v>184</v>
      </c>
      <c r="C48" t="s">
        <v>175</v>
      </c>
      <c r="D48" s="4">
        <v>1</v>
      </c>
      <c r="E48" s="4">
        <v>0</v>
      </c>
      <c r="F48" s="9">
        <v>3853.152</v>
      </c>
      <c r="G48" s="9">
        <v>642.19200000000001</v>
      </c>
      <c r="H48" s="9">
        <v>4605.8863200000005</v>
      </c>
      <c r="I48" s="9">
        <v>0</v>
      </c>
      <c r="J48" s="9">
        <v>5101.2</v>
      </c>
      <c r="K48" s="9">
        <v>3947.90256</v>
      </c>
      <c r="L48" s="9">
        <v>0</v>
      </c>
      <c r="M48" s="9">
        <v>299.38261080000001</v>
      </c>
      <c r="N48" s="9">
        <v>930.52063339199992</v>
      </c>
      <c r="O48" s="9">
        <v>2717.9993158080001</v>
      </c>
      <c r="P48" s="9">
        <v>0</v>
      </c>
      <c r="Q48" s="9">
        <v>0</v>
      </c>
      <c r="R48" s="9">
        <v>0</v>
      </c>
      <c r="S48" s="9">
        <v>3947.90256</v>
      </c>
      <c r="T48" s="9">
        <v>2717.9993158080001</v>
      </c>
      <c r="U48" s="9">
        <v>0</v>
      </c>
      <c r="V48">
        <v>0</v>
      </c>
    </row>
    <row r="49" spans="1:22" x14ac:dyDescent="0.25">
      <c r="A49" t="s">
        <v>100</v>
      </c>
      <c r="B49" t="s">
        <v>185</v>
      </c>
      <c r="C49" t="s">
        <v>175</v>
      </c>
      <c r="D49" s="4">
        <v>1</v>
      </c>
      <c r="E49" s="4">
        <v>0</v>
      </c>
      <c r="F49" s="9">
        <v>3853.152</v>
      </c>
      <c r="G49" s="9">
        <v>642.19200000000001</v>
      </c>
      <c r="H49" s="9">
        <v>4605.8863200000005</v>
      </c>
      <c r="I49" s="9">
        <v>0</v>
      </c>
      <c r="J49" s="9">
        <v>5101.2</v>
      </c>
      <c r="K49" s="9">
        <v>3947.90256</v>
      </c>
      <c r="L49" s="9">
        <v>0</v>
      </c>
      <c r="M49" s="9">
        <v>299.38261080000001</v>
      </c>
      <c r="N49" s="9">
        <v>930.52063339199992</v>
      </c>
      <c r="O49" s="9">
        <v>2717.9993158080001</v>
      </c>
      <c r="P49" s="9">
        <v>0</v>
      </c>
      <c r="Q49" s="9">
        <v>0</v>
      </c>
      <c r="R49" s="9">
        <v>0</v>
      </c>
      <c r="S49" s="9">
        <v>3947.90256</v>
      </c>
      <c r="T49" s="9">
        <v>2717.9993158080001</v>
      </c>
      <c r="U49" s="9">
        <v>0</v>
      </c>
      <c r="V49">
        <v>0</v>
      </c>
    </row>
    <row r="50" spans="1:22" x14ac:dyDescent="0.25">
      <c r="A50" t="s">
        <v>100</v>
      </c>
      <c r="B50" t="s">
        <v>186</v>
      </c>
      <c r="C50" t="s">
        <v>175</v>
      </c>
      <c r="D50" s="4">
        <v>1</v>
      </c>
      <c r="E50" s="4">
        <v>0</v>
      </c>
      <c r="F50" s="9">
        <v>3853.152</v>
      </c>
      <c r="G50" s="9">
        <v>642.19200000000001</v>
      </c>
      <c r="H50" s="9">
        <v>4605.8863200000005</v>
      </c>
      <c r="I50" s="9">
        <v>0</v>
      </c>
      <c r="J50" s="9">
        <v>5101.2</v>
      </c>
      <c r="K50" s="9">
        <v>3947.90256</v>
      </c>
      <c r="L50" s="9">
        <v>0</v>
      </c>
      <c r="M50" s="9">
        <v>299.38261080000001</v>
      </c>
      <c r="N50" s="9">
        <v>930.52063339199992</v>
      </c>
      <c r="O50" s="9">
        <v>2717.9993158080001</v>
      </c>
      <c r="P50" s="9">
        <v>0</v>
      </c>
      <c r="Q50" s="9">
        <v>0</v>
      </c>
      <c r="R50" s="9">
        <v>0</v>
      </c>
      <c r="S50" s="9">
        <v>3947.90256</v>
      </c>
      <c r="T50" s="9">
        <v>2717.9993158080001</v>
      </c>
      <c r="U50" s="9">
        <v>0</v>
      </c>
      <c r="V50">
        <v>0</v>
      </c>
    </row>
    <row r="51" spans="1:22" x14ac:dyDescent="0.25">
      <c r="A51" t="s">
        <v>100</v>
      </c>
      <c r="B51" t="s">
        <v>187</v>
      </c>
      <c r="C51" t="s">
        <v>175</v>
      </c>
      <c r="D51" s="4">
        <v>1</v>
      </c>
      <c r="E51" s="4">
        <v>0</v>
      </c>
      <c r="F51" s="9">
        <v>3853.152</v>
      </c>
      <c r="G51" s="9">
        <v>642.19200000000001</v>
      </c>
      <c r="H51" s="9">
        <v>4605.8863200000005</v>
      </c>
      <c r="I51" s="9">
        <v>0</v>
      </c>
      <c r="J51" s="9">
        <v>5101.2</v>
      </c>
      <c r="K51" s="9">
        <v>3947.90256</v>
      </c>
      <c r="L51" s="9">
        <v>0</v>
      </c>
      <c r="M51" s="9">
        <v>299.38261080000001</v>
      </c>
      <c r="N51" s="9">
        <v>930.52063339199992</v>
      </c>
      <c r="O51" s="9">
        <v>2717.9993158080001</v>
      </c>
      <c r="P51" s="9">
        <v>0</v>
      </c>
      <c r="Q51" s="9">
        <v>0</v>
      </c>
      <c r="R51" s="9">
        <v>0</v>
      </c>
      <c r="S51" s="9">
        <v>3947.90256</v>
      </c>
      <c r="T51" s="9">
        <v>2717.9993158080001</v>
      </c>
      <c r="U51" s="9">
        <v>0</v>
      </c>
      <c r="V51">
        <v>0</v>
      </c>
    </row>
    <row r="52" spans="1:22" x14ac:dyDescent="0.25">
      <c r="A52" t="s">
        <v>100</v>
      </c>
      <c r="B52" t="s">
        <v>189</v>
      </c>
      <c r="C52" t="s">
        <v>175</v>
      </c>
      <c r="D52" s="4">
        <v>1</v>
      </c>
      <c r="E52" s="4">
        <v>0</v>
      </c>
      <c r="F52" s="9">
        <v>3853.152</v>
      </c>
      <c r="G52" s="9">
        <v>642.19200000000001</v>
      </c>
      <c r="H52" s="9">
        <v>4605.8863200000005</v>
      </c>
      <c r="I52" s="9">
        <v>0</v>
      </c>
      <c r="J52" s="9">
        <v>5101.2</v>
      </c>
      <c r="K52" s="9">
        <v>3947.90256</v>
      </c>
      <c r="L52" s="9">
        <v>0</v>
      </c>
      <c r="M52" s="9">
        <v>299.38261080000001</v>
      </c>
      <c r="N52" s="9">
        <v>930.52063339199992</v>
      </c>
      <c r="O52" s="9">
        <v>2717.9993158080001</v>
      </c>
      <c r="P52" s="9">
        <v>0</v>
      </c>
      <c r="Q52" s="9">
        <v>0</v>
      </c>
      <c r="R52" s="9">
        <v>0</v>
      </c>
      <c r="S52" s="9">
        <v>3947.90256</v>
      </c>
      <c r="T52" s="9">
        <v>2717.9993158080001</v>
      </c>
      <c r="U52" s="9">
        <v>0</v>
      </c>
      <c r="V52">
        <v>0</v>
      </c>
    </row>
    <row r="53" spans="1:22" x14ac:dyDescent="0.25">
      <c r="A53" t="s">
        <v>102</v>
      </c>
      <c r="B53" t="s">
        <v>173</v>
      </c>
      <c r="C53" t="s">
        <v>175</v>
      </c>
      <c r="D53" s="4">
        <v>1</v>
      </c>
      <c r="E53" s="4">
        <v>0</v>
      </c>
      <c r="F53" s="9">
        <v>1495.3439999999998</v>
      </c>
      <c r="G53" s="9">
        <v>249.22399999999996</v>
      </c>
      <c r="H53" s="9">
        <v>1718.7798599999999</v>
      </c>
      <c r="I53" s="9">
        <v>0</v>
      </c>
      <c r="J53" s="9">
        <v>5101.2</v>
      </c>
      <c r="K53" s="9">
        <v>1473.2398799999999</v>
      </c>
      <c r="L53" s="9">
        <v>0</v>
      </c>
      <c r="M53" s="9">
        <v>111.72069089999998</v>
      </c>
      <c r="N53" s="9">
        <v>139.95778859999999</v>
      </c>
      <c r="O53" s="9">
        <v>1221.5614005</v>
      </c>
      <c r="P53" s="9">
        <v>0</v>
      </c>
      <c r="Q53" s="9">
        <v>0</v>
      </c>
      <c r="R53" s="9">
        <v>0</v>
      </c>
      <c r="S53" s="9">
        <v>1473.2398799999999</v>
      </c>
      <c r="T53" s="9">
        <v>1221.5614005</v>
      </c>
      <c r="U53" s="9">
        <v>0</v>
      </c>
      <c r="V53">
        <v>0</v>
      </c>
    </row>
    <row r="54" spans="1:22" x14ac:dyDescent="0.25">
      <c r="A54" t="s">
        <v>102</v>
      </c>
      <c r="B54" t="s">
        <v>176</v>
      </c>
      <c r="C54" t="s">
        <v>175</v>
      </c>
      <c r="D54" s="4">
        <v>1</v>
      </c>
      <c r="E54" s="4">
        <v>0</v>
      </c>
      <c r="F54" s="9">
        <v>1495.3439999999998</v>
      </c>
      <c r="G54" s="9">
        <v>249.22399999999996</v>
      </c>
      <c r="H54" s="9">
        <v>1718.7798599999999</v>
      </c>
      <c r="I54" s="9">
        <v>0</v>
      </c>
      <c r="J54" s="9">
        <v>5101.2</v>
      </c>
      <c r="K54" s="9">
        <v>1473.2398799999999</v>
      </c>
      <c r="L54" s="9">
        <v>0</v>
      </c>
      <c r="M54" s="9">
        <v>111.72069089999998</v>
      </c>
      <c r="N54" s="9">
        <v>139.95778859999999</v>
      </c>
      <c r="O54" s="9">
        <v>1221.5614005</v>
      </c>
      <c r="P54" s="9">
        <v>0</v>
      </c>
      <c r="Q54" s="9">
        <v>0</v>
      </c>
      <c r="R54" s="9">
        <v>0</v>
      </c>
      <c r="S54" s="9">
        <v>1473.2398799999999</v>
      </c>
      <c r="T54" s="9">
        <v>1221.5614005</v>
      </c>
      <c r="U54" s="9">
        <v>0</v>
      </c>
      <c r="V54">
        <v>0</v>
      </c>
    </row>
    <row r="55" spans="1:22" x14ac:dyDescent="0.25">
      <c r="A55" t="s">
        <v>102</v>
      </c>
      <c r="B55" t="s">
        <v>177</v>
      </c>
      <c r="C55" t="s">
        <v>175</v>
      </c>
      <c r="D55" s="4">
        <v>1</v>
      </c>
      <c r="E55" s="4">
        <v>0</v>
      </c>
      <c r="F55" s="9">
        <v>1495.3439999999998</v>
      </c>
      <c r="G55" s="9">
        <v>249.22399999999996</v>
      </c>
      <c r="H55" s="9">
        <v>1718.7798599999999</v>
      </c>
      <c r="I55" s="9">
        <v>0</v>
      </c>
      <c r="J55" s="9">
        <v>5101.2</v>
      </c>
      <c r="K55" s="9">
        <v>1473.2398799999999</v>
      </c>
      <c r="L55" s="9">
        <v>0</v>
      </c>
      <c r="M55" s="9">
        <v>111.72069089999998</v>
      </c>
      <c r="N55" s="9">
        <v>139.95778859999999</v>
      </c>
      <c r="O55" s="9">
        <v>1221.5614005</v>
      </c>
      <c r="P55" s="9">
        <v>0</v>
      </c>
      <c r="Q55" s="9">
        <v>0</v>
      </c>
      <c r="R55" s="9">
        <v>0</v>
      </c>
      <c r="S55" s="9">
        <v>1473.2398799999999</v>
      </c>
      <c r="T55" s="9">
        <v>1221.5614005</v>
      </c>
      <c r="U55" s="9">
        <v>0</v>
      </c>
      <c r="V55">
        <v>0</v>
      </c>
    </row>
    <row r="56" spans="1:22" x14ac:dyDescent="0.25">
      <c r="A56" t="s">
        <v>102</v>
      </c>
      <c r="B56" t="s">
        <v>178</v>
      </c>
      <c r="C56" t="s">
        <v>175</v>
      </c>
      <c r="D56" s="4">
        <v>1</v>
      </c>
      <c r="E56" s="4">
        <v>0</v>
      </c>
      <c r="F56" s="9">
        <v>1495.3439999999998</v>
      </c>
      <c r="G56" s="9">
        <v>249.22399999999996</v>
      </c>
      <c r="H56" s="9">
        <v>1718.7798599999999</v>
      </c>
      <c r="I56" s="9">
        <v>0</v>
      </c>
      <c r="J56" s="9">
        <v>5101.2</v>
      </c>
      <c r="K56" s="9">
        <v>1473.2398799999999</v>
      </c>
      <c r="L56" s="9">
        <v>0</v>
      </c>
      <c r="M56" s="9">
        <v>111.72069089999998</v>
      </c>
      <c r="N56" s="9">
        <v>139.95778859999999</v>
      </c>
      <c r="O56" s="9">
        <v>1221.5614005</v>
      </c>
      <c r="P56" s="9">
        <v>0</v>
      </c>
      <c r="Q56" s="9">
        <v>0</v>
      </c>
      <c r="R56" s="9">
        <v>0</v>
      </c>
      <c r="S56" s="9">
        <v>1473.2398799999999</v>
      </c>
      <c r="T56" s="9">
        <v>1221.5614005</v>
      </c>
      <c r="U56" s="9">
        <v>0</v>
      </c>
      <c r="V56">
        <v>0</v>
      </c>
    </row>
    <row r="57" spans="1:22" x14ac:dyDescent="0.25">
      <c r="A57" t="s">
        <v>102</v>
      </c>
      <c r="B57" t="s">
        <v>179</v>
      </c>
      <c r="C57" t="s">
        <v>175</v>
      </c>
      <c r="D57" s="4">
        <v>1</v>
      </c>
      <c r="E57" s="4">
        <v>0</v>
      </c>
      <c r="F57" s="9">
        <v>1495.3439999999998</v>
      </c>
      <c r="G57" s="9">
        <v>249.22399999999996</v>
      </c>
      <c r="H57" s="9">
        <v>1718.7798599999999</v>
      </c>
      <c r="I57" s="9">
        <v>0</v>
      </c>
      <c r="J57" s="9">
        <v>5101.2</v>
      </c>
      <c r="K57" s="9">
        <v>1473.2398799999999</v>
      </c>
      <c r="L57" s="9">
        <v>0</v>
      </c>
      <c r="M57" s="9">
        <v>111.72069089999998</v>
      </c>
      <c r="N57" s="9">
        <v>139.95778859999999</v>
      </c>
      <c r="O57" s="9">
        <v>1221.5614005</v>
      </c>
      <c r="P57" s="9">
        <v>0</v>
      </c>
      <c r="Q57" s="9">
        <v>0</v>
      </c>
      <c r="R57" s="9">
        <v>0</v>
      </c>
      <c r="S57" s="9">
        <v>1473.2398799999999</v>
      </c>
      <c r="T57" s="9">
        <v>1221.5614005</v>
      </c>
      <c r="U57" s="9">
        <v>0</v>
      </c>
      <c r="V57">
        <v>0</v>
      </c>
    </row>
    <row r="58" spans="1:22" x14ac:dyDescent="0.25">
      <c r="A58" t="s">
        <v>102</v>
      </c>
      <c r="B58" t="s">
        <v>180</v>
      </c>
      <c r="C58" t="s">
        <v>175</v>
      </c>
      <c r="D58" s="4">
        <v>1</v>
      </c>
      <c r="E58" s="4">
        <v>0</v>
      </c>
      <c r="F58" s="9">
        <v>1495.3439999999998</v>
      </c>
      <c r="G58" s="9">
        <v>249.22399999999996</v>
      </c>
      <c r="H58" s="9">
        <v>1718.7798599999999</v>
      </c>
      <c r="I58" s="9">
        <v>0</v>
      </c>
      <c r="J58" s="9">
        <v>5101.2</v>
      </c>
      <c r="K58" s="9">
        <v>1473.2398799999999</v>
      </c>
      <c r="L58" s="9">
        <v>0</v>
      </c>
      <c r="M58" s="9">
        <v>111.72069089999998</v>
      </c>
      <c r="N58" s="9">
        <v>139.95778859999999</v>
      </c>
      <c r="O58" s="9">
        <v>1221.5614005</v>
      </c>
      <c r="P58" s="9">
        <v>0</v>
      </c>
      <c r="Q58" s="9">
        <v>0</v>
      </c>
      <c r="R58" s="9">
        <v>0</v>
      </c>
      <c r="S58" s="9">
        <v>1473.2398799999999</v>
      </c>
      <c r="T58" s="9">
        <v>1221.5614005</v>
      </c>
      <c r="U58" s="9">
        <v>0</v>
      </c>
      <c r="V58">
        <v>0</v>
      </c>
    </row>
    <row r="59" spans="1:22" x14ac:dyDescent="0.25">
      <c r="A59" t="s">
        <v>102</v>
      </c>
      <c r="B59" t="s">
        <v>183</v>
      </c>
      <c r="C59" t="s">
        <v>175</v>
      </c>
      <c r="D59" s="4">
        <v>1</v>
      </c>
      <c r="E59" s="4">
        <v>0</v>
      </c>
      <c r="F59" s="9">
        <v>1495.3439999999998</v>
      </c>
      <c r="G59" s="9">
        <v>249.22399999999996</v>
      </c>
      <c r="H59" s="9">
        <v>1718.7798599999999</v>
      </c>
      <c r="I59" s="9">
        <v>0</v>
      </c>
      <c r="J59" s="9">
        <v>5101.2</v>
      </c>
      <c r="K59" s="9">
        <v>1473.2398799999999</v>
      </c>
      <c r="L59" s="9">
        <v>0</v>
      </c>
      <c r="M59" s="9">
        <v>111.72069089999998</v>
      </c>
      <c r="N59" s="9">
        <v>139.95778859999999</v>
      </c>
      <c r="O59" s="9">
        <v>1221.5614005</v>
      </c>
      <c r="P59" s="9">
        <v>0</v>
      </c>
      <c r="Q59" s="9">
        <v>0</v>
      </c>
      <c r="R59" s="9">
        <v>0</v>
      </c>
      <c r="S59" s="9">
        <v>1473.2398799999999</v>
      </c>
      <c r="T59" s="9">
        <v>1221.5614005</v>
      </c>
      <c r="U59" s="9">
        <v>0</v>
      </c>
      <c r="V59">
        <v>0</v>
      </c>
    </row>
    <row r="60" spans="1:22" x14ac:dyDescent="0.25">
      <c r="A60" t="s">
        <v>102</v>
      </c>
      <c r="B60" t="s">
        <v>184</v>
      </c>
      <c r="C60" t="s">
        <v>175</v>
      </c>
      <c r="D60" s="4">
        <v>1</v>
      </c>
      <c r="E60" s="4">
        <v>0</v>
      </c>
      <c r="F60" s="9">
        <v>1495.3439999999998</v>
      </c>
      <c r="G60" s="9">
        <v>249.22399999999996</v>
      </c>
      <c r="H60" s="9">
        <v>1744.5679999999998</v>
      </c>
      <c r="I60" s="9">
        <v>0</v>
      </c>
      <c r="J60" s="9">
        <v>5101.2</v>
      </c>
      <c r="K60" s="9">
        <v>1495.3439999999998</v>
      </c>
      <c r="L60" s="9">
        <v>0</v>
      </c>
      <c r="M60" s="9">
        <v>113.39691999999998</v>
      </c>
      <c r="N60" s="9">
        <v>139.95778859999999</v>
      </c>
      <c r="O60" s="9">
        <v>1241.9892914</v>
      </c>
      <c r="P60" s="9">
        <v>0</v>
      </c>
      <c r="Q60" s="9">
        <v>0</v>
      </c>
      <c r="R60" s="9">
        <v>0</v>
      </c>
      <c r="S60" s="9">
        <v>1495.3439999999998</v>
      </c>
      <c r="T60" s="9">
        <v>1241.9892914</v>
      </c>
      <c r="U60" s="9">
        <v>0</v>
      </c>
      <c r="V60">
        <v>0</v>
      </c>
    </row>
    <row r="61" spans="1:22" x14ac:dyDescent="0.25">
      <c r="A61" t="s">
        <v>102</v>
      </c>
      <c r="B61" t="s">
        <v>185</v>
      </c>
      <c r="C61" t="s">
        <v>175</v>
      </c>
      <c r="D61" s="4">
        <v>1</v>
      </c>
      <c r="E61" s="4">
        <v>0</v>
      </c>
      <c r="F61" s="9">
        <v>1495.3439999999998</v>
      </c>
      <c r="G61" s="9">
        <v>249.22399999999996</v>
      </c>
      <c r="H61" s="9">
        <v>1718.7798599999999</v>
      </c>
      <c r="I61" s="9">
        <v>0</v>
      </c>
      <c r="J61" s="9">
        <v>5101.2</v>
      </c>
      <c r="K61" s="9">
        <v>1473.2398799999999</v>
      </c>
      <c r="L61" s="9">
        <v>0</v>
      </c>
      <c r="M61" s="9">
        <v>111.72069089999998</v>
      </c>
      <c r="N61" s="9">
        <v>139.95778859999999</v>
      </c>
      <c r="O61" s="9">
        <v>1221.5614005</v>
      </c>
      <c r="P61" s="9">
        <v>0</v>
      </c>
      <c r="Q61" s="9">
        <v>0</v>
      </c>
      <c r="R61" s="9">
        <v>0</v>
      </c>
      <c r="S61" s="9">
        <v>1473.2398799999999</v>
      </c>
      <c r="T61" s="9">
        <v>1221.5614005</v>
      </c>
      <c r="U61" s="9">
        <v>0</v>
      </c>
      <c r="V61">
        <v>0</v>
      </c>
    </row>
    <row r="62" spans="1:22" x14ac:dyDescent="0.25">
      <c r="A62" t="s">
        <v>102</v>
      </c>
      <c r="B62" t="s">
        <v>186</v>
      </c>
      <c r="C62" t="s">
        <v>175</v>
      </c>
      <c r="D62" s="4">
        <v>1</v>
      </c>
      <c r="E62" s="4">
        <v>0</v>
      </c>
      <c r="F62" s="9">
        <v>1495.3439999999998</v>
      </c>
      <c r="G62" s="9">
        <v>249.22399999999996</v>
      </c>
      <c r="H62" s="9">
        <v>1718.7798599999999</v>
      </c>
      <c r="I62" s="9">
        <v>0</v>
      </c>
      <c r="J62" s="9">
        <v>5101.2</v>
      </c>
      <c r="K62" s="9">
        <v>1473.2398799999999</v>
      </c>
      <c r="L62" s="9">
        <v>0</v>
      </c>
      <c r="M62" s="9">
        <v>111.72069089999998</v>
      </c>
      <c r="N62" s="9">
        <v>139.95778859999999</v>
      </c>
      <c r="O62" s="9">
        <v>1221.5614005</v>
      </c>
      <c r="P62" s="9">
        <v>0</v>
      </c>
      <c r="Q62" s="9">
        <v>0</v>
      </c>
      <c r="R62" s="9">
        <v>0</v>
      </c>
      <c r="S62" s="9">
        <v>1473.2398799999999</v>
      </c>
      <c r="T62" s="9">
        <v>1221.5614005</v>
      </c>
      <c r="U62" s="9">
        <v>0</v>
      </c>
      <c r="V62">
        <v>0</v>
      </c>
    </row>
    <row r="63" spans="1:22" x14ac:dyDescent="0.25">
      <c r="A63" t="s">
        <v>102</v>
      </c>
      <c r="B63" t="s">
        <v>187</v>
      </c>
      <c r="C63" t="s">
        <v>175</v>
      </c>
      <c r="D63" s="4">
        <v>1</v>
      </c>
      <c r="E63" s="4">
        <v>0</v>
      </c>
      <c r="F63" s="9">
        <v>1495.3439999999998</v>
      </c>
      <c r="G63" s="9">
        <v>249.22399999999996</v>
      </c>
      <c r="H63" s="9">
        <v>1718.7798599999999</v>
      </c>
      <c r="I63" s="9">
        <v>0</v>
      </c>
      <c r="J63" s="9">
        <v>5101.2</v>
      </c>
      <c r="K63" s="9">
        <v>1473.2398799999999</v>
      </c>
      <c r="L63" s="9">
        <v>0</v>
      </c>
      <c r="M63" s="9">
        <v>111.72069089999998</v>
      </c>
      <c r="N63" s="9">
        <v>139.95778859999999</v>
      </c>
      <c r="O63" s="9">
        <v>1221.5614005</v>
      </c>
      <c r="P63" s="9">
        <v>0</v>
      </c>
      <c r="Q63" s="9">
        <v>0</v>
      </c>
      <c r="R63" s="9">
        <v>0</v>
      </c>
      <c r="S63" s="9">
        <v>1473.2398799999999</v>
      </c>
      <c r="T63" s="9">
        <v>1221.5614005</v>
      </c>
      <c r="U63" s="9">
        <v>0</v>
      </c>
      <c r="V63">
        <v>0</v>
      </c>
    </row>
    <row r="64" spans="1:22" x14ac:dyDescent="0.25">
      <c r="A64" t="s">
        <v>102</v>
      </c>
      <c r="B64" t="s">
        <v>189</v>
      </c>
      <c r="C64" t="s">
        <v>175</v>
      </c>
      <c r="D64" s="4">
        <v>1</v>
      </c>
      <c r="E64" s="4">
        <v>0</v>
      </c>
      <c r="F64" s="9">
        <v>1495.3439999999998</v>
      </c>
      <c r="G64" s="9">
        <v>249.22399999999996</v>
      </c>
      <c r="H64" s="9">
        <v>1718.7798599999999</v>
      </c>
      <c r="I64" s="9">
        <v>0</v>
      </c>
      <c r="J64" s="9">
        <v>5101.2</v>
      </c>
      <c r="K64" s="9">
        <v>1473.2398799999999</v>
      </c>
      <c r="L64" s="9">
        <v>0</v>
      </c>
      <c r="M64" s="9">
        <v>111.72069089999998</v>
      </c>
      <c r="N64" s="9">
        <v>139.95778859999999</v>
      </c>
      <c r="O64" s="9">
        <v>1221.5614005</v>
      </c>
      <c r="P64" s="9">
        <v>0</v>
      </c>
      <c r="Q64" s="9">
        <v>0</v>
      </c>
      <c r="R64" s="9">
        <v>0</v>
      </c>
      <c r="S64" s="9">
        <v>1473.2398799999999</v>
      </c>
      <c r="T64" s="9">
        <v>1221.5614005</v>
      </c>
      <c r="U64" s="9">
        <v>0</v>
      </c>
      <c r="V64">
        <v>0</v>
      </c>
    </row>
    <row r="65" spans="1:22" x14ac:dyDescent="0.25">
      <c r="A65" t="s">
        <v>104</v>
      </c>
      <c r="B65" t="s">
        <v>173</v>
      </c>
      <c r="C65" t="s">
        <v>175</v>
      </c>
      <c r="D65" s="4">
        <v>1</v>
      </c>
      <c r="E65" s="4">
        <v>0</v>
      </c>
      <c r="F65" s="9">
        <v>1549.2455</v>
      </c>
      <c r="G65" s="9">
        <v>258.20758333333333</v>
      </c>
      <c r="H65" s="9">
        <v>1829.3999324999995</v>
      </c>
      <c r="I65" s="9">
        <v>0</v>
      </c>
      <c r="J65" s="9">
        <v>5101.2</v>
      </c>
      <c r="K65" s="9">
        <v>1568.0570849999999</v>
      </c>
      <c r="L65" s="9">
        <v>0</v>
      </c>
      <c r="M65" s="9">
        <v>118.91099561249999</v>
      </c>
      <c r="N65" s="9">
        <v>121.36761837899999</v>
      </c>
      <c r="O65" s="9">
        <v>1327.7784710084998</v>
      </c>
      <c r="P65" s="9">
        <v>0</v>
      </c>
      <c r="Q65" s="9">
        <v>0</v>
      </c>
      <c r="R65" s="9">
        <v>0</v>
      </c>
      <c r="S65" s="9">
        <v>1568.0570849999999</v>
      </c>
      <c r="T65" s="9">
        <v>1327.7784710084998</v>
      </c>
      <c r="U65" s="9">
        <v>0</v>
      </c>
      <c r="V65">
        <v>0</v>
      </c>
    </row>
    <row r="66" spans="1:22" x14ac:dyDescent="0.25">
      <c r="A66" t="s">
        <v>104</v>
      </c>
      <c r="B66" t="s">
        <v>176</v>
      </c>
      <c r="C66" t="s">
        <v>175</v>
      </c>
      <c r="D66" s="4">
        <v>1</v>
      </c>
      <c r="E66" s="4">
        <v>0</v>
      </c>
      <c r="F66" s="9">
        <v>1549.2455</v>
      </c>
      <c r="G66" s="9">
        <v>258.20758333333333</v>
      </c>
      <c r="H66" s="9">
        <v>1829.3999324999995</v>
      </c>
      <c r="I66" s="9">
        <v>0</v>
      </c>
      <c r="J66" s="9">
        <v>5101.2</v>
      </c>
      <c r="K66" s="9">
        <v>1568.0570849999999</v>
      </c>
      <c r="L66" s="9">
        <v>0</v>
      </c>
      <c r="M66" s="9">
        <v>118.91099561249999</v>
      </c>
      <c r="N66" s="9">
        <v>121.36761837899999</v>
      </c>
      <c r="O66" s="9">
        <v>1327.7784710084998</v>
      </c>
      <c r="P66" s="9">
        <v>0</v>
      </c>
      <c r="Q66" s="9">
        <v>0</v>
      </c>
      <c r="R66" s="9">
        <v>0</v>
      </c>
      <c r="S66" s="9">
        <v>1568.0570849999999</v>
      </c>
      <c r="T66" s="9">
        <v>1327.7784710084998</v>
      </c>
      <c r="U66" s="9">
        <v>0</v>
      </c>
      <c r="V66">
        <v>0</v>
      </c>
    </row>
    <row r="67" spans="1:22" x14ac:dyDescent="0.25">
      <c r="A67" t="s">
        <v>104</v>
      </c>
      <c r="B67" t="s">
        <v>177</v>
      </c>
      <c r="C67" t="s">
        <v>175</v>
      </c>
      <c r="D67" s="4">
        <v>1</v>
      </c>
      <c r="E67" s="4">
        <v>0</v>
      </c>
      <c r="F67" s="9">
        <v>1549.2455</v>
      </c>
      <c r="G67" s="9">
        <v>258.20758333333333</v>
      </c>
      <c r="H67" s="9">
        <v>1829.3999324999995</v>
      </c>
      <c r="I67" s="9">
        <v>0</v>
      </c>
      <c r="J67" s="9">
        <v>5101.2</v>
      </c>
      <c r="K67" s="9">
        <v>1568.0570849999999</v>
      </c>
      <c r="L67" s="9">
        <v>0</v>
      </c>
      <c r="M67" s="9">
        <v>118.91099561249999</v>
      </c>
      <c r="N67" s="9">
        <v>121.36761837899999</v>
      </c>
      <c r="O67" s="9">
        <v>1327.7784710084998</v>
      </c>
      <c r="P67" s="9">
        <v>0</v>
      </c>
      <c r="Q67" s="9">
        <v>0</v>
      </c>
      <c r="R67" s="9">
        <v>0</v>
      </c>
      <c r="S67" s="9">
        <v>1568.0570849999999</v>
      </c>
      <c r="T67" s="9">
        <v>1327.7784710084998</v>
      </c>
      <c r="U67" s="9">
        <v>0</v>
      </c>
      <c r="V67">
        <v>0</v>
      </c>
    </row>
    <row r="68" spans="1:22" x14ac:dyDescent="0.25">
      <c r="A68" t="s">
        <v>104</v>
      </c>
      <c r="B68" t="s">
        <v>178</v>
      </c>
      <c r="C68" t="s">
        <v>175</v>
      </c>
      <c r="D68" s="4">
        <v>1</v>
      </c>
      <c r="E68" s="4">
        <v>0</v>
      </c>
      <c r="F68" s="9">
        <v>1549.2455</v>
      </c>
      <c r="G68" s="9">
        <v>258.20758333333333</v>
      </c>
      <c r="H68" s="9">
        <v>1829.3999324999995</v>
      </c>
      <c r="I68" s="9">
        <v>0</v>
      </c>
      <c r="J68" s="9">
        <v>5101.2</v>
      </c>
      <c r="K68" s="9">
        <v>1568.0570849999999</v>
      </c>
      <c r="L68" s="9">
        <v>0</v>
      </c>
      <c r="M68" s="9">
        <v>118.91099561249999</v>
      </c>
      <c r="N68" s="9">
        <v>121.36761837899999</v>
      </c>
      <c r="O68" s="9">
        <v>1327.7784710084998</v>
      </c>
      <c r="P68" s="9">
        <v>0</v>
      </c>
      <c r="Q68" s="9">
        <v>0</v>
      </c>
      <c r="R68" s="9">
        <v>0</v>
      </c>
      <c r="S68" s="9">
        <v>1568.0570849999999</v>
      </c>
      <c r="T68" s="9">
        <v>1327.7784710084998</v>
      </c>
      <c r="U68" s="9">
        <v>0</v>
      </c>
      <c r="V68">
        <v>0</v>
      </c>
    </row>
    <row r="69" spans="1:22" x14ac:dyDescent="0.25">
      <c r="A69" t="s">
        <v>104</v>
      </c>
      <c r="B69" t="s">
        <v>179</v>
      </c>
      <c r="C69" t="s">
        <v>175</v>
      </c>
      <c r="D69" s="4">
        <v>1</v>
      </c>
      <c r="E69" s="4">
        <v>0</v>
      </c>
      <c r="F69" s="9">
        <v>1549.2455</v>
      </c>
      <c r="G69" s="9">
        <v>258.20758333333333</v>
      </c>
      <c r="H69" s="9">
        <v>1829.3999324999995</v>
      </c>
      <c r="I69" s="9">
        <v>0</v>
      </c>
      <c r="J69" s="9">
        <v>5101.2</v>
      </c>
      <c r="K69" s="9">
        <v>1568.0570849999999</v>
      </c>
      <c r="L69" s="9">
        <v>0</v>
      </c>
      <c r="M69" s="9">
        <v>118.91099561249999</v>
      </c>
      <c r="N69" s="9">
        <v>121.36761837899999</v>
      </c>
      <c r="O69" s="9">
        <v>1327.7784710084998</v>
      </c>
      <c r="P69" s="9">
        <v>0</v>
      </c>
      <c r="Q69" s="9">
        <v>0</v>
      </c>
      <c r="R69" s="9">
        <v>0</v>
      </c>
      <c r="S69" s="9">
        <v>1568.0570849999999</v>
      </c>
      <c r="T69" s="9">
        <v>1327.7784710084998</v>
      </c>
      <c r="U69" s="9">
        <v>0</v>
      </c>
      <c r="V69">
        <v>0</v>
      </c>
    </row>
    <row r="70" spans="1:22" x14ac:dyDescent="0.25">
      <c r="A70" t="s">
        <v>104</v>
      </c>
      <c r="B70" t="s">
        <v>180</v>
      </c>
      <c r="C70" t="s">
        <v>175</v>
      </c>
      <c r="D70" s="4">
        <v>1</v>
      </c>
      <c r="E70" s="4">
        <v>0</v>
      </c>
      <c r="F70" s="9">
        <v>1549.2455</v>
      </c>
      <c r="G70" s="9">
        <v>258.20758333333333</v>
      </c>
      <c r="H70" s="9">
        <v>1829.3999324999995</v>
      </c>
      <c r="I70" s="9">
        <v>0</v>
      </c>
      <c r="J70" s="9">
        <v>5101.2</v>
      </c>
      <c r="K70" s="9">
        <v>1568.0570849999999</v>
      </c>
      <c r="L70" s="9">
        <v>0</v>
      </c>
      <c r="M70" s="9">
        <v>118.91099561249999</v>
      </c>
      <c r="N70" s="9">
        <v>121.36761837899999</v>
      </c>
      <c r="O70" s="9">
        <v>1327.7784710084998</v>
      </c>
      <c r="P70" s="9">
        <v>0</v>
      </c>
      <c r="Q70" s="9">
        <v>0</v>
      </c>
      <c r="R70" s="9">
        <v>0</v>
      </c>
      <c r="S70" s="9">
        <v>1568.0570849999999</v>
      </c>
      <c r="T70" s="9">
        <v>1327.7784710084998</v>
      </c>
      <c r="U70" s="9">
        <v>0</v>
      </c>
      <c r="V70">
        <v>0</v>
      </c>
    </row>
    <row r="71" spans="1:22" x14ac:dyDescent="0.25">
      <c r="A71" t="s">
        <v>104</v>
      </c>
      <c r="B71" t="s">
        <v>183</v>
      </c>
      <c r="C71" t="s">
        <v>175</v>
      </c>
      <c r="D71" s="4">
        <v>1</v>
      </c>
      <c r="E71" s="4">
        <v>0</v>
      </c>
      <c r="F71" s="9">
        <v>1549.2455</v>
      </c>
      <c r="G71" s="9">
        <v>258.20758333333333</v>
      </c>
      <c r="H71" s="9">
        <v>1829.3999324999995</v>
      </c>
      <c r="I71" s="9">
        <v>0</v>
      </c>
      <c r="J71" s="9">
        <v>5101.2</v>
      </c>
      <c r="K71" s="9">
        <v>1568.0570849999999</v>
      </c>
      <c r="L71" s="9">
        <v>0</v>
      </c>
      <c r="M71" s="9">
        <v>118.91099561249999</v>
      </c>
      <c r="N71" s="9">
        <v>121.36761837899999</v>
      </c>
      <c r="O71" s="9">
        <v>1327.7784710084998</v>
      </c>
      <c r="P71" s="9">
        <v>0</v>
      </c>
      <c r="Q71" s="9">
        <v>0</v>
      </c>
      <c r="R71" s="9">
        <v>0</v>
      </c>
      <c r="S71" s="9">
        <v>1568.0570849999999</v>
      </c>
      <c r="T71" s="9">
        <v>1327.7784710084998</v>
      </c>
      <c r="U71" s="9">
        <v>0</v>
      </c>
      <c r="V71">
        <v>0</v>
      </c>
    </row>
    <row r="72" spans="1:22" x14ac:dyDescent="0.25">
      <c r="A72" t="s">
        <v>104</v>
      </c>
      <c r="B72" t="s">
        <v>184</v>
      </c>
      <c r="C72" t="s">
        <v>175</v>
      </c>
      <c r="D72" s="4">
        <v>1</v>
      </c>
      <c r="E72" s="4">
        <v>0</v>
      </c>
      <c r="F72" s="9">
        <v>1616.604</v>
      </c>
      <c r="G72" s="9">
        <v>269.43399999999997</v>
      </c>
      <c r="H72" s="9">
        <v>1829.3999324999995</v>
      </c>
      <c r="I72" s="9">
        <v>0</v>
      </c>
      <c r="J72" s="9">
        <v>5101.2</v>
      </c>
      <c r="K72" s="9">
        <v>1568.0570849999999</v>
      </c>
      <c r="L72" s="9">
        <v>0</v>
      </c>
      <c r="M72" s="9">
        <v>118.91099561249999</v>
      </c>
      <c r="N72" s="9">
        <v>121.36761837899999</v>
      </c>
      <c r="O72" s="9">
        <v>1327.7784710084998</v>
      </c>
      <c r="P72" s="9">
        <v>0</v>
      </c>
      <c r="Q72" s="9">
        <v>0</v>
      </c>
      <c r="R72" s="9">
        <v>0</v>
      </c>
      <c r="S72" s="9">
        <v>1568.0570849999999</v>
      </c>
      <c r="T72" s="9">
        <v>1327.7784710084998</v>
      </c>
      <c r="U72" s="9">
        <v>0</v>
      </c>
      <c r="V72">
        <v>0</v>
      </c>
    </row>
    <row r="73" spans="1:22" x14ac:dyDescent="0.25">
      <c r="A73" t="s">
        <v>104</v>
      </c>
      <c r="B73" t="s">
        <v>185</v>
      </c>
      <c r="C73" t="s">
        <v>175</v>
      </c>
      <c r="D73" s="4">
        <v>1</v>
      </c>
      <c r="E73" s="4">
        <v>0</v>
      </c>
      <c r="F73" s="9">
        <v>1616.604</v>
      </c>
      <c r="G73" s="9">
        <v>269.43399999999997</v>
      </c>
      <c r="H73" s="9">
        <v>1829.3999324999995</v>
      </c>
      <c r="I73" s="9">
        <v>0</v>
      </c>
      <c r="J73" s="9">
        <v>5101.2</v>
      </c>
      <c r="K73" s="9">
        <v>1568.0570849999999</v>
      </c>
      <c r="L73" s="9">
        <v>0</v>
      </c>
      <c r="M73" s="9">
        <v>118.91099561249999</v>
      </c>
      <c r="N73" s="9">
        <v>121.36761837899999</v>
      </c>
      <c r="O73" s="9">
        <v>1327.7784710084998</v>
      </c>
      <c r="P73" s="9">
        <v>0</v>
      </c>
      <c r="Q73" s="9">
        <v>0</v>
      </c>
      <c r="R73" s="9">
        <v>0</v>
      </c>
      <c r="S73" s="9">
        <v>1568.0570849999999</v>
      </c>
      <c r="T73" s="9">
        <v>1327.7784710084998</v>
      </c>
      <c r="U73" s="9">
        <v>0</v>
      </c>
      <c r="V73">
        <v>0</v>
      </c>
    </row>
    <row r="74" spans="1:22" x14ac:dyDescent="0.25">
      <c r="A74" t="s">
        <v>104</v>
      </c>
      <c r="B74" t="s">
        <v>186</v>
      </c>
      <c r="C74" t="s">
        <v>175</v>
      </c>
      <c r="D74" s="4">
        <v>1</v>
      </c>
      <c r="E74" s="4">
        <v>0</v>
      </c>
      <c r="F74" s="9">
        <v>1616.604</v>
      </c>
      <c r="G74" s="9">
        <v>269.43399999999997</v>
      </c>
      <c r="H74" s="9">
        <v>1908.9390599999997</v>
      </c>
      <c r="I74" s="9">
        <v>0</v>
      </c>
      <c r="J74" s="9">
        <v>5101.2</v>
      </c>
      <c r="K74" s="9">
        <v>1636.2334799999999</v>
      </c>
      <c r="L74" s="9">
        <v>0</v>
      </c>
      <c r="M74" s="9">
        <v>124.08103889999998</v>
      </c>
      <c r="N74" s="9">
        <v>126.64447135199998</v>
      </c>
      <c r="O74" s="9">
        <v>1385.5079697479998</v>
      </c>
      <c r="P74" s="9">
        <v>0</v>
      </c>
      <c r="Q74" s="9">
        <v>0</v>
      </c>
      <c r="R74" s="9">
        <v>0</v>
      </c>
      <c r="S74" s="9">
        <v>1636.2334799999999</v>
      </c>
      <c r="T74" s="9">
        <v>1385.5079697479998</v>
      </c>
      <c r="U74" s="9">
        <v>0</v>
      </c>
      <c r="V74">
        <v>0</v>
      </c>
    </row>
    <row r="75" spans="1:22" x14ac:dyDescent="0.25">
      <c r="A75" t="s">
        <v>104</v>
      </c>
      <c r="B75" t="s">
        <v>187</v>
      </c>
      <c r="C75" t="s">
        <v>175</v>
      </c>
      <c r="D75" s="4">
        <v>1</v>
      </c>
      <c r="E75" s="4">
        <v>0</v>
      </c>
      <c r="F75" s="9">
        <v>1616.604</v>
      </c>
      <c r="G75" s="9">
        <v>269.43399999999997</v>
      </c>
      <c r="H75" s="9">
        <v>1908.9390599999997</v>
      </c>
      <c r="I75" s="9">
        <v>0</v>
      </c>
      <c r="J75" s="9">
        <v>5101.2</v>
      </c>
      <c r="K75" s="9">
        <v>1636.2334799999999</v>
      </c>
      <c r="L75" s="9">
        <v>0</v>
      </c>
      <c r="M75" s="9">
        <v>124.08103889999998</v>
      </c>
      <c r="N75" s="9">
        <v>126.64447135199998</v>
      </c>
      <c r="O75" s="9">
        <v>1385.5079697479998</v>
      </c>
      <c r="P75" s="9">
        <v>0</v>
      </c>
      <c r="Q75" s="9">
        <v>0</v>
      </c>
      <c r="R75" s="9">
        <v>0</v>
      </c>
      <c r="S75" s="9">
        <v>1636.2334799999999</v>
      </c>
      <c r="T75" s="9">
        <v>1385.5079697479998</v>
      </c>
      <c r="U75" s="9">
        <v>0</v>
      </c>
      <c r="V75">
        <v>0</v>
      </c>
    </row>
    <row r="76" spans="1:22" x14ac:dyDescent="0.25">
      <c r="A76" t="s">
        <v>104</v>
      </c>
      <c r="B76" t="s">
        <v>189</v>
      </c>
      <c r="C76" t="s">
        <v>175</v>
      </c>
      <c r="D76" s="4">
        <v>1</v>
      </c>
      <c r="E76" s="4">
        <v>0</v>
      </c>
      <c r="F76" s="9">
        <v>1616.604</v>
      </c>
      <c r="G76" s="9">
        <v>269.43399999999997</v>
      </c>
      <c r="H76" s="9">
        <v>1908.9390599999997</v>
      </c>
      <c r="I76" s="9">
        <v>0</v>
      </c>
      <c r="J76" s="9">
        <v>5101.2</v>
      </c>
      <c r="K76" s="9">
        <v>1636.2334799999999</v>
      </c>
      <c r="L76" s="9">
        <v>0</v>
      </c>
      <c r="M76" s="9">
        <v>124.08103889999998</v>
      </c>
      <c r="N76" s="9">
        <v>126.64447135199998</v>
      </c>
      <c r="O76" s="9">
        <v>1385.5079697479998</v>
      </c>
      <c r="P76" s="9">
        <v>0</v>
      </c>
      <c r="Q76" s="9">
        <v>0</v>
      </c>
      <c r="R76" s="9">
        <v>0</v>
      </c>
      <c r="S76" s="9">
        <v>1636.2334799999999</v>
      </c>
      <c r="T76" s="9">
        <v>1385.5079697479998</v>
      </c>
      <c r="U76" s="9">
        <v>0</v>
      </c>
      <c r="V76">
        <v>0</v>
      </c>
    </row>
    <row r="77" spans="1:22" x14ac:dyDescent="0.25">
      <c r="A77" t="s">
        <v>106</v>
      </c>
      <c r="B77" t="s">
        <v>173</v>
      </c>
      <c r="C77" t="s">
        <v>175</v>
      </c>
      <c r="D77" s="4">
        <v>1</v>
      </c>
      <c r="E77" s="4">
        <v>0</v>
      </c>
      <c r="F77" s="9">
        <v>3915.8240000000005</v>
      </c>
      <c r="G77" s="9">
        <v>652.63733333333334</v>
      </c>
      <c r="H77" s="9">
        <v>4650.5598649999993</v>
      </c>
      <c r="I77" s="9">
        <v>0</v>
      </c>
      <c r="J77" s="9">
        <v>5101.2</v>
      </c>
      <c r="K77" s="9">
        <v>3986.1941699999998</v>
      </c>
      <c r="L77" s="9">
        <v>0</v>
      </c>
      <c r="M77" s="9">
        <v>302.28639122499993</v>
      </c>
      <c r="N77" s="9">
        <v>1025.2491405239998</v>
      </c>
      <c r="O77" s="9">
        <v>2658.658638251</v>
      </c>
      <c r="P77" s="9">
        <v>0</v>
      </c>
      <c r="Q77" s="9">
        <v>0</v>
      </c>
      <c r="R77" s="9">
        <v>0</v>
      </c>
      <c r="S77" s="9">
        <v>3986.1941699999998</v>
      </c>
      <c r="T77" s="9">
        <v>2658.658638251</v>
      </c>
      <c r="U77" s="9">
        <v>0</v>
      </c>
      <c r="V77">
        <v>0</v>
      </c>
    </row>
    <row r="78" spans="1:22" x14ac:dyDescent="0.25">
      <c r="A78" t="s">
        <v>106</v>
      </c>
      <c r="B78" t="s">
        <v>176</v>
      </c>
      <c r="C78" t="s">
        <v>175</v>
      </c>
      <c r="D78" s="4">
        <v>1</v>
      </c>
      <c r="E78" s="4">
        <v>0</v>
      </c>
      <c r="F78" s="9">
        <v>3915.8240000000005</v>
      </c>
      <c r="G78" s="9">
        <v>652.63733333333334</v>
      </c>
      <c r="H78" s="9">
        <v>4650.5598649999993</v>
      </c>
      <c r="I78" s="9">
        <v>0</v>
      </c>
      <c r="J78" s="9">
        <v>5101.2</v>
      </c>
      <c r="K78" s="9">
        <v>3986.1941699999998</v>
      </c>
      <c r="L78" s="9">
        <v>0</v>
      </c>
      <c r="M78" s="9">
        <v>302.28639122499993</v>
      </c>
      <c r="N78" s="9">
        <v>1025.2491405239998</v>
      </c>
      <c r="O78" s="9">
        <v>2658.658638251</v>
      </c>
      <c r="P78" s="9">
        <v>0</v>
      </c>
      <c r="Q78" s="9">
        <v>0</v>
      </c>
      <c r="R78" s="9">
        <v>0</v>
      </c>
      <c r="S78" s="9">
        <v>3986.1941699999998</v>
      </c>
      <c r="T78" s="9">
        <v>2658.658638251</v>
      </c>
      <c r="U78" s="9">
        <v>0</v>
      </c>
      <c r="V78">
        <v>0</v>
      </c>
    </row>
    <row r="79" spans="1:22" x14ac:dyDescent="0.25">
      <c r="A79" t="s">
        <v>106</v>
      </c>
      <c r="B79" t="s">
        <v>177</v>
      </c>
      <c r="C79" t="s">
        <v>175</v>
      </c>
      <c r="D79" s="4">
        <v>1</v>
      </c>
      <c r="E79" s="4">
        <v>0</v>
      </c>
      <c r="F79" s="9">
        <v>3915.8240000000005</v>
      </c>
      <c r="G79" s="9">
        <v>652.63733333333334</v>
      </c>
      <c r="H79" s="9">
        <v>4650.5598649999993</v>
      </c>
      <c r="I79" s="9">
        <v>0</v>
      </c>
      <c r="J79" s="9">
        <v>5101.2</v>
      </c>
      <c r="K79" s="9">
        <v>3986.1941699999998</v>
      </c>
      <c r="L79" s="9">
        <v>0</v>
      </c>
      <c r="M79" s="9">
        <v>302.28639122499993</v>
      </c>
      <c r="N79" s="9">
        <v>1025.2491405239998</v>
      </c>
      <c r="O79" s="9">
        <v>2658.658638251</v>
      </c>
      <c r="P79" s="9">
        <v>0</v>
      </c>
      <c r="Q79" s="9">
        <v>0</v>
      </c>
      <c r="R79" s="9">
        <v>0</v>
      </c>
      <c r="S79" s="9">
        <v>3986.1941699999998</v>
      </c>
      <c r="T79" s="9">
        <v>2658.658638251</v>
      </c>
      <c r="U79" s="9">
        <v>0</v>
      </c>
      <c r="V79">
        <v>0</v>
      </c>
    </row>
    <row r="80" spans="1:22" x14ac:dyDescent="0.25">
      <c r="A80" t="s">
        <v>106</v>
      </c>
      <c r="B80" t="s">
        <v>178</v>
      </c>
      <c r="C80" t="s">
        <v>175</v>
      </c>
      <c r="D80" s="4">
        <v>1</v>
      </c>
      <c r="E80" s="4">
        <v>0</v>
      </c>
      <c r="F80" s="9">
        <v>3915.8240000000005</v>
      </c>
      <c r="G80" s="9">
        <v>652.63733333333334</v>
      </c>
      <c r="H80" s="9">
        <v>4650.5598649999993</v>
      </c>
      <c r="I80" s="9">
        <v>0</v>
      </c>
      <c r="J80" s="9">
        <v>5101.2</v>
      </c>
      <c r="K80" s="9">
        <v>3986.1941699999998</v>
      </c>
      <c r="L80" s="9">
        <v>0</v>
      </c>
      <c r="M80" s="9">
        <v>302.28639122499993</v>
      </c>
      <c r="N80" s="9">
        <v>1025.2491405239998</v>
      </c>
      <c r="O80" s="9">
        <v>2658.658638251</v>
      </c>
      <c r="P80" s="9">
        <v>0</v>
      </c>
      <c r="Q80" s="9">
        <v>0</v>
      </c>
      <c r="R80" s="9">
        <v>0</v>
      </c>
      <c r="S80" s="9">
        <v>3986.1941699999998</v>
      </c>
      <c r="T80" s="9">
        <v>2658.658638251</v>
      </c>
      <c r="U80" s="9">
        <v>0</v>
      </c>
      <c r="V80">
        <v>0</v>
      </c>
    </row>
    <row r="81" spans="1:22" x14ac:dyDescent="0.25">
      <c r="A81" t="s">
        <v>106</v>
      </c>
      <c r="B81" t="s">
        <v>179</v>
      </c>
      <c r="C81" t="s">
        <v>175</v>
      </c>
      <c r="D81" s="4">
        <v>1</v>
      </c>
      <c r="E81" s="4">
        <v>0</v>
      </c>
      <c r="F81" s="9">
        <v>3915.8240000000005</v>
      </c>
      <c r="G81" s="9">
        <v>652.63733333333334</v>
      </c>
      <c r="H81" s="9">
        <v>4650.5598649999993</v>
      </c>
      <c r="I81" s="9">
        <v>0</v>
      </c>
      <c r="J81" s="9">
        <v>5101.2</v>
      </c>
      <c r="K81" s="9">
        <v>3986.1941699999998</v>
      </c>
      <c r="L81" s="9">
        <v>0</v>
      </c>
      <c r="M81" s="9">
        <v>302.28639122499993</v>
      </c>
      <c r="N81" s="9">
        <v>1025.2491405239998</v>
      </c>
      <c r="O81" s="9">
        <v>2658.658638251</v>
      </c>
      <c r="P81" s="9">
        <v>0</v>
      </c>
      <c r="Q81" s="9">
        <v>0</v>
      </c>
      <c r="R81" s="9">
        <v>0</v>
      </c>
      <c r="S81" s="9">
        <v>3986.1941699999998</v>
      </c>
      <c r="T81" s="9">
        <v>2658.658638251</v>
      </c>
      <c r="U81" s="9">
        <v>0</v>
      </c>
      <c r="V81">
        <v>0</v>
      </c>
    </row>
    <row r="82" spans="1:22" x14ac:dyDescent="0.25">
      <c r="A82" t="s">
        <v>106</v>
      </c>
      <c r="B82" t="s">
        <v>180</v>
      </c>
      <c r="C82" t="s">
        <v>175</v>
      </c>
      <c r="D82" s="4">
        <v>1</v>
      </c>
      <c r="E82" s="4">
        <v>0</v>
      </c>
      <c r="F82" s="9">
        <v>3915.8240000000005</v>
      </c>
      <c r="G82" s="9">
        <v>652.63733333333334</v>
      </c>
      <c r="H82" s="9">
        <v>4650.5598649999993</v>
      </c>
      <c r="I82" s="9">
        <v>0</v>
      </c>
      <c r="J82" s="9">
        <v>5101.2</v>
      </c>
      <c r="K82" s="9">
        <v>3986.1941699999998</v>
      </c>
      <c r="L82" s="9">
        <v>0</v>
      </c>
      <c r="M82" s="9">
        <v>302.28639122499993</v>
      </c>
      <c r="N82" s="9">
        <v>1025.2491405239998</v>
      </c>
      <c r="O82" s="9">
        <v>2658.658638251</v>
      </c>
      <c r="P82" s="9">
        <v>0</v>
      </c>
      <c r="Q82" s="9">
        <v>0</v>
      </c>
      <c r="R82" s="9">
        <v>0</v>
      </c>
      <c r="S82" s="9">
        <v>3986.1941699999998</v>
      </c>
      <c r="T82" s="9">
        <v>2658.658638251</v>
      </c>
      <c r="U82" s="9">
        <v>0</v>
      </c>
      <c r="V82">
        <v>0</v>
      </c>
    </row>
    <row r="83" spans="1:22" x14ac:dyDescent="0.25">
      <c r="A83" t="s">
        <v>106</v>
      </c>
      <c r="B83" t="s">
        <v>183</v>
      </c>
      <c r="C83" t="s">
        <v>175</v>
      </c>
      <c r="D83" s="4">
        <v>1</v>
      </c>
      <c r="E83" s="4">
        <v>0</v>
      </c>
      <c r="F83" s="9">
        <v>3915.8240000000005</v>
      </c>
      <c r="G83" s="9">
        <v>652.63733333333334</v>
      </c>
      <c r="H83" s="9">
        <v>4650.5598649999993</v>
      </c>
      <c r="I83" s="9">
        <v>0</v>
      </c>
      <c r="J83" s="9">
        <v>5101.2</v>
      </c>
      <c r="K83" s="9">
        <v>3986.1941699999998</v>
      </c>
      <c r="L83" s="9">
        <v>0</v>
      </c>
      <c r="M83" s="9">
        <v>302.28639122499993</v>
      </c>
      <c r="N83" s="9">
        <v>1025.2491405239998</v>
      </c>
      <c r="O83" s="9">
        <v>2658.658638251</v>
      </c>
      <c r="P83" s="9">
        <v>0</v>
      </c>
      <c r="Q83" s="9">
        <v>0</v>
      </c>
      <c r="R83" s="9">
        <v>0</v>
      </c>
      <c r="S83" s="9">
        <v>3986.1941699999998</v>
      </c>
      <c r="T83" s="9">
        <v>2658.658638251</v>
      </c>
      <c r="U83" s="9">
        <v>0</v>
      </c>
      <c r="V83">
        <v>0</v>
      </c>
    </row>
    <row r="84" spans="1:22" x14ac:dyDescent="0.25">
      <c r="A84" t="s">
        <v>106</v>
      </c>
      <c r="B84" t="s">
        <v>184</v>
      </c>
      <c r="C84" t="s">
        <v>175</v>
      </c>
      <c r="D84" s="4">
        <v>1</v>
      </c>
      <c r="E84" s="4">
        <v>0</v>
      </c>
      <c r="F84" s="9">
        <v>4093.8159999999998</v>
      </c>
      <c r="G84" s="9">
        <v>682.3026666666666</v>
      </c>
      <c r="H84" s="9">
        <v>4650.5598649999993</v>
      </c>
      <c r="I84" s="9">
        <v>0</v>
      </c>
      <c r="J84" s="9">
        <v>5101.2</v>
      </c>
      <c r="K84" s="9">
        <v>3986.1941699999998</v>
      </c>
      <c r="L84" s="9">
        <v>0</v>
      </c>
      <c r="M84" s="9">
        <v>302.28639122499993</v>
      </c>
      <c r="N84" s="9">
        <v>1025.2491405239998</v>
      </c>
      <c r="O84" s="9">
        <v>2658.658638251</v>
      </c>
      <c r="P84" s="9">
        <v>0</v>
      </c>
      <c r="Q84" s="9">
        <v>0</v>
      </c>
      <c r="R84" s="9">
        <v>0</v>
      </c>
      <c r="S84" s="9">
        <v>3986.1941699999998</v>
      </c>
      <c r="T84" s="9">
        <v>2658.658638251</v>
      </c>
      <c r="U84" s="9">
        <v>0</v>
      </c>
      <c r="V84">
        <v>0</v>
      </c>
    </row>
    <row r="85" spans="1:22" x14ac:dyDescent="0.25">
      <c r="A85" t="s">
        <v>106</v>
      </c>
      <c r="B85" t="s">
        <v>185</v>
      </c>
      <c r="C85" t="s">
        <v>175</v>
      </c>
      <c r="D85" s="4">
        <v>1</v>
      </c>
      <c r="E85" s="4">
        <v>0</v>
      </c>
      <c r="F85" s="9">
        <v>4093.8159999999998</v>
      </c>
      <c r="G85" s="9">
        <v>682.3026666666666</v>
      </c>
      <c r="H85" s="9">
        <v>4650.5598649999993</v>
      </c>
      <c r="I85" s="9">
        <v>0</v>
      </c>
      <c r="J85" s="9">
        <v>5101.2</v>
      </c>
      <c r="K85" s="9">
        <v>3986.1941699999998</v>
      </c>
      <c r="L85" s="9">
        <v>0</v>
      </c>
      <c r="M85" s="9">
        <v>302.28639122499993</v>
      </c>
      <c r="N85" s="9">
        <v>1025.2491405239998</v>
      </c>
      <c r="O85" s="9">
        <v>2658.658638251</v>
      </c>
      <c r="P85" s="9">
        <v>0</v>
      </c>
      <c r="Q85" s="9">
        <v>0</v>
      </c>
      <c r="R85" s="9">
        <v>0</v>
      </c>
      <c r="S85" s="9">
        <v>3986.1941699999998</v>
      </c>
      <c r="T85" s="9">
        <v>2658.658638251</v>
      </c>
      <c r="U85" s="9">
        <v>0</v>
      </c>
      <c r="V85">
        <v>0</v>
      </c>
    </row>
    <row r="86" spans="1:22" x14ac:dyDescent="0.25">
      <c r="A86" t="s">
        <v>106</v>
      </c>
      <c r="B86" t="s">
        <v>186</v>
      </c>
      <c r="C86" t="s">
        <v>175</v>
      </c>
      <c r="D86" s="4">
        <v>1</v>
      </c>
      <c r="E86" s="4">
        <v>0</v>
      </c>
      <c r="F86" s="9">
        <v>4093.8159999999998</v>
      </c>
      <c r="G86" s="9">
        <v>682.3026666666666</v>
      </c>
      <c r="H86" s="9">
        <v>4650.5598649999993</v>
      </c>
      <c r="I86" s="9">
        <v>0</v>
      </c>
      <c r="J86" s="9">
        <v>5101.2</v>
      </c>
      <c r="K86" s="9">
        <v>3986.1941699999998</v>
      </c>
      <c r="L86" s="9">
        <v>0</v>
      </c>
      <c r="M86" s="9">
        <v>302.28639122499993</v>
      </c>
      <c r="N86" s="9">
        <v>1025.2491405239998</v>
      </c>
      <c r="O86" s="9">
        <v>2658.658638251</v>
      </c>
      <c r="P86" s="9">
        <v>0</v>
      </c>
      <c r="Q86" s="9">
        <v>0</v>
      </c>
      <c r="R86" s="9">
        <v>0</v>
      </c>
      <c r="S86" s="9">
        <v>3986.1941699999998</v>
      </c>
      <c r="T86" s="9">
        <v>2658.658638251</v>
      </c>
      <c r="U86" s="9">
        <v>0</v>
      </c>
      <c r="V86">
        <v>0</v>
      </c>
    </row>
    <row r="87" spans="1:22" x14ac:dyDescent="0.25">
      <c r="A87" t="s">
        <v>106</v>
      </c>
      <c r="B87" t="s">
        <v>187</v>
      </c>
      <c r="C87" t="s">
        <v>175</v>
      </c>
      <c r="D87" s="4">
        <v>1</v>
      </c>
      <c r="E87" s="4">
        <v>0</v>
      </c>
      <c r="F87" s="9">
        <v>4093.8159999999998</v>
      </c>
      <c r="G87" s="9">
        <v>682.3026666666666</v>
      </c>
      <c r="H87" s="9">
        <v>4650.5598649999993</v>
      </c>
      <c r="I87" s="9">
        <v>0</v>
      </c>
      <c r="J87" s="9">
        <v>5101.2</v>
      </c>
      <c r="K87" s="9">
        <v>3986.1941699999998</v>
      </c>
      <c r="L87" s="9">
        <v>0</v>
      </c>
      <c r="M87" s="9">
        <v>302.28639122499993</v>
      </c>
      <c r="N87" s="9">
        <v>1025.2491405239998</v>
      </c>
      <c r="O87" s="9">
        <v>2658.658638251</v>
      </c>
      <c r="P87" s="9">
        <v>0</v>
      </c>
      <c r="Q87" s="9">
        <v>0</v>
      </c>
      <c r="R87" s="9">
        <v>0</v>
      </c>
      <c r="S87" s="9">
        <v>3986.1941699999998</v>
      </c>
      <c r="T87" s="9">
        <v>2658.658638251</v>
      </c>
      <c r="U87" s="9">
        <v>0</v>
      </c>
      <c r="V87">
        <v>0</v>
      </c>
    </row>
    <row r="88" spans="1:22" x14ac:dyDescent="0.25">
      <c r="A88" t="s">
        <v>106</v>
      </c>
      <c r="B88" t="s">
        <v>189</v>
      </c>
      <c r="C88" t="s">
        <v>175</v>
      </c>
      <c r="D88" s="4">
        <v>1</v>
      </c>
      <c r="E88" s="4">
        <v>0</v>
      </c>
      <c r="F88" s="9">
        <v>4093.8159999999998</v>
      </c>
      <c r="G88" s="9">
        <v>682.3026666666666</v>
      </c>
      <c r="H88" s="9">
        <v>4650.5598649999993</v>
      </c>
      <c r="I88" s="9">
        <v>0</v>
      </c>
      <c r="J88" s="9">
        <v>5101.2</v>
      </c>
      <c r="K88" s="9">
        <v>3986.1941699999998</v>
      </c>
      <c r="L88" s="9">
        <v>0</v>
      </c>
      <c r="M88" s="9">
        <v>302.28639122499993</v>
      </c>
      <c r="N88" s="9">
        <v>1025.2491405239998</v>
      </c>
      <c r="O88" s="9">
        <v>2658.658638251</v>
      </c>
      <c r="P88" s="9">
        <v>0</v>
      </c>
      <c r="Q88" s="9">
        <v>0</v>
      </c>
      <c r="R88" s="9">
        <v>0</v>
      </c>
      <c r="S88" s="9">
        <v>3986.1941699999998</v>
      </c>
      <c r="T88" s="9">
        <v>2658.658638251</v>
      </c>
      <c r="U88" s="9">
        <v>0</v>
      </c>
      <c r="V88">
        <v>0</v>
      </c>
    </row>
    <row r="89" spans="1:22" x14ac:dyDescent="0.25">
      <c r="A89" t="s">
        <v>108</v>
      </c>
      <c r="B89" t="s">
        <v>173</v>
      </c>
      <c r="C89" t="s">
        <v>175</v>
      </c>
      <c r="D89" s="4">
        <v>1</v>
      </c>
      <c r="E89" s="4">
        <v>0</v>
      </c>
      <c r="F89" s="9">
        <v>2279.6865000000003</v>
      </c>
      <c r="G89" s="9">
        <v>379.94775000000004</v>
      </c>
      <c r="H89" s="9">
        <v>2716.6834799999997</v>
      </c>
      <c r="I89" s="9">
        <v>0</v>
      </c>
      <c r="J89" s="9">
        <v>5101.2</v>
      </c>
      <c r="K89" s="9">
        <v>2328.5858399999997</v>
      </c>
      <c r="L89" s="9">
        <v>0</v>
      </c>
      <c r="M89" s="9">
        <v>176.58442619999997</v>
      </c>
      <c r="N89" s="9">
        <v>360.23222944799994</v>
      </c>
      <c r="O89" s="9">
        <v>1791.7691843519997</v>
      </c>
      <c r="P89" s="9">
        <v>0</v>
      </c>
      <c r="Q89" s="9">
        <v>0</v>
      </c>
      <c r="R89" s="9">
        <v>0</v>
      </c>
      <c r="S89" s="9">
        <v>2328.5858399999997</v>
      </c>
      <c r="T89" s="9">
        <v>1791.7691843519997</v>
      </c>
      <c r="U89" s="9">
        <v>0</v>
      </c>
      <c r="V89">
        <v>0</v>
      </c>
    </row>
    <row r="90" spans="1:22" x14ac:dyDescent="0.25">
      <c r="A90" t="s">
        <v>108</v>
      </c>
      <c r="B90" t="s">
        <v>176</v>
      </c>
      <c r="C90" t="s">
        <v>175</v>
      </c>
      <c r="D90" s="4">
        <v>1</v>
      </c>
      <c r="E90" s="4">
        <v>0</v>
      </c>
      <c r="F90" s="9">
        <v>2388.2430000000004</v>
      </c>
      <c r="G90" s="9">
        <v>398.04050000000007</v>
      </c>
      <c r="H90" s="9">
        <v>2716.6834799999997</v>
      </c>
      <c r="I90" s="9">
        <v>0</v>
      </c>
      <c r="J90" s="9">
        <v>5101.2</v>
      </c>
      <c r="K90" s="9">
        <v>2328.5858399999997</v>
      </c>
      <c r="L90" s="9">
        <v>0</v>
      </c>
      <c r="M90" s="9">
        <v>176.58442619999997</v>
      </c>
      <c r="N90" s="9">
        <v>360.23222944799994</v>
      </c>
      <c r="O90" s="9">
        <v>1791.7691843519997</v>
      </c>
      <c r="P90" s="9">
        <v>0</v>
      </c>
      <c r="Q90" s="9">
        <v>0</v>
      </c>
      <c r="R90" s="9">
        <v>0</v>
      </c>
      <c r="S90" s="9">
        <v>2328.5858399999997</v>
      </c>
      <c r="T90" s="9">
        <v>1791.7691843519997</v>
      </c>
      <c r="U90" s="9">
        <v>0</v>
      </c>
      <c r="V90">
        <v>0</v>
      </c>
    </row>
    <row r="91" spans="1:22" x14ac:dyDescent="0.25">
      <c r="A91" t="s">
        <v>108</v>
      </c>
      <c r="B91" t="s">
        <v>177</v>
      </c>
      <c r="C91" t="s">
        <v>175</v>
      </c>
      <c r="D91" s="4">
        <v>1</v>
      </c>
      <c r="E91" s="4">
        <v>0</v>
      </c>
      <c r="F91" s="9">
        <v>2388.2430000000004</v>
      </c>
      <c r="G91" s="9">
        <v>398.04050000000007</v>
      </c>
      <c r="H91" s="9">
        <v>2716.6834799999997</v>
      </c>
      <c r="I91" s="9">
        <v>0</v>
      </c>
      <c r="J91" s="9">
        <v>5101.2</v>
      </c>
      <c r="K91" s="9">
        <v>2328.5858399999997</v>
      </c>
      <c r="L91" s="9">
        <v>0</v>
      </c>
      <c r="M91" s="9">
        <v>176.58442619999997</v>
      </c>
      <c r="N91" s="9">
        <v>360.23222944799994</v>
      </c>
      <c r="O91" s="9">
        <v>1791.7691843519997</v>
      </c>
      <c r="P91" s="9">
        <v>0</v>
      </c>
      <c r="Q91" s="9">
        <v>0</v>
      </c>
      <c r="R91" s="9">
        <v>0</v>
      </c>
      <c r="S91" s="9">
        <v>2328.5858399999997</v>
      </c>
      <c r="T91" s="9">
        <v>1791.7691843519997</v>
      </c>
      <c r="U91" s="9">
        <v>0</v>
      </c>
      <c r="V91">
        <v>0</v>
      </c>
    </row>
    <row r="92" spans="1:22" x14ac:dyDescent="0.25">
      <c r="A92" t="s">
        <v>108</v>
      </c>
      <c r="B92" t="s">
        <v>178</v>
      </c>
      <c r="C92" t="s">
        <v>175</v>
      </c>
      <c r="D92" s="4">
        <v>1</v>
      </c>
      <c r="E92" s="4">
        <v>0</v>
      </c>
      <c r="F92" s="9">
        <v>2388.2430000000004</v>
      </c>
      <c r="G92" s="9">
        <v>398.04050000000007</v>
      </c>
      <c r="H92" s="9">
        <v>2716.6834799999997</v>
      </c>
      <c r="I92" s="9">
        <v>0</v>
      </c>
      <c r="J92" s="9">
        <v>5101.2</v>
      </c>
      <c r="K92" s="9">
        <v>2328.5858399999997</v>
      </c>
      <c r="L92" s="9">
        <v>0</v>
      </c>
      <c r="M92" s="9">
        <v>176.58442619999997</v>
      </c>
      <c r="N92" s="9">
        <v>360.23222944799994</v>
      </c>
      <c r="O92" s="9">
        <v>1791.7691843519997</v>
      </c>
      <c r="P92" s="9">
        <v>0</v>
      </c>
      <c r="Q92" s="9">
        <v>0</v>
      </c>
      <c r="R92" s="9">
        <v>0</v>
      </c>
      <c r="S92" s="9">
        <v>2328.5858399999997</v>
      </c>
      <c r="T92" s="9">
        <v>1791.7691843519997</v>
      </c>
      <c r="U92" s="9">
        <v>0</v>
      </c>
      <c r="V92">
        <v>0</v>
      </c>
    </row>
    <row r="93" spans="1:22" x14ac:dyDescent="0.25">
      <c r="A93" t="s">
        <v>108</v>
      </c>
      <c r="B93" t="s">
        <v>179</v>
      </c>
      <c r="C93" t="s">
        <v>175</v>
      </c>
      <c r="D93" s="4">
        <v>1</v>
      </c>
      <c r="E93" s="4">
        <v>0</v>
      </c>
      <c r="F93" s="9">
        <v>2388.2430000000004</v>
      </c>
      <c r="G93" s="9">
        <v>398.04050000000007</v>
      </c>
      <c r="H93" s="9">
        <v>2716.6834799999997</v>
      </c>
      <c r="I93" s="9">
        <v>0</v>
      </c>
      <c r="J93" s="9">
        <v>5101.2</v>
      </c>
      <c r="K93" s="9">
        <v>2328.5858399999997</v>
      </c>
      <c r="L93" s="9">
        <v>0</v>
      </c>
      <c r="M93" s="9">
        <v>176.58442619999997</v>
      </c>
      <c r="N93" s="9">
        <v>360.23222944799994</v>
      </c>
      <c r="O93" s="9">
        <v>1791.7691843519997</v>
      </c>
      <c r="P93" s="9">
        <v>0</v>
      </c>
      <c r="Q93" s="9">
        <v>0</v>
      </c>
      <c r="R93" s="9">
        <v>0</v>
      </c>
      <c r="S93" s="9">
        <v>2328.5858399999997</v>
      </c>
      <c r="T93" s="9">
        <v>1791.7691843519997</v>
      </c>
      <c r="U93" s="9">
        <v>0</v>
      </c>
      <c r="V93">
        <v>0</v>
      </c>
    </row>
    <row r="94" spans="1:22" x14ac:dyDescent="0.25">
      <c r="A94" t="s">
        <v>108</v>
      </c>
      <c r="B94" t="s">
        <v>180</v>
      </c>
      <c r="C94" t="s">
        <v>175</v>
      </c>
      <c r="D94" s="4">
        <v>1</v>
      </c>
      <c r="E94" s="4">
        <v>0</v>
      </c>
      <c r="F94" s="9">
        <v>2388.2430000000004</v>
      </c>
      <c r="G94" s="9">
        <v>398.04050000000007</v>
      </c>
      <c r="H94" s="9">
        <v>2846.04936</v>
      </c>
      <c r="I94" s="9">
        <v>0</v>
      </c>
      <c r="J94" s="9">
        <v>5101.2</v>
      </c>
      <c r="K94" s="9">
        <v>2439.4708799999994</v>
      </c>
      <c r="L94" s="9">
        <v>0</v>
      </c>
      <c r="M94" s="9">
        <v>184.99320839999999</v>
      </c>
      <c r="N94" s="9">
        <v>377.38614513599993</v>
      </c>
      <c r="O94" s="9">
        <v>1877.0915264639993</v>
      </c>
      <c r="P94" s="9">
        <v>0</v>
      </c>
      <c r="Q94" s="9">
        <v>0</v>
      </c>
      <c r="R94" s="9">
        <v>0</v>
      </c>
      <c r="S94" s="9">
        <v>2439.4708799999994</v>
      </c>
      <c r="T94" s="9">
        <v>1877.0915264639993</v>
      </c>
      <c r="U94" s="9">
        <v>0</v>
      </c>
      <c r="V94">
        <v>0</v>
      </c>
    </row>
    <row r="95" spans="1:22" x14ac:dyDescent="0.25">
      <c r="A95" t="s">
        <v>108</v>
      </c>
      <c r="B95" t="s">
        <v>183</v>
      </c>
      <c r="C95" t="s">
        <v>175</v>
      </c>
      <c r="D95" s="4">
        <v>1</v>
      </c>
      <c r="E95" s="4">
        <v>0</v>
      </c>
      <c r="F95" s="9">
        <v>2388.2430000000004</v>
      </c>
      <c r="G95" s="9">
        <v>398.04050000000007</v>
      </c>
      <c r="H95" s="9">
        <v>2846.04936</v>
      </c>
      <c r="I95" s="9">
        <v>0</v>
      </c>
      <c r="J95" s="9">
        <v>5101.2</v>
      </c>
      <c r="K95" s="9">
        <v>2439.4708799999994</v>
      </c>
      <c r="L95" s="9">
        <v>0</v>
      </c>
      <c r="M95" s="9">
        <v>184.99320839999999</v>
      </c>
      <c r="N95" s="9">
        <v>377.38614513599993</v>
      </c>
      <c r="O95" s="9">
        <v>1877.0915264639993</v>
      </c>
      <c r="P95" s="9">
        <v>0</v>
      </c>
      <c r="Q95" s="9">
        <v>0</v>
      </c>
      <c r="R95" s="9">
        <v>0</v>
      </c>
      <c r="S95" s="9">
        <v>2439.4708799999994</v>
      </c>
      <c r="T95" s="9">
        <v>1877.0915264639993</v>
      </c>
      <c r="U95" s="9">
        <v>0</v>
      </c>
      <c r="V95">
        <v>0</v>
      </c>
    </row>
    <row r="96" spans="1:22" x14ac:dyDescent="0.25">
      <c r="A96" t="s">
        <v>108</v>
      </c>
      <c r="B96" t="s">
        <v>184</v>
      </c>
      <c r="C96" t="s">
        <v>175</v>
      </c>
      <c r="D96" s="4">
        <v>1</v>
      </c>
      <c r="E96" s="4">
        <v>0</v>
      </c>
      <c r="F96" s="9">
        <v>2388.2430000000004</v>
      </c>
      <c r="G96" s="9">
        <v>398.04050000000007</v>
      </c>
      <c r="H96" s="9">
        <v>2846.04936</v>
      </c>
      <c r="I96" s="9">
        <v>0</v>
      </c>
      <c r="J96" s="9">
        <v>5101.2</v>
      </c>
      <c r="K96" s="9">
        <v>2439.4708799999994</v>
      </c>
      <c r="L96" s="9">
        <v>0</v>
      </c>
      <c r="M96" s="9">
        <v>184.99320839999999</v>
      </c>
      <c r="N96" s="9">
        <v>377.38614513599993</v>
      </c>
      <c r="O96" s="9">
        <v>1877.0915264639993</v>
      </c>
      <c r="P96" s="9">
        <v>0</v>
      </c>
      <c r="Q96" s="9">
        <v>0</v>
      </c>
      <c r="R96" s="9">
        <v>0</v>
      </c>
      <c r="S96" s="9">
        <v>2439.4708799999994</v>
      </c>
      <c r="T96" s="9">
        <v>1877.0915264639993</v>
      </c>
      <c r="U96" s="9">
        <v>0</v>
      </c>
      <c r="V96">
        <v>0</v>
      </c>
    </row>
    <row r="97" spans="1:22" x14ac:dyDescent="0.25">
      <c r="A97" t="s">
        <v>108</v>
      </c>
      <c r="B97" t="s">
        <v>185</v>
      </c>
      <c r="C97" t="s">
        <v>175</v>
      </c>
      <c r="D97" s="4">
        <v>1</v>
      </c>
      <c r="E97" s="4">
        <v>0</v>
      </c>
      <c r="F97" s="9">
        <v>2388.2430000000004</v>
      </c>
      <c r="G97" s="9">
        <v>398.04050000000007</v>
      </c>
      <c r="H97" s="9">
        <v>2846.04936</v>
      </c>
      <c r="I97" s="9">
        <v>0</v>
      </c>
      <c r="J97" s="9">
        <v>5101.2</v>
      </c>
      <c r="K97" s="9">
        <v>2439.4708799999994</v>
      </c>
      <c r="L97" s="9">
        <v>0</v>
      </c>
      <c r="M97" s="9">
        <v>184.99320839999999</v>
      </c>
      <c r="N97" s="9">
        <v>377.38614513599993</v>
      </c>
      <c r="O97" s="9">
        <v>1877.0915264639993</v>
      </c>
      <c r="P97" s="9">
        <v>0</v>
      </c>
      <c r="Q97" s="9">
        <v>0</v>
      </c>
      <c r="R97" s="9">
        <v>0</v>
      </c>
      <c r="S97" s="9">
        <v>2439.4708799999994</v>
      </c>
      <c r="T97" s="9">
        <v>1877.0915264639993</v>
      </c>
      <c r="U97" s="9">
        <v>0</v>
      </c>
      <c r="V97">
        <v>0</v>
      </c>
    </row>
    <row r="98" spans="1:22" x14ac:dyDescent="0.25">
      <c r="A98" t="s">
        <v>108</v>
      </c>
      <c r="B98" t="s">
        <v>186</v>
      </c>
      <c r="C98" t="s">
        <v>175</v>
      </c>
      <c r="D98" s="4">
        <v>1</v>
      </c>
      <c r="E98" s="4">
        <v>0</v>
      </c>
      <c r="F98" s="9">
        <v>2388.2430000000004</v>
      </c>
      <c r="G98" s="9">
        <v>398.04050000000007</v>
      </c>
      <c r="H98" s="9">
        <v>2846.04936</v>
      </c>
      <c r="I98" s="9">
        <v>0</v>
      </c>
      <c r="J98" s="9">
        <v>5101.2</v>
      </c>
      <c r="K98" s="9">
        <v>2439.4708799999994</v>
      </c>
      <c r="L98" s="9">
        <v>0</v>
      </c>
      <c r="M98" s="9">
        <v>184.99320839999999</v>
      </c>
      <c r="N98" s="9">
        <v>377.38614513599993</v>
      </c>
      <c r="O98" s="9">
        <v>1877.0915264639993</v>
      </c>
      <c r="P98" s="9">
        <v>0</v>
      </c>
      <c r="Q98" s="9">
        <v>0</v>
      </c>
      <c r="R98" s="9">
        <v>0</v>
      </c>
      <c r="S98" s="9">
        <v>2439.4708799999994</v>
      </c>
      <c r="T98" s="9">
        <v>1877.0915264639993</v>
      </c>
      <c r="U98" s="9">
        <v>0</v>
      </c>
      <c r="V98">
        <v>0</v>
      </c>
    </row>
    <row r="99" spans="1:22" x14ac:dyDescent="0.25">
      <c r="A99" t="s">
        <v>108</v>
      </c>
      <c r="B99" t="s">
        <v>187</v>
      </c>
      <c r="C99" t="s">
        <v>175</v>
      </c>
      <c r="D99" s="4">
        <v>1</v>
      </c>
      <c r="E99" s="4">
        <v>0</v>
      </c>
      <c r="F99" s="9">
        <v>2388.2430000000004</v>
      </c>
      <c r="G99" s="9">
        <v>398.04050000000007</v>
      </c>
      <c r="H99" s="9">
        <v>2846.04936</v>
      </c>
      <c r="I99" s="9">
        <v>0</v>
      </c>
      <c r="J99" s="9">
        <v>5101.2</v>
      </c>
      <c r="K99" s="9">
        <v>2439.4708799999994</v>
      </c>
      <c r="L99" s="9">
        <v>0</v>
      </c>
      <c r="M99" s="9">
        <v>184.99320839999999</v>
      </c>
      <c r="N99" s="9">
        <v>377.38614513599993</v>
      </c>
      <c r="O99" s="9">
        <v>1877.0915264639993</v>
      </c>
      <c r="P99" s="9">
        <v>0</v>
      </c>
      <c r="Q99" s="9">
        <v>0</v>
      </c>
      <c r="R99" s="9">
        <v>0</v>
      </c>
      <c r="S99" s="9">
        <v>2439.4708799999994</v>
      </c>
      <c r="T99" s="9">
        <v>1877.0915264639993</v>
      </c>
      <c r="U99" s="9">
        <v>0</v>
      </c>
      <c r="V99">
        <v>0</v>
      </c>
    </row>
    <row r="100" spans="1:22" x14ac:dyDescent="0.25">
      <c r="A100" t="s">
        <v>108</v>
      </c>
      <c r="B100" t="s">
        <v>189</v>
      </c>
      <c r="C100" t="s">
        <v>175</v>
      </c>
      <c r="D100" s="4">
        <v>1</v>
      </c>
      <c r="E100" s="4">
        <v>0</v>
      </c>
      <c r="F100" s="9">
        <v>2388.2430000000004</v>
      </c>
      <c r="G100" s="9">
        <v>398.04050000000007</v>
      </c>
      <c r="H100" s="9">
        <v>2846.04936</v>
      </c>
      <c r="I100" s="9">
        <v>0</v>
      </c>
      <c r="J100" s="9">
        <v>5101.2</v>
      </c>
      <c r="K100" s="9">
        <v>2439.4708799999994</v>
      </c>
      <c r="L100" s="9">
        <v>0</v>
      </c>
      <c r="M100" s="9">
        <v>184.99320839999999</v>
      </c>
      <c r="N100" s="9">
        <v>377.38614513599993</v>
      </c>
      <c r="O100" s="9">
        <v>1877.0915264639993</v>
      </c>
      <c r="P100" s="9">
        <v>0</v>
      </c>
      <c r="Q100" s="9">
        <v>0</v>
      </c>
      <c r="R100" s="9">
        <v>0</v>
      </c>
      <c r="S100" s="9">
        <v>2439.4708799999994</v>
      </c>
      <c r="T100" s="9">
        <v>1877.0915264639993</v>
      </c>
      <c r="U100" s="9">
        <v>0</v>
      </c>
      <c r="V100">
        <v>0</v>
      </c>
    </row>
    <row r="101" spans="1:22" x14ac:dyDescent="0.25">
      <c r="A101" t="s">
        <v>110</v>
      </c>
      <c r="B101" t="s">
        <v>173</v>
      </c>
      <c r="C101" t="s">
        <v>175</v>
      </c>
      <c r="D101" s="4">
        <v>1</v>
      </c>
      <c r="E101" s="4">
        <v>0</v>
      </c>
      <c r="F101" s="9">
        <v>13491.8</v>
      </c>
      <c r="G101" s="9">
        <v>2248.6333333333332</v>
      </c>
      <c r="H101" s="9">
        <v>15467.914583333333</v>
      </c>
      <c r="I101" s="9">
        <v>0</v>
      </c>
      <c r="J101" s="9">
        <v>5101.2</v>
      </c>
      <c r="K101" s="9">
        <v>13258.2125</v>
      </c>
      <c r="L101" s="9">
        <v>0</v>
      </c>
      <c r="M101" s="9">
        <v>355.59091099999995</v>
      </c>
      <c r="N101" s="9">
        <v>4974.7975500000002</v>
      </c>
      <c r="O101" s="9">
        <v>7927.8240390000001</v>
      </c>
      <c r="P101" s="9">
        <v>0</v>
      </c>
      <c r="Q101" s="9">
        <v>0</v>
      </c>
      <c r="R101" s="9">
        <v>0</v>
      </c>
      <c r="S101" s="9">
        <v>13258.2125</v>
      </c>
      <c r="T101" s="9">
        <v>7927.8240390000001</v>
      </c>
      <c r="U101" s="9">
        <v>0</v>
      </c>
      <c r="V101">
        <v>0</v>
      </c>
    </row>
    <row r="102" spans="1:22" x14ac:dyDescent="0.25">
      <c r="A102" t="s">
        <v>110</v>
      </c>
      <c r="B102" t="s">
        <v>176</v>
      </c>
      <c r="C102" t="s">
        <v>175</v>
      </c>
      <c r="D102" s="4">
        <v>1</v>
      </c>
      <c r="E102" s="4">
        <v>0</v>
      </c>
      <c r="F102" s="9">
        <v>13491.8</v>
      </c>
      <c r="G102" s="9">
        <v>2248.6333333333332</v>
      </c>
      <c r="H102" s="9">
        <v>15467.914583333333</v>
      </c>
      <c r="I102" s="9">
        <v>0</v>
      </c>
      <c r="J102" s="9">
        <v>5101.2</v>
      </c>
      <c r="K102" s="9">
        <v>13258.2125</v>
      </c>
      <c r="L102" s="9">
        <v>0</v>
      </c>
      <c r="M102" s="9">
        <v>355.59091099999995</v>
      </c>
      <c r="N102" s="9">
        <v>4974.7975500000002</v>
      </c>
      <c r="O102" s="9">
        <v>7927.8240390000001</v>
      </c>
      <c r="P102" s="9">
        <v>0</v>
      </c>
      <c r="Q102" s="9">
        <v>0</v>
      </c>
      <c r="R102" s="9">
        <v>0</v>
      </c>
      <c r="S102" s="9">
        <v>13258.2125</v>
      </c>
      <c r="T102" s="9">
        <v>7927.8240390000001</v>
      </c>
      <c r="U102" s="9">
        <v>0</v>
      </c>
      <c r="V102">
        <v>0</v>
      </c>
    </row>
    <row r="103" spans="1:22" x14ac:dyDescent="0.25">
      <c r="A103" t="s">
        <v>110</v>
      </c>
      <c r="B103" t="s">
        <v>177</v>
      </c>
      <c r="C103" t="s">
        <v>175</v>
      </c>
      <c r="D103" s="4">
        <v>1</v>
      </c>
      <c r="E103" s="4">
        <v>0</v>
      </c>
      <c r="F103" s="9">
        <v>13491.8</v>
      </c>
      <c r="G103" s="9">
        <v>2248.6333333333332</v>
      </c>
      <c r="H103" s="9">
        <v>15467.914583333333</v>
      </c>
      <c r="I103" s="9">
        <v>0</v>
      </c>
      <c r="J103" s="9">
        <v>5101.2</v>
      </c>
      <c r="K103" s="9">
        <v>13258.2125</v>
      </c>
      <c r="L103" s="9">
        <v>0</v>
      </c>
      <c r="M103" s="9">
        <v>355.59091099999995</v>
      </c>
      <c r="N103" s="9">
        <v>4974.7975500000002</v>
      </c>
      <c r="O103" s="9">
        <v>7927.8240390000001</v>
      </c>
      <c r="P103" s="9">
        <v>0</v>
      </c>
      <c r="Q103" s="9">
        <v>0</v>
      </c>
      <c r="R103" s="9">
        <v>0</v>
      </c>
      <c r="S103" s="9">
        <v>13258.2125</v>
      </c>
      <c r="T103" s="9">
        <v>7927.8240390000001</v>
      </c>
      <c r="U103" s="9">
        <v>0</v>
      </c>
      <c r="V103">
        <v>0</v>
      </c>
    </row>
    <row r="104" spans="1:22" x14ac:dyDescent="0.25">
      <c r="A104" t="s">
        <v>110</v>
      </c>
      <c r="B104" t="s">
        <v>178</v>
      </c>
      <c r="C104" t="s">
        <v>175</v>
      </c>
      <c r="D104" s="4">
        <v>1</v>
      </c>
      <c r="E104" s="4">
        <v>0</v>
      </c>
      <c r="F104" s="9">
        <v>13491.8</v>
      </c>
      <c r="G104" s="9">
        <v>2248.6333333333332</v>
      </c>
      <c r="H104" s="9">
        <v>15467.914583333333</v>
      </c>
      <c r="I104" s="9">
        <v>0</v>
      </c>
      <c r="J104" s="9">
        <v>5101.2</v>
      </c>
      <c r="K104" s="9">
        <v>13258.2125</v>
      </c>
      <c r="L104" s="9">
        <v>0</v>
      </c>
      <c r="M104" s="9">
        <v>355.59091099999995</v>
      </c>
      <c r="N104" s="9">
        <v>4974.7975500000002</v>
      </c>
      <c r="O104" s="9">
        <v>7927.8240390000001</v>
      </c>
      <c r="P104" s="9">
        <v>0</v>
      </c>
      <c r="Q104" s="9">
        <v>0</v>
      </c>
      <c r="R104" s="9">
        <v>0</v>
      </c>
      <c r="S104" s="9">
        <v>13258.2125</v>
      </c>
      <c r="T104" s="9">
        <v>7927.8240390000001</v>
      </c>
      <c r="U104" s="9">
        <v>0</v>
      </c>
      <c r="V104">
        <v>0</v>
      </c>
    </row>
    <row r="105" spans="1:22" x14ac:dyDescent="0.25">
      <c r="A105" t="s">
        <v>110</v>
      </c>
      <c r="B105" t="s">
        <v>179</v>
      </c>
      <c r="C105" t="s">
        <v>175</v>
      </c>
      <c r="D105" s="4">
        <v>1</v>
      </c>
      <c r="E105" s="4">
        <v>0</v>
      </c>
      <c r="F105" s="9">
        <v>13491.8</v>
      </c>
      <c r="G105" s="9">
        <v>2248.6333333333332</v>
      </c>
      <c r="H105" s="9">
        <v>15467.914583333333</v>
      </c>
      <c r="I105" s="9">
        <v>0</v>
      </c>
      <c r="J105" s="9">
        <v>5101.2</v>
      </c>
      <c r="K105" s="9">
        <v>13258.2125</v>
      </c>
      <c r="L105" s="9">
        <v>0</v>
      </c>
      <c r="M105" s="9">
        <v>355.59091099999995</v>
      </c>
      <c r="N105" s="9">
        <v>4974.7975500000002</v>
      </c>
      <c r="O105" s="9">
        <v>7927.8240390000001</v>
      </c>
      <c r="P105" s="9">
        <v>0</v>
      </c>
      <c r="Q105" s="9">
        <v>0</v>
      </c>
      <c r="R105" s="9">
        <v>0</v>
      </c>
      <c r="S105" s="9">
        <v>13258.2125</v>
      </c>
      <c r="T105" s="9">
        <v>7927.8240390000001</v>
      </c>
      <c r="U105" s="9">
        <v>0</v>
      </c>
      <c r="V105">
        <v>0</v>
      </c>
    </row>
    <row r="106" spans="1:22" x14ac:dyDescent="0.25">
      <c r="A106" t="s">
        <v>110</v>
      </c>
      <c r="B106" t="s">
        <v>180</v>
      </c>
      <c r="C106" t="s">
        <v>175</v>
      </c>
      <c r="D106" s="4">
        <v>1</v>
      </c>
      <c r="E106" s="4">
        <v>0</v>
      </c>
      <c r="F106" s="9">
        <v>13491.8</v>
      </c>
      <c r="G106" s="9">
        <v>2248.6333333333332</v>
      </c>
      <c r="H106" s="9">
        <v>15467.914583333333</v>
      </c>
      <c r="I106" s="9">
        <v>0</v>
      </c>
      <c r="J106" s="9">
        <v>5101.2</v>
      </c>
      <c r="K106" s="9">
        <v>13258.2125</v>
      </c>
      <c r="L106" s="9">
        <v>0</v>
      </c>
      <c r="M106" s="9">
        <v>355.59091099999995</v>
      </c>
      <c r="N106" s="9">
        <v>4974.7975500000002</v>
      </c>
      <c r="O106" s="9">
        <v>7927.8240390000001</v>
      </c>
      <c r="P106" s="9">
        <v>0</v>
      </c>
      <c r="Q106" s="9">
        <v>0</v>
      </c>
      <c r="R106" s="9">
        <v>0</v>
      </c>
      <c r="S106" s="9">
        <v>13258.2125</v>
      </c>
      <c r="T106" s="9">
        <v>7927.8240390000001</v>
      </c>
      <c r="U106" s="9">
        <v>0</v>
      </c>
      <c r="V106">
        <v>0</v>
      </c>
    </row>
    <row r="107" spans="1:22" x14ac:dyDescent="0.25">
      <c r="A107" t="s">
        <v>110</v>
      </c>
      <c r="B107" t="s">
        <v>183</v>
      </c>
      <c r="C107" t="s">
        <v>175</v>
      </c>
      <c r="D107" s="4">
        <v>1</v>
      </c>
      <c r="E107" s="4">
        <v>0</v>
      </c>
      <c r="F107" s="9">
        <v>13491.8</v>
      </c>
      <c r="G107" s="9">
        <v>2248.6333333333332</v>
      </c>
      <c r="H107" s="9">
        <v>15467.914583333333</v>
      </c>
      <c r="I107" s="9">
        <v>0</v>
      </c>
      <c r="J107" s="9">
        <v>5101.2</v>
      </c>
      <c r="K107" s="9">
        <v>13258.2125</v>
      </c>
      <c r="L107" s="9">
        <v>0</v>
      </c>
      <c r="M107" s="9">
        <v>355.59091099999995</v>
      </c>
      <c r="N107" s="9">
        <v>4974.7975500000002</v>
      </c>
      <c r="O107" s="9">
        <v>7927.8240390000001</v>
      </c>
      <c r="P107" s="9">
        <v>0</v>
      </c>
      <c r="Q107" s="9">
        <v>0</v>
      </c>
      <c r="R107" s="9">
        <v>0</v>
      </c>
      <c r="S107" s="9">
        <v>13258.2125</v>
      </c>
      <c r="T107" s="9">
        <v>7927.8240390000001</v>
      </c>
      <c r="U107" s="9">
        <v>0</v>
      </c>
      <c r="V107">
        <v>0</v>
      </c>
    </row>
    <row r="108" spans="1:22" x14ac:dyDescent="0.25">
      <c r="A108" t="s">
        <v>110</v>
      </c>
      <c r="B108" t="s">
        <v>184</v>
      </c>
      <c r="C108" t="s">
        <v>175</v>
      </c>
      <c r="D108" s="4">
        <v>1</v>
      </c>
      <c r="E108" s="4">
        <v>0</v>
      </c>
      <c r="F108" s="9">
        <v>13491.8</v>
      </c>
      <c r="G108" s="9">
        <v>2248.6333333333332</v>
      </c>
      <c r="H108" s="9">
        <v>15467.914583333333</v>
      </c>
      <c r="I108" s="9">
        <v>0</v>
      </c>
      <c r="J108" s="9">
        <v>5101.2</v>
      </c>
      <c r="K108" s="9">
        <v>13258.2125</v>
      </c>
      <c r="L108" s="9">
        <v>0</v>
      </c>
      <c r="M108" s="9">
        <v>355.59091099999995</v>
      </c>
      <c r="N108" s="9">
        <v>4974.7975500000002</v>
      </c>
      <c r="O108" s="9">
        <v>7927.8240390000001</v>
      </c>
      <c r="P108" s="9">
        <v>0</v>
      </c>
      <c r="Q108" s="9">
        <v>0</v>
      </c>
      <c r="R108" s="9">
        <v>0</v>
      </c>
      <c r="S108" s="9">
        <v>13258.2125</v>
      </c>
      <c r="T108" s="9">
        <v>7927.8240390000001</v>
      </c>
      <c r="U108" s="9">
        <v>0</v>
      </c>
      <c r="V108">
        <v>0</v>
      </c>
    </row>
    <row r="109" spans="1:22" x14ac:dyDescent="0.25">
      <c r="A109" t="s">
        <v>110</v>
      </c>
      <c r="B109" t="s">
        <v>185</v>
      </c>
      <c r="C109" t="s">
        <v>175</v>
      </c>
      <c r="D109" s="4">
        <v>1</v>
      </c>
      <c r="E109" s="4">
        <v>0</v>
      </c>
      <c r="F109" s="9">
        <v>13491.8</v>
      </c>
      <c r="G109" s="9">
        <v>2248.6333333333332</v>
      </c>
      <c r="H109" s="9">
        <v>15467.914583333333</v>
      </c>
      <c r="I109" s="9">
        <v>0</v>
      </c>
      <c r="J109" s="9">
        <v>5101.2</v>
      </c>
      <c r="K109" s="9">
        <v>13258.2125</v>
      </c>
      <c r="L109" s="9">
        <v>0</v>
      </c>
      <c r="M109" s="9">
        <v>355.59091099999995</v>
      </c>
      <c r="N109" s="9">
        <v>4974.7975500000002</v>
      </c>
      <c r="O109" s="9">
        <v>7927.8240390000001</v>
      </c>
      <c r="P109" s="9">
        <v>0</v>
      </c>
      <c r="Q109" s="9">
        <v>0</v>
      </c>
      <c r="R109" s="9">
        <v>0</v>
      </c>
      <c r="S109" s="9">
        <v>13258.2125</v>
      </c>
      <c r="T109" s="9">
        <v>7927.8240390000001</v>
      </c>
      <c r="U109" s="9">
        <v>0</v>
      </c>
      <c r="V109">
        <v>0</v>
      </c>
    </row>
    <row r="110" spans="1:22" x14ac:dyDescent="0.25">
      <c r="A110" t="s">
        <v>110</v>
      </c>
      <c r="B110" t="s">
        <v>186</v>
      </c>
      <c r="C110" t="s">
        <v>175</v>
      </c>
      <c r="D110" s="4">
        <v>1</v>
      </c>
      <c r="E110" s="4">
        <v>0</v>
      </c>
      <c r="F110" s="9">
        <v>13491.8</v>
      </c>
      <c r="G110" s="9">
        <v>2248.6333333333332</v>
      </c>
      <c r="H110" s="9">
        <v>15467.914583333333</v>
      </c>
      <c r="I110" s="9">
        <v>0</v>
      </c>
      <c r="J110" s="9">
        <v>5101.2</v>
      </c>
      <c r="K110" s="9">
        <v>13258.2125</v>
      </c>
      <c r="L110" s="9">
        <v>0</v>
      </c>
      <c r="M110" s="9">
        <v>355.59091099999995</v>
      </c>
      <c r="N110" s="9">
        <v>4974.7975500000002</v>
      </c>
      <c r="O110" s="9">
        <v>7927.8240390000001</v>
      </c>
      <c r="P110" s="9">
        <v>0</v>
      </c>
      <c r="Q110" s="9">
        <v>0</v>
      </c>
      <c r="R110" s="9">
        <v>0</v>
      </c>
      <c r="S110" s="9">
        <v>13258.2125</v>
      </c>
      <c r="T110" s="9">
        <v>7927.8240390000001</v>
      </c>
      <c r="U110" s="9">
        <v>0</v>
      </c>
      <c r="V110">
        <v>0</v>
      </c>
    </row>
    <row r="111" spans="1:22" x14ac:dyDescent="0.25">
      <c r="A111" t="s">
        <v>110</v>
      </c>
      <c r="B111" t="s">
        <v>187</v>
      </c>
      <c r="C111" t="s">
        <v>175</v>
      </c>
      <c r="D111" s="4">
        <v>1</v>
      </c>
      <c r="E111" s="4">
        <v>0</v>
      </c>
      <c r="F111" s="9">
        <v>13491.8</v>
      </c>
      <c r="G111" s="9">
        <v>2248.6333333333332</v>
      </c>
      <c r="H111" s="9">
        <v>15467.914583333333</v>
      </c>
      <c r="I111" s="9">
        <v>0</v>
      </c>
      <c r="J111" s="9">
        <v>5101.2</v>
      </c>
      <c r="K111" s="9">
        <v>13258.2125</v>
      </c>
      <c r="L111" s="9">
        <v>0</v>
      </c>
      <c r="M111" s="9">
        <v>355.59091099999995</v>
      </c>
      <c r="N111" s="9">
        <v>4974.7975500000002</v>
      </c>
      <c r="O111" s="9">
        <v>7927.8240390000001</v>
      </c>
      <c r="P111" s="9">
        <v>0</v>
      </c>
      <c r="Q111" s="9">
        <v>0</v>
      </c>
      <c r="R111" s="9">
        <v>0</v>
      </c>
      <c r="S111" s="9">
        <v>13258.2125</v>
      </c>
      <c r="T111" s="9">
        <v>7927.8240390000001</v>
      </c>
      <c r="U111" s="9">
        <v>0</v>
      </c>
      <c r="V111">
        <v>0</v>
      </c>
    </row>
    <row r="112" spans="1:22" x14ac:dyDescent="0.25">
      <c r="A112" t="s">
        <v>110</v>
      </c>
      <c r="B112" t="s">
        <v>189</v>
      </c>
      <c r="C112" t="s">
        <v>175</v>
      </c>
      <c r="D112" s="4">
        <v>1</v>
      </c>
      <c r="E112" s="4">
        <v>0</v>
      </c>
      <c r="F112" s="9">
        <v>13491.8</v>
      </c>
      <c r="G112" s="9">
        <v>2248.6333333333332</v>
      </c>
      <c r="H112" s="9">
        <v>15467.914583333333</v>
      </c>
      <c r="I112" s="9">
        <v>0</v>
      </c>
      <c r="J112" s="9">
        <v>5101.2</v>
      </c>
      <c r="K112" s="9">
        <v>13258.2125</v>
      </c>
      <c r="L112" s="9">
        <v>0</v>
      </c>
      <c r="M112" s="9">
        <v>355.59091099999995</v>
      </c>
      <c r="N112" s="9">
        <v>4974.7975500000002</v>
      </c>
      <c r="O112" s="9">
        <v>7927.8240390000001</v>
      </c>
      <c r="P112" s="9">
        <v>0</v>
      </c>
      <c r="Q112" s="9">
        <v>0</v>
      </c>
      <c r="R112" s="9">
        <v>0</v>
      </c>
      <c r="S112" s="9">
        <v>13258.2125</v>
      </c>
      <c r="T112" s="9">
        <v>7927.8240390000001</v>
      </c>
      <c r="U112" s="9">
        <v>0</v>
      </c>
      <c r="V112">
        <v>0</v>
      </c>
    </row>
    <row r="113" spans="1:22" x14ac:dyDescent="0.25">
      <c r="A113" t="s">
        <v>112</v>
      </c>
      <c r="B113" t="s">
        <v>173</v>
      </c>
      <c r="C113" t="s">
        <v>175</v>
      </c>
      <c r="D113" s="4">
        <v>1</v>
      </c>
      <c r="E113" s="4">
        <v>0</v>
      </c>
      <c r="F113" s="9">
        <v>1786.6379999999999</v>
      </c>
      <c r="G113" s="9">
        <v>297.77299999999997</v>
      </c>
      <c r="H113" s="9">
        <v>2251.2093449999998</v>
      </c>
      <c r="I113" s="9">
        <v>0</v>
      </c>
      <c r="J113" s="9">
        <v>5101.2</v>
      </c>
      <c r="K113" s="9">
        <v>1929.6080099999999</v>
      </c>
      <c r="L113" s="9">
        <v>0</v>
      </c>
      <c r="M113" s="9">
        <v>146.328607425</v>
      </c>
      <c r="N113" s="9">
        <v>291.94969191299998</v>
      </c>
      <c r="O113" s="9">
        <v>1491.329710662</v>
      </c>
      <c r="P113" s="9">
        <v>0</v>
      </c>
      <c r="Q113" s="9">
        <v>0</v>
      </c>
      <c r="R113" s="9">
        <v>0</v>
      </c>
      <c r="S113" s="9">
        <v>1929.6080099999999</v>
      </c>
      <c r="T113" s="9">
        <v>1491.329710662</v>
      </c>
      <c r="U113" s="9">
        <v>0</v>
      </c>
      <c r="V113">
        <v>0</v>
      </c>
    </row>
    <row r="114" spans="1:22" x14ac:dyDescent="0.25">
      <c r="A114" t="s">
        <v>112</v>
      </c>
      <c r="B114" t="s">
        <v>176</v>
      </c>
      <c r="C114" t="s">
        <v>175</v>
      </c>
      <c r="D114" s="4">
        <v>1</v>
      </c>
      <c r="E114" s="4">
        <v>0</v>
      </c>
      <c r="F114" s="9">
        <v>1786.6379999999999</v>
      </c>
      <c r="G114" s="9">
        <v>297.77299999999997</v>
      </c>
      <c r="H114" s="9">
        <v>2251.2093449999998</v>
      </c>
      <c r="I114" s="9">
        <v>0</v>
      </c>
      <c r="J114" s="9">
        <v>5101.2</v>
      </c>
      <c r="K114" s="9">
        <v>1929.6080099999999</v>
      </c>
      <c r="L114" s="9">
        <v>0</v>
      </c>
      <c r="M114" s="9">
        <v>146.328607425</v>
      </c>
      <c r="N114" s="9">
        <v>291.94969191299998</v>
      </c>
      <c r="O114" s="9">
        <v>1491.329710662</v>
      </c>
      <c r="P114" s="9">
        <v>0</v>
      </c>
      <c r="Q114" s="9">
        <v>0</v>
      </c>
      <c r="R114" s="9">
        <v>0</v>
      </c>
      <c r="S114" s="9">
        <v>1929.6080099999999</v>
      </c>
      <c r="T114" s="9">
        <v>1491.329710662</v>
      </c>
      <c r="U114" s="9">
        <v>0</v>
      </c>
      <c r="V114">
        <v>0</v>
      </c>
    </row>
    <row r="115" spans="1:22" x14ac:dyDescent="0.25">
      <c r="A115" t="s">
        <v>112</v>
      </c>
      <c r="B115" t="s">
        <v>177</v>
      </c>
      <c r="C115" t="s">
        <v>175</v>
      </c>
      <c r="D115" s="4">
        <v>1</v>
      </c>
      <c r="E115" s="4">
        <v>0</v>
      </c>
      <c r="F115" s="9">
        <v>1786.6379999999999</v>
      </c>
      <c r="G115" s="9">
        <v>297.77299999999997</v>
      </c>
      <c r="H115" s="9">
        <v>2084.4110000000001</v>
      </c>
      <c r="I115" s="9">
        <v>0</v>
      </c>
      <c r="J115" s="9">
        <v>5101.2</v>
      </c>
      <c r="K115" s="9">
        <v>1786.6379999999999</v>
      </c>
      <c r="L115" s="9">
        <v>0</v>
      </c>
      <c r="M115" s="9">
        <v>135.486715</v>
      </c>
      <c r="N115" s="9">
        <v>291.94969191299998</v>
      </c>
      <c r="O115" s="9">
        <v>1359.201593087</v>
      </c>
      <c r="P115" s="9">
        <v>0</v>
      </c>
      <c r="Q115" s="9">
        <v>0</v>
      </c>
      <c r="R115" s="9">
        <v>0</v>
      </c>
      <c r="S115" s="9">
        <v>1786.6379999999999</v>
      </c>
      <c r="T115" s="9">
        <v>1359.201593087</v>
      </c>
      <c r="U115" s="9">
        <v>0</v>
      </c>
      <c r="V115">
        <v>0</v>
      </c>
    </row>
    <row r="116" spans="1:22" x14ac:dyDescent="0.25">
      <c r="A116" t="s">
        <v>112</v>
      </c>
      <c r="B116" t="s">
        <v>178</v>
      </c>
      <c r="C116" t="s">
        <v>175</v>
      </c>
      <c r="D116" s="4">
        <v>1</v>
      </c>
      <c r="E116" s="4">
        <v>0</v>
      </c>
      <c r="F116" s="9">
        <v>1786.6379999999999</v>
      </c>
      <c r="G116" s="9">
        <v>297.77299999999997</v>
      </c>
      <c r="H116" s="9">
        <v>2251.2093449999998</v>
      </c>
      <c r="I116" s="9">
        <v>0</v>
      </c>
      <c r="J116" s="9">
        <v>5101.2</v>
      </c>
      <c r="K116" s="9">
        <v>1929.6080099999999</v>
      </c>
      <c r="L116" s="9">
        <v>0</v>
      </c>
      <c r="M116" s="9">
        <v>146.328607425</v>
      </c>
      <c r="N116" s="9">
        <v>291.94969191299998</v>
      </c>
      <c r="O116" s="9">
        <v>1491.329710662</v>
      </c>
      <c r="P116" s="9">
        <v>0</v>
      </c>
      <c r="Q116" s="9">
        <v>0</v>
      </c>
      <c r="R116" s="9">
        <v>0</v>
      </c>
      <c r="S116" s="9">
        <v>1929.6080099999999</v>
      </c>
      <c r="T116" s="9">
        <v>1491.329710662</v>
      </c>
      <c r="U116" s="9">
        <v>0</v>
      </c>
      <c r="V116">
        <v>0</v>
      </c>
    </row>
    <row r="117" spans="1:22" x14ac:dyDescent="0.25">
      <c r="A117" t="s">
        <v>112</v>
      </c>
      <c r="B117" t="s">
        <v>179</v>
      </c>
      <c r="C117" t="s">
        <v>175</v>
      </c>
      <c r="D117" s="4">
        <v>1</v>
      </c>
      <c r="E117" s="4">
        <v>0</v>
      </c>
      <c r="F117" s="9">
        <v>1786.6379999999999</v>
      </c>
      <c r="G117" s="9">
        <v>297.77299999999997</v>
      </c>
      <c r="H117" s="9">
        <v>2251.2093449999998</v>
      </c>
      <c r="I117" s="9">
        <v>0</v>
      </c>
      <c r="J117" s="9">
        <v>5101.2</v>
      </c>
      <c r="K117" s="9">
        <v>1929.6080099999999</v>
      </c>
      <c r="L117" s="9">
        <v>0</v>
      </c>
      <c r="M117" s="9">
        <v>146.328607425</v>
      </c>
      <c r="N117" s="9">
        <v>291.94969191299998</v>
      </c>
      <c r="O117" s="9">
        <v>1491.329710662</v>
      </c>
      <c r="P117" s="9">
        <v>0</v>
      </c>
      <c r="Q117" s="9">
        <v>0</v>
      </c>
      <c r="R117" s="9">
        <v>0</v>
      </c>
      <c r="S117" s="9">
        <v>1929.6080099999999</v>
      </c>
      <c r="T117" s="9">
        <v>1491.329710662</v>
      </c>
      <c r="U117" s="9">
        <v>0</v>
      </c>
      <c r="V117">
        <v>0</v>
      </c>
    </row>
    <row r="118" spans="1:22" x14ac:dyDescent="0.25">
      <c r="A118" t="s">
        <v>112</v>
      </c>
      <c r="B118" t="s">
        <v>180</v>
      </c>
      <c r="C118" t="s">
        <v>175</v>
      </c>
      <c r="D118" s="4">
        <v>1</v>
      </c>
      <c r="E118" s="4">
        <v>0</v>
      </c>
      <c r="F118" s="9">
        <v>1786.6379999999999</v>
      </c>
      <c r="G118" s="9">
        <v>297.77299999999997</v>
      </c>
      <c r="H118" s="9">
        <v>2251.2093449999998</v>
      </c>
      <c r="I118" s="9">
        <v>0</v>
      </c>
      <c r="J118" s="9">
        <v>5101.2</v>
      </c>
      <c r="K118" s="9">
        <v>1929.6080099999999</v>
      </c>
      <c r="L118" s="9">
        <v>0</v>
      </c>
      <c r="M118" s="9">
        <v>146.328607425</v>
      </c>
      <c r="N118" s="9">
        <v>291.94969191299998</v>
      </c>
      <c r="O118" s="9">
        <v>1491.329710662</v>
      </c>
      <c r="P118" s="9">
        <v>0</v>
      </c>
      <c r="Q118" s="9">
        <v>0</v>
      </c>
      <c r="R118" s="9">
        <v>0</v>
      </c>
      <c r="S118" s="9">
        <v>1929.6080099999999</v>
      </c>
      <c r="T118" s="9">
        <v>1491.329710662</v>
      </c>
      <c r="U118" s="9">
        <v>0</v>
      </c>
      <c r="V118">
        <v>0</v>
      </c>
    </row>
    <row r="119" spans="1:22" x14ac:dyDescent="0.25">
      <c r="A119" t="s">
        <v>112</v>
      </c>
      <c r="B119" t="s">
        <v>183</v>
      </c>
      <c r="C119" t="s">
        <v>175</v>
      </c>
      <c r="D119" s="4">
        <v>1</v>
      </c>
      <c r="E119" s="4">
        <v>0</v>
      </c>
      <c r="F119" s="9">
        <v>1786.6379999999999</v>
      </c>
      <c r="G119" s="9">
        <v>297.77299999999997</v>
      </c>
      <c r="H119" s="9">
        <v>2251.2093449999998</v>
      </c>
      <c r="I119" s="9">
        <v>0</v>
      </c>
      <c r="J119" s="9">
        <v>5101.2</v>
      </c>
      <c r="K119" s="9">
        <v>1929.6080099999999</v>
      </c>
      <c r="L119" s="9">
        <v>0</v>
      </c>
      <c r="M119" s="9">
        <v>146.328607425</v>
      </c>
      <c r="N119" s="9">
        <v>291.94969191299998</v>
      </c>
      <c r="O119" s="9">
        <v>1491.329710662</v>
      </c>
      <c r="P119" s="9">
        <v>0</v>
      </c>
      <c r="Q119" s="9">
        <v>0</v>
      </c>
      <c r="R119" s="9">
        <v>0</v>
      </c>
      <c r="S119" s="9">
        <v>1929.6080099999999</v>
      </c>
      <c r="T119" s="9">
        <v>1491.329710662</v>
      </c>
      <c r="U119" s="9">
        <v>0</v>
      </c>
      <c r="V119">
        <v>0</v>
      </c>
    </row>
    <row r="120" spans="1:22" x14ac:dyDescent="0.25">
      <c r="A120" t="s">
        <v>112</v>
      </c>
      <c r="B120" t="s">
        <v>184</v>
      </c>
      <c r="C120" t="s">
        <v>175</v>
      </c>
      <c r="D120" s="4">
        <v>1</v>
      </c>
      <c r="E120" s="4">
        <v>0</v>
      </c>
      <c r="F120" s="9">
        <v>1871.7160000000001</v>
      </c>
      <c r="G120" s="9">
        <v>311.95266666666669</v>
      </c>
      <c r="H120" s="9">
        <v>2251.2093449999998</v>
      </c>
      <c r="I120" s="9">
        <v>0</v>
      </c>
      <c r="J120" s="9">
        <v>5101.2</v>
      </c>
      <c r="K120" s="9">
        <v>1929.6080099999999</v>
      </c>
      <c r="L120" s="9">
        <v>0</v>
      </c>
      <c r="M120" s="9">
        <v>146.328607425</v>
      </c>
      <c r="N120" s="9">
        <v>291.94969191299998</v>
      </c>
      <c r="O120" s="9">
        <v>1491.329710662</v>
      </c>
      <c r="P120" s="9">
        <v>0</v>
      </c>
      <c r="Q120" s="9">
        <v>0</v>
      </c>
      <c r="R120" s="9">
        <v>0</v>
      </c>
      <c r="S120" s="9">
        <v>1929.6080099999999</v>
      </c>
      <c r="T120" s="9">
        <v>1491.329710662</v>
      </c>
      <c r="U120" s="9">
        <v>0</v>
      </c>
      <c r="V120">
        <v>0</v>
      </c>
    </row>
    <row r="121" spans="1:22" x14ac:dyDescent="0.25">
      <c r="A121" t="s">
        <v>112</v>
      </c>
      <c r="B121" t="s">
        <v>185</v>
      </c>
      <c r="C121" t="s">
        <v>175</v>
      </c>
      <c r="D121" s="4">
        <v>1</v>
      </c>
      <c r="E121" s="4">
        <v>0</v>
      </c>
      <c r="F121" s="9">
        <v>1871.7160000000001</v>
      </c>
      <c r="G121" s="9">
        <v>311.95266666666669</v>
      </c>
      <c r="H121" s="9">
        <v>2251.2093449999998</v>
      </c>
      <c r="I121" s="9">
        <v>0</v>
      </c>
      <c r="J121" s="9">
        <v>5101.2</v>
      </c>
      <c r="K121" s="9">
        <v>1929.6080099999999</v>
      </c>
      <c r="L121" s="9">
        <v>0</v>
      </c>
      <c r="M121" s="9">
        <v>146.328607425</v>
      </c>
      <c r="N121" s="9">
        <v>291.94969191299998</v>
      </c>
      <c r="O121" s="9">
        <v>1491.329710662</v>
      </c>
      <c r="P121" s="9">
        <v>0</v>
      </c>
      <c r="Q121" s="9">
        <v>0</v>
      </c>
      <c r="R121" s="9">
        <v>0</v>
      </c>
      <c r="S121" s="9">
        <v>1929.6080099999999</v>
      </c>
      <c r="T121" s="9">
        <v>1491.329710662</v>
      </c>
      <c r="U121" s="9">
        <v>0</v>
      </c>
      <c r="V121">
        <v>0</v>
      </c>
    </row>
    <row r="122" spans="1:22" x14ac:dyDescent="0.25">
      <c r="A122" t="s">
        <v>112</v>
      </c>
      <c r="B122" t="s">
        <v>186</v>
      </c>
      <c r="C122" t="s">
        <v>175</v>
      </c>
      <c r="D122" s="4">
        <v>1</v>
      </c>
      <c r="E122" s="4">
        <v>0</v>
      </c>
      <c r="F122" s="9">
        <v>1871.7160000000001</v>
      </c>
      <c r="G122" s="9">
        <v>311.95266666666669</v>
      </c>
      <c r="H122" s="9">
        <v>2251.2093449999998</v>
      </c>
      <c r="I122" s="9">
        <v>0</v>
      </c>
      <c r="J122" s="9">
        <v>5101.2</v>
      </c>
      <c r="K122" s="9">
        <v>1929.6080099999999</v>
      </c>
      <c r="L122" s="9">
        <v>0</v>
      </c>
      <c r="M122" s="9">
        <v>146.328607425</v>
      </c>
      <c r="N122" s="9">
        <v>291.94969191299998</v>
      </c>
      <c r="O122" s="9">
        <v>1491.329710662</v>
      </c>
      <c r="P122" s="9">
        <v>0</v>
      </c>
      <c r="Q122" s="9">
        <v>0</v>
      </c>
      <c r="R122" s="9">
        <v>0</v>
      </c>
      <c r="S122" s="9">
        <v>1929.6080099999999</v>
      </c>
      <c r="T122" s="9">
        <v>1491.329710662</v>
      </c>
      <c r="U122" s="9">
        <v>0</v>
      </c>
      <c r="V122">
        <v>0</v>
      </c>
    </row>
    <row r="123" spans="1:22" x14ac:dyDescent="0.25">
      <c r="A123" t="s">
        <v>112</v>
      </c>
      <c r="B123" t="s">
        <v>187</v>
      </c>
      <c r="C123" t="s">
        <v>175</v>
      </c>
      <c r="D123" s="4">
        <v>1</v>
      </c>
      <c r="E123" s="4">
        <v>0</v>
      </c>
      <c r="F123" s="9">
        <v>1871.7160000000001</v>
      </c>
      <c r="G123" s="9">
        <v>311.95266666666669</v>
      </c>
      <c r="H123" s="9">
        <v>2251.2093449999998</v>
      </c>
      <c r="I123" s="9">
        <v>0</v>
      </c>
      <c r="J123" s="9">
        <v>5101.2</v>
      </c>
      <c r="K123" s="9">
        <v>1929.6080099999999</v>
      </c>
      <c r="L123" s="9">
        <v>0</v>
      </c>
      <c r="M123" s="9">
        <v>146.328607425</v>
      </c>
      <c r="N123" s="9">
        <v>291.94969191299998</v>
      </c>
      <c r="O123" s="9">
        <v>1491.329710662</v>
      </c>
      <c r="P123" s="9">
        <v>0</v>
      </c>
      <c r="Q123" s="9">
        <v>0</v>
      </c>
      <c r="R123" s="9">
        <v>0</v>
      </c>
      <c r="S123" s="9">
        <v>1929.6080099999999</v>
      </c>
      <c r="T123" s="9">
        <v>1491.329710662</v>
      </c>
      <c r="U123" s="9">
        <v>0</v>
      </c>
      <c r="V123">
        <v>0</v>
      </c>
    </row>
    <row r="124" spans="1:22" x14ac:dyDescent="0.25">
      <c r="A124" t="s">
        <v>112</v>
      </c>
      <c r="B124" t="s">
        <v>189</v>
      </c>
      <c r="C124" t="s">
        <v>175</v>
      </c>
      <c r="D124" s="4">
        <v>1</v>
      </c>
      <c r="E124" s="4">
        <v>0</v>
      </c>
      <c r="F124" s="9">
        <v>1871.7160000000001</v>
      </c>
      <c r="G124" s="9">
        <v>311.95266666666669</v>
      </c>
      <c r="H124" s="9">
        <v>2251.2093449999998</v>
      </c>
      <c r="I124" s="9">
        <v>0</v>
      </c>
      <c r="J124" s="9">
        <v>5101.2</v>
      </c>
      <c r="K124" s="9">
        <v>1929.6080099999999</v>
      </c>
      <c r="L124" s="9">
        <v>0</v>
      </c>
      <c r="M124" s="9">
        <v>146.328607425</v>
      </c>
      <c r="N124" s="9">
        <v>291.94969191299998</v>
      </c>
      <c r="O124" s="9">
        <v>1491.329710662</v>
      </c>
      <c r="P124" s="9">
        <v>0</v>
      </c>
      <c r="Q124" s="9">
        <v>0</v>
      </c>
      <c r="R124" s="9">
        <v>0</v>
      </c>
      <c r="S124" s="9">
        <v>1929.6080099999999</v>
      </c>
      <c r="T124" s="9">
        <v>1491.329710662</v>
      </c>
      <c r="U124" s="9">
        <v>0</v>
      </c>
      <c r="V124">
        <v>0</v>
      </c>
    </row>
    <row r="125" spans="1:22" x14ac:dyDescent="0.25">
      <c r="A125" t="s">
        <v>114</v>
      </c>
      <c r="B125" t="s">
        <v>173</v>
      </c>
      <c r="C125" t="s">
        <v>175</v>
      </c>
      <c r="D125" s="4">
        <v>1</v>
      </c>
      <c r="E125" s="4">
        <v>0</v>
      </c>
      <c r="F125" s="9">
        <v>7662.4125000000004</v>
      </c>
      <c r="G125" s="9">
        <v>1277.0687499999999</v>
      </c>
      <c r="H125" s="9">
        <v>8747.0512500000004</v>
      </c>
      <c r="I125" s="9">
        <v>0</v>
      </c>
      <c r="J125" s="9">
        <v>5101.2</v>
      </c>
      <c r="K125" s="9">
        <v>7497.4724999999999</v>
      </c>
      <c r="L125" s="9">
        <v>0</v>
      </c>
      <c r="M125" s="9">
        <v>339.46083899999996</v>
      </c>
      <c r="N125" s="9">
        <v>2456.1719910000002</v>
      </c>
      <c r="O125" s="9">
        <v>4701.8396699999994</v>
      </c>
      <c r="P125" s="9">
        <v>0</v>
      </c>
      <c r="Q125" s="9">
        <v>0</v>
      </c>
      <c r="R125" s="9">
        <v>0</v>
      </c>
      <c r="S125" s="9">
        <v>7497.4724999999999</v>
      </c>
      <c r="T125" s="9">
        <v>4701.8396699999994</v>
      </c>
      <c r="U125" s="9">
        <v>0</v>
      </c>
      <c r="V125">
        <v>0</v>
      </c>
    </row>
    <row r="126" spans="1:22" x14ac:dyDescent="0.25">
      <c r="A126" t="s">
        <v>114</v>
      </c>
      <c r="B126" t="s">
        <v>176</v>
      </c>
      <c r="C126" t="s">
        <v>175</v>
      </c>
      <c r="D126" s="4">
        <v>1</v>
      </c>
      <c r="E126" s="4">
        <v>0</v>
      </c>
      <c r="F126" s="9">
        <v>7662.4125000000004</v>
      </c>
      <c r="G126" s="9">
        <v>1277.0687499999999</v>
      </c>
      <c r="H126" s="9">
        <v>8747.0512500000004</v>
      </c>
      <c r="I126" s="9">
        <v>0</v>
      </c>
      <c r="J126" s="9">
        <v>5101.2</v>
      </c>
      <c r="K126" s="9">
        <v>7497.4724999999999</v>
      </c>
      <c r="L126" s="9">
        <v>0</v>
      </c>
      <c r="M126" s="9">
        <v>339.46083899999996</v>
      </c>
      <c r="N126" s="9">
        <v>2456.1719910000002</v>
      </c>
      <c r="O126" s="9">
        <v>4701.8396699999994</v>
      </c>
      <c r="P126" s="9">
        <v>0</v>
      </c>
      <c r="Q126" s="9">
        <v>0</v>
      </c>
      <c r="R126" s="9">
        <v>0</v>
      </c>
      <c r="S126" s="9">
        <v>7497.4724999999999</v>
      </c>
      <c r="T126" s="9">
        <v>4701.8396699999994</v>
      </c>
      <c r="U126" s="9">
        <v>0</v>
      </c>
      <c r="V126">
        <v>0</v>
      </c>
    </row>
    <row r="127" spans="1:22" x14ac:dyDescent="0.25">
      <c r="A127" t="s">
        <v>114</v>
      </c>
      <c r="B127" t="s">
        <v>177</v>
      </c>
      <c r="C127" t="s">
        <v>175</v>
      </c>
      <c r="D127" s="4">
        <v>1</v>
      </c>
      <c r="E127" s="4">
        <v>0</v>
      </c>
      <c r="F127" s="9">
        <v>7662.4125000000004</v>
      </c>
      <c r="G127" s="9">
        <v>1277.0687499999999</v>
      </c>
      <c r="H127" s="9">
        <v>8747.0512500000004</v>
      </c>
      <c r="I127" s="9">
        <v>0</v>
      </c>
      <c r="J127" s="9">
        <v>5101.2</v>
      </c>
      <c r="K127" s="9">
        <v>7497.4724999999999</v>
      </c>
      <c r="L127" s="9">
        <v>0</v>
      </c>
      <c r="M127" s="9">
        <v>339.46083899999996</v>
      </c>
      <c r="N127" s="9">
        <v>2456.1719910000002</v>
      </c>
      <c r="O127" s="9">
        <v>4701.8396699999994</v>
      </c>
      <c r="P127" s="9">
        <v>0</v>
      </c>
      <c r="Q127" s="9">
        <v>0</v>
      </c>
      <c r="R127" s="9">
        <v>0</v>
      </c>
      <c r="S127" s="9">
        <v>7497.4724999999999</v>
      </c>
      <c r="T127" s="9">
        <v>4701.8396699999994</v>
      </c>
      <c r="U127" s="9">
        <v>0</v>
      </c>
      <c r="V127">
        <v>0</v>
      </c>
    </row>
    <row r="128" spans="1:22" x14ac:dyDescent="0.25">
      <c r="A128" t="s">
        <v>114</v>
      </c>
      <c r="B128" t="s">
        <v>178</v>
      </c>
      <c r="C128" t="s">
        <v>175</v>
      </c>
      <c r="D128" s="4">
        <v>1</v>
      </c>
      <c r="E128" s="4">
        <v>0</v>
      </c>
      <c r="F128" s="9">
        <v>7662.4125000000004</v>
      </c>
      <c r="G128" s="9">
        <v>1277.0687499999999</v>
      </c>
      <c r="H128" s="9">
        <v>8747.0512500000004</v>
      </c>
      <c r="I128" s="9">
        <v>0</v>
      </c>
      <c r="J128" s="9">
        <v>5101.2</v>
      </c>
      <c r="K128" s="9">
        <v>7497.4724999999999</v>
      </c>
      <c r="L128" s="9">
        <v>0</v>
      </c>
      <c r="M128" s="9">
        <v>339.46083899999996</v>
      </c>
      <c r="N128" s="9">
        <v>2456.1719910000002</v>
      </c>
      <c r="O128" s="9">
        <v>4701.8396699999994</v>
      </c>
      <c r="P128" s="9">
        <v>0</v>
      </c>
      <c r="Q128" s="9">
        <v>0</v>
      </c>
      <c r="R128" s="9">
        <v>0</v>
      </c>
      <c r="S128" s="9">
        <v>7497.4724999999999</v>
      </c>
      <c r="T128" s="9">
        <v>4701.8396699999994</v>
      </c>
      <c r="U128" s="9">
        <v>0</v>
      </c>
      <c r="V128">
        <v>0</v>
      </c>
    </row>
    <row r="129" spans="1:22" x14ac:dyDescent="0.25">
      <c r="A129" t="s">
        <v>114</v>
      </c>
      <c r="B129" t="s">
        <v>179</v>
      </c>
      <c r="C129" t="s">
        <v>175</v>
      </c>
      <c r="D129" s="4">
        <v>1</v>
      </c>
      <c r="E129" s="4">
        <v>0</v>
      </c>
      <c r="F129" s="9">
        <v>7662.4125000000004</v>
      </c>
      <c r="G129" s="9">
        <v>1277.0687499999999</v>
      </c>
      <c r="H129" s="9">
        <v>8747.0512500000004</v>
      </c>
      <c r="I129" s="9">
        <v>0</v>
      </c>
      <c r="J129" s="9">
        <v>5101.2</v>
      </c>
      <c r="K129" s="9">
        <v>7497.4724999999999</v>
      </c>
      <c r="L129" s="9">
        <v>0</v>
      </c>
      <c r="M129" s="9">
        <v>339.46083899999996</v>
      </c>
      <c r="N129" s="9">
        <v>2456.1719910000002</v>
      </c>
      <c r="O129" s="9">
        <v>4701.8396699999994</v>
      </c>
      <c r="P129" s="9">
        <v>0</v>
      </c>
      <c r="Q129" s="9">
        <v>0</v>
      </c>
      <c r="R129" s="9">
        <v>0</v>
      </c>
      <c r="S129" s="9">
        <v>7497.4724999999999</v>
      </c>
      <c r="T129" s="9">
        <v>4701.8396699999994</v>
      </c>
      <c r="U129" s="9">
        <v>0</v>
      </c>
      <c r="V129">
        <v>0</v>
      </c>
    </row>
    <row r="130" spans="1:22" x14ac:dyDescent="0.25">
      <c r="A130" t="s">
        <v>114</v>
      </c>
      <c r="B130" t="s">
        <v>180</v>
      </c>
      <c r="C130" t="s">
        <v>175</v>
      </c>
      <c r="D130" s="4">
        <v>1</v>
      </c>
      <c r="E130" s="4">
        <v>0</v>
      </c>
      <c r="F130" s="9">
        <v>7662.4125000000004</v>
      </c>
      <c r="G130" s="9">
        <v>1277.0687499999999</v>
      </c>
      <c r="H130" s="9">
        <v>8747.0512500000004</v>
      </c>
      <c r="I130" s="9">
        <v>0</v>
      </c>
      <c r="J130" s="9">
        <v>5101.2</v>
      </c>
      <c r="K130" s="9">
        <v>7497.4724999999999</v>
      </c>
      <c r="L130" s="9">
        <v>0</v>
      </c>
      <c r="M130" s="9">
        <v>339.46083899999996</v>
      </c>
      <c r="N130" s="9">
        <v>2456.1719910000002</v>
      </c>
      <c r="O130" s="9">
        <v>4701.8396699999994</v>
      </c>
      <c r="P130" s="9">
        <v>0</v>
      </c>
      <c r="Q130" s="9">
        <v>0</v>
      </c>
      <c r="R130" s="9">
        <v>0</v>
      </c>
      <c r="S130" s="9">
        <v>7497.4724999999999</v>
      </c>
      <c r="T130" s="9">
        <v>4701.8396699999994</v>
      </c>
      <c r="U130" s="9">
        <v>0</v>
      </c>
      <c r="V130">
        <v>0</v>
      </c>
    </row>
    <row r="131" spans="1:22" x14ac:dyDescent="0.25">
      <c r="A131" t="s">
        <v>114</v>
      </c>
      <c r="B131" t="s">
        <v>183</v>
      </c>
      <c r="C131" t="s">
        <v>175</v>
      </c>
      <c r="D131" s="4">
        <v>1</v>
      </c>
      <c r="E131" s="4">
        <v>0</v>
      </c>
      <c r="F131" s="9">
        <v>7662.4125000000004</v>
      </c>
      <c r="G131" s="9">
        <v>1277.0687499999999</v>
      </c>
      <c r="H131" s="9">
        <v>8747.0512500000004</v>
      </c>
      <c r="I131" s="9">
        <v>0</v>
      </c>
      <c r="J131" s="9">
        <v>5101.2</v>
      </c>
      <c r="K131" s="9">
        <v>7497.4724999999999</v>
      </c>
      <c r="L131" s="9">
        <v>0</v>
      </c>
      <c r="M131" s="9">
        <v>339.46083899999996</v>
      </c>
      <c r="N131" s="9">
        <v>2456.1719910000002</v>
      </c>
      <c r="O131" s="9">
        <v>4701.8396699999994</v>
      </c>
      <c r="P131" s="9">
        <v>0</v>
      </c>
      <c r="Q131" s="9">
        <v>0</v>
      </c>
      <c r="R131" s="9">
        <v>0</v>
      </c>
      <c r="S131" s="9">
        <v>7497.4724999999999</v>
      </c>
      <c r="T131" s="9">
        <v>4701.8396699999994</v>
      </c>
      <c r="U131" s="9">
        <v>0</v>
      </c>
      <c r="V131">
        <v>0</v>
      </c>
    </row>
    <row r="132" spans="1:22" x14ac:dyDescent="0.25">
      <c r="A132" t="s">
        <v>114</v>
      </c>
      <c r="B132" t="s">
        <v>184</v>
      </c>
      <c r="C132" t="s">
        <v>175</v>
      </c>
      <c r="D132" s="4">
        <v>1</v>
      </c>
      <c r="E132" s="4">
        <v>0</v>
      </c>
      <c r="F132" s="9">
        <v>7662.4125000000004</v>
      </c>
      <c r="G132" s="9">
        <v>1277.0687499999999</v>
      </c>
      <c r="H132" s="9">
        <v>8747.0512500000004</v>
      </c>
      <c r="I132" s="9">
        <v>0</v>
      </c>
      <c r="J132" s="9">
        <v>5101.2</v>
      </c>
      <c r="K132" s="9">
        <v>7497.4724999999999</v>
      </c>
      <c r="L132" s="9">
        <v>0</v>
      </c>
      <c r="M132" s="9">
        <v>339.46083899999996</v>
      </c>
      <c r="N132" s="9">
        <v>2456.1719910000002</v>
      </c>
      <c r="O132" s="9">
        <v>4701.8396699999994</v>
      </c>
      <c r="P132" s="9">
        <v>0</v>
      </c>
      <c r="Q132" s="9">
        <v>0</v>
      </c>
      <c r="R132" s="9">
        <v>0</v>
      </c>
      <c r="S132" s="9">
        <v>7497.4724999999999</v>
      </c>
      <c r="T132" s="9">
        <v>4701.8396699999994</v>
      </c>
      <c r="U132" s="9">
        <v>0</v>
      </c>
      <c r="V132">
        <v>0</v>
      </c>
    </row>
    <row r="133" spans="1:22" x14ac:dyDescent="0.25">
      <c r="A133" t="s">
        <v>114</v>
      </c>
      <c r="B133" t="s">
        <v>185</v>
      </c>
      <c r="C133" t="s">
        <v>175</v>
      </c>
      <c r="D133" s="4">
        <v>1</v>
      </c>
      <c r="E133" s="4">
        <v>0</v>
      </c>
      <c r="F133" s="9">
        <v>7662.4125000000004</v>
      </c>
      <c r="G133" s="9">
        <v>1277.0687499999999</v>
      </c>
      <c r="H133" s="9">
        <v>8747.0512500000004</v>
      </c>
      <c r="I133" s="9">
        <v>0</v>
      </c>
      <c r="J133" s="9">
        <v>5101.2</v>
      </c>
      <c r="K133" s="9">
        <v>7497.4724999999999</v>
      </c>
      <c r="L133" s="9">
        <v>0</v>
      </c>
      <c r="M133" s="9">
        <v>339.46083899999996</v>
      </c>
      <c r="N133" s="9">
        <v>2456.1719910000002</v>
      </c>
      <c r="O133" s="9">
        <v>4701.8396699999994</v>
      </c>
      <c r="P133" s="9">
        <v>0</v>
      </c>
      <c r="Q133" s="9">
        <v>0</v>
      </c>
      <c r="R133" s="9">
        <v>0</v>
      </c>
      <c r="S133" s="9">
        <v>7497.4724999999999</v>
      </c>
      <c r="T133" s="9">
        <v>4701.8396699999994</v>
      </c>
      <c r="U133" s="9">
        <v>0</v>
      </c>
      <c r="V133">
        <v>0</v>
      </c>
    </row>
    <row r="134" spans="1:22" x14ac:dyDescent="0.25">
      <c r="A134" t="s">
        <v>114</v>
      </c>
      <c r="B134" t="s">
        <v>186</v>
      </c>
      <c r="C134" t="s">
        <v>175</v>
      </c>
      <c r="D134" s="4">
        <v>1</v>
      </c>
      <c r="E134" s="4">
        <v>0</v>
      </c>
      <c r="F134" s="9">
        <v>7662.4125000000004</v>
      </c>
      <c r="G134" s="9">
        <v>1277.0687499999999</v>
      </c>
      <c r="H134" s="9">
        <v>8747.0512500000004</v>
      </c>
      <c r="I134" s="9">
        <v>0</v>
      </c>
      <c r="J134" s="9">
        <v>5101.2</v>
      </c>
      <c r="K134" s="9">
        <v>7497.4724999999999</v>
      </c>
      <c r="L134" s="9">
        <v>0</v>
      </c>
      <c r="M134" s="9">
        <v>339.46083899999996</v>
      </c>
      <c r="N134" s="9">
        <v>2456.1719910000002</v>
      </c>
      <c r="O134" s="9">
        <v>4701.8396699999994</v>
      </c>
      <c r="P134" s="9">
        <v>0</v>
      </c>
      <c r="Q134" s="9">
        <v>0</v>
      </c>
      <c r="R134" s="9">
        <v>0</v>
      </c>
      <c r="S134" s="9">
        <v>7497.4724999999999</v>
      </c>
      <c r="T134" s="9">
        <v>4701.8396699999994</v>
      </c>
      <c r="U134" s="9">
        <v>0</v>
      </c>
      <c r="V134">
        <v>0</v>
      </c>
    </row>
    <row r="135" spans="1:22" x14ac:dyDescent="0.25">
      <c r="A135" t="s">
        <v>114</v>
      </c>
      <c r="B135" t="s">
        <v>187</v>
      </c>
      <c r="C135" t="s">
        <v>175</v>
      </c>
      <c r="D135" s="4">
        <v>1</v>
      </c>
      <c r="E135" s="4">
        <v>0</v>
      </c>
      <c r="F135" s="9">
        <v>7662.4125000000004</v>
      </c>
      <c r="G135" s="9">
        <v>1277.0687499999999</v>
      </c>
      <c r="H135" s="9">
        <v>8747.0512500000004</v>
      </c>
      <c r="I135" s="9">
        <v>0</v>
      </c>
      <c r="J135" s="9">
        <v>5101.2</v>
      </c>
      <c r="K135" s="9">
        <v>7497.4724999999999</v>
      </c>
      <c r="L135" s="9">
        <v>0</v>
      </c>
      <c r="M135" s="9">
        <v>339.46083899999996</v>
      </c>
      <c r="N135" s="9">
        <v>2456.1719910000002</v>
      </c>
      <c r="O135" s="9">
        <v>4701.8396699999994</v>
      </c>
      <c r="P135" s="9">
        <v>0</v>
      </c>
      <c r="Q135" s="9">
        <v>0</v>
      </c>
      <c r="R135" s="9">
        <v>0</v>
      </c>
      <c r="S135" s="9">
        <v>7497.4724999999999</v>
      </c>
      <c r="T135" s="9">
        <v>4701.8396699999994</v>
      </c>
      <c r="U135" s="9">
        <v>0</v>
      </c>
      <c r="V135">
        <v>0</v>
      </c>
    </row>
    <row r="136" spans="1:22" x14ac:dyDescent="0.25">
      <c r="A136" t="s">
        <v>114</v>
      </c>
      <c r="B136" t="s">
        <v>189</v>
      </c>
      <c r="C136" t="s">
        <v>175</v>
      </c>
      <c r="D136" s="4">
        <v>1</v>
      </c>
      <c r="E136" s="4">
        <v>0</v>
      </c>
      <c r="F136" s="9">
        <v>7662.4125000000004</v>
      </c>
      <c r="G136" s="9">
        <v>1277.0687499999999</v>
      </c>
      <c r="H136" s="9">
        <v>8747.0512500000004</v>
      </c>
      <c r="I136" s="9">
        <v>0</v>
      </c>
      <c r="J136" s="9">
        <v>5101.2</v>
      </c>
      <c r="K136" s="9">
        <v>7497.4724999999999</v>
      </c>
      <c r="L136" s="9">
        <v>0</v>
      </c>
      <c r="M136" s="9">
        <v>339.46083899999996</v>
      </c>
      <c r="N136" s="9">
        <v>2456.1719910000002</v>
      </c>
      <c r="O136" s="9">
        <v>4701.8396699999994</v>
      </c>
      <c r="P136" s="9">
        <v>0</v>
      </c>
      <c r="Q136" s="9">
        <v>0</v>
      </c>
      <c r="R136" s="9">
        <v>0</v>
      </c>
      <c r="S136" s="9">
        <v>7497.4724999999999</v>
      </c>
      <c r="T136" s="9">
        <v>4701.8396699999994</v>
      </c>
      <c r="U136" s="9">
        <v>0</v>
      </c>
      <c r="V136">
        <v>0</v>
      </c>
    </row>
    <row r="137" spans="1:22" x14ac:dyDescent="0.25">
      <c r="A137" t="s">
        <v>116</v>
      </c>
      <c r="B137" t="s">
        <v>173</v>
      </c>
      <c r="C137" t="s">
        <v>175</v>
      </c>
      <c r="D137" s="4">
        <v>1</v>
      </c>
      <c r="E137" s="4">
        <v>0</v>
      </c>
      <c r="F137" s="9">
        <v>5898.5249999999996</v>
      </c>
      <c r="G137" s="9">
        <v>783.51</v>
      </c>
      <c r="H137" s="9">
        <v>6790.0249999999996</v>
      </c>
      <c r="I137" s="9">
        <v>0</v>
      </c>
      <c r="J137" s="9">
        <v>5101.2</v>
      </c>
      <c r="K137" s="9">
        <v>5993.7749999999996</v>
      </c>
      <c r="L137" s="9">
        <v>0</v>
      </c>
      <c r="M137" s="9">
        <v>335.02250849999996</v>
      </c>
      <c r="N137" s="9">
        <v>1761.8112399999998</v>
      </c>
      <c r="O137" s="9">
        <v>3896.9412514999995</v>
      </c>
      <c r="P137" s="9">
        <v>0</v>
      </c>
      <c r="Q137" s="9">
        <v>0</v>
      </c>
      <c r="R137" s="9">
        <v>0</v>
      </c>
      <c r="S137" s="9">
        <v>5993.7749999999996</v>
      </c>
      <c r="T137" s="9">
        <v>3896.9412514999995</v>
      </c>
      <c r="U137" s="9">
        <v>0</v>
      </c>
      <c r="V137">
        <v>0</v>
      </c>
    </row>
    <row r="138" spans="1:22" x14ac:dyDescent="0.25">
      <c r="A138" t="s">
        <v>116</v>
      </c>
      <c r="B138" t="s">
        <v>176</v>
      </c>
      <c r="C138" t="s">
        <v>175</v>
      </c>
      <c r="D138" s="4">
        <v>1</v>
      </c>
      <c r="E138" s="4">
        <v>0</v>
      </c>
      <c r="F138" s="9">
        <v>5898.5249999999996</v>
      </c>
      <c r="G138" s="9">
        <v>783.51</v>
      </c>
      <c r="H138" s="9">
        <v>6790.0249999999996</v>
      </c>
      <c r="I138" s="9">
        <v>0</v>
      </c>
      <c r="J138" s="9">
        <v>5101.2</v>
      </c>
      <c r="K138" s="9">
        <v>5993.7749999999996</v>
      </c>
      <c r="L138" s="9">
        <v>0</v>
      </c>
      <c r="M138" s="9">
        <v>335.02250849999996</v>
      </c>
      <c r="N138" s="9">
        <v>1761.8112399999998</v>
      </c>
      <c r="O138" s="9">
        <v>3896.9412514999995</v>
      </c>
      <c r="P138" s="9">
        <v>0</v>
      </c>
      <c r="Q138" s="9">
        <v>0</v>
      </c>
      <c r="R138" s="9">
        <v>0</v>
      </c>
      <c r="S138" s="9">
        <v>5993.7749999999996</v>
      </c>
      <c r="T138" s="9">
        <v>3896.9412514999995</v>
      </c>
      <c r="U138" s="9">
        <v>0</v>
      </c>
      <c r="V138">
        <v>0</v>
      </c>
    </row>
    <row r="139" spans="1:22" x14ac:dyDescent="0.25">
      <c r="A139" t="s">
        <v>116</v>
      </c>
      <c r="B139" t="s">
        <v>177</v>
      </c>
      <c r="C139" t="s">
        <v>175</v>
      </c>
      <c r="D139" s="4">
        <v>1</v>
      </c>
      <c r="E139" s="4">
        <v>0</v>
      </c>
      <c r="F139" s="9">
        <v>5898.5249999999996</v>
      </c>
      <c r="G139" s="9">
        <v>783.51</v>
      </c>
      <c r="H139" s="9">
        <v>6790.0249999999996</v>
      </c>
      <c r="I139" s="9">
        <v>0</v>
      </c>
      <c r="J139" s="9">
        <v>5101.2</v>
      </c>
      <c r="K139" s="9">
        <v>5993.7749999999996</v>
      </c>
      <c r="L139" s="9">
        <v>0</v>
      </c>
      <c r="M139" s="9">
        <v>335.02250849999996</v>
      </c>
      <c r="N139" s="9">
        <v>1761.8112399999998</v>
      </c>
      <c r="O139" s="9">
        <v>3896.9412514999995</v>
      </c>
      <c r="P139" s="9">
        <v>0</v>
      </c>
      <c r="Q139" s="9">
        <v>0</v>
      </c>
      <c r="R139" s="9">
        <v>0</v>
      </c>
      <c r="S139" s="9">
        <v>5993.7749999999996</v>
      </c>
      <c r="T139" s="9">
        <v>3896.9412514999995</v>
      </c>
      <c r="U139" s="9">
        <v>0</v>
      </c>
      <c r="V139">
        <v>0</v>
      </c>
    </row>
    <row r="140" spans="1:22" x14ac:dyDescent="0.25">
      <c r="A140" t="s">
        <v>116</v>
      </c>
      <c r="B140" t="s">
        <v>178</v>
      </c>
      <c r="C140" t="s">
        <v>175</v>
      </c>
      <c r="D140" s="4">
        <v>1</v>
      </c>
      <c r="E140" s="4">
        <v>0</v>
      </c>
      <c r="F140" s="9">
        <v>5898.5249999999996</v>
      </c>
      <c r="G140" s="9">
        <v>783.51</v>
      </c>
      <c r="H140" s="9">
        <v>6790.0249999999996</v>
      </c>
      <c r="I140" s="9">
        <v>0</v>
      </c>
      <c r="J140" s="9">
        <v>5101.2</v>
      </c>
      <c r="K140" s="9">
        <v>5993.7749999999996</v>
      </c>
      <c r="L140" s="9">
        <v>0</v>
      </c>
      <c r="M140" s="9">
        <v>335.02250849999996</v>
      </c>
      <c r="N140" s="9">
        <v>1761.8112399999998</v>
      </c>
      <c r="O140" s="9">
        <v>3896.9412514999995</v>
      </c>
      <c r="P140" s="9">
        <v>0</v>
      </c>
      <c r="Q140" s="9">
        <v>0</v>
      </c>
      <c r="R140" s="9">
        <v>0</v>
      </c>
      <c r="S140" s="9">
        <v>5993.7749999999996</v>
      </c>
      <c r="T140" s="9">
        <v>3896.9412514999995</v>
      </c>
      <c r="U140" s="9">
        <v>0</v>
      </c>
      <c r="V140">
        <v>0</v>
      </c>
    </row>
    <row r="141" spans="1:22" x14ac:dyDescent="0.25">
      <c r="A141" t="s">
        <v>116</v>
      </c>
      <c r="B141" t="s">
        <v>179</v>
      </c>
      <c r="C141" t="s">
        <v>175</v>
      </c>
      <c r="D141" s="4">
        <v>1</v>
      </c>
      <c r="E141" s="4">
        <v>0</v>
      </c>
      <c r="F141" s="9">
        <v>5898.5249999999996</v>
      </c>
      <c r="G141" s="9">
        <v>783.51</v>
      </c>
      <c r="H141" s="9">
        <v>6790.0249999999996</v>
      </c>
      <c r="I141" s="9">
        <v>0</v>
      </c>
      <c r="J141" s="9">
        <v>5101.2</v>
      </c>
      <c r="K141" s="9">
        <v>5993.7749999999996</v>
      </c>
      <c r="L141" s="9">
        <v>0</v>
      </c>
      <c r="M141" s="9">
        <v>335.02250849999996</v>
      </c>
      <c r="N141" s="9">
        <v>1761.8112399999998</v>
      </c>
      <c r="O141" s="9">
        <v>3896.9412514999995</v>
      </c>
      <c r="P141" s="9">
        <v>0</v>
      </c>
      <c r="Q141" s="9">
        <v>0</v>
      </c>
      <c r="R141" s="9">
        <v>0</v>
      </c>
      <c r="S141" s="9">
        <v>5993.7749999999996</v>
      </c>
      <c r="T141" s="9">
        <v>3896.9412514999995</v>
      </c>
      <c r="U141" s="9">
        <v>0</v>
      </c>
      <c r="V141">
        <v>0</v>
      </c>
    </row>
    <row r="142" spans="1:22" x14ac:dyDescent="0.25">
      <c r="A142" t="s">
        <v>116</v>
      </c>
      <c r="B142" t="s">
        <v>180</v>
      </c>
      <c r="C142" t="s">
        <v>175</v>
      </c>
      <c r="D142" s="4">
        <v>1</v>
      </c>
      <c r="E142" s="4">
        <v>0</v>
      </c>
      <c r="F142" s="9">
        <v>5898.5249999999996</v>
      </c>
      <c r="G142" s="9">
        <v>783.51</v>
      </c>
      <c r="H142" s="9">
        <v>6790.0249999999996</v>
      </c>
      <c r="I142" s="9">
        <v>0</v>
      </c>
      <c r="J142" s="9">
        <v>5101.2</v>
      </c>
      <c r="K142" s="9">
        <v>5993.7749999999996</v>
      </c>
      <c r="L142" s="9">
        <v>0</v>
      </c>
      <c r="M142" s="9">
        <v>335.02250849999996</v>
      </c>
      <c r="N142" s="9">
        <v>1761.8112399999998</v>
      </c>
      <c r="O142" s="9">
        <v>3896.9412514999995</v>
      </c>
      <c r="P142" s="9">
        <v>0</v>
      </c>
      <c r="Q142" s="9">
        <v>0</v>
      </c>
      <c r="R142" s="9">
        <v>0</v>
      </c>
      <c r="S142" s="9">
        <v>5993.7749999999996</v>
      </c>
      <c r="T142" s="9">
        <v>3896.9412514999995</v>
      </c>
      <c r="U142" s="9">
        <v>0</v>
      </c>
      <c r="V142">
        <v>0</v>
      </c>
    </row>
    <row r="143" spans="1:22" x14ac:dyDescent="0.25">
      <c r="A143" t="s">
        <v>116</v>
      </c>
      <c r="B143" t="s">
        <v>183</v>
      </c>
      <c r="C143" t="s">
        <v>190</v>
      </c>
      <c r="D143" s="4">
        <v>0.77500000000000002</v>
      </c>
      <c r="E143" s="4">
        <v>0.22500000000000001</v>
      </c>
      <c r="F143" s="9">
        <v>5898.5249999999996</v>
      </c>
      <c r="G143" s="9">
        <v>783.51</v>
      </c>
      <c r="H143" s="9">
        <v>6790.0249999999996</v>
      </c>
      <c r="I143" s="9">
        <v>5101.2</v>
      </c>
      <c r="J143" s="9">
        <v>5101.2</v>
      </c>
      <c r="K143" s="9">
        <v>3673.4362500000002</v>
      </c>
      <c r="L143" s="9">
        <v>1147.77</v>
      </c>
      <c r="M143" s="9">
        <v>256.97294999999997</v>
      </c>
      <c r="N143" s="9">
        <v>1761.8112399999998</v>
      </c>
      <c r="O143" s="9">
        <v>1713.8533100000002</v>
      </c>
      <c r="P143" s="9">
        <v>0</v>
      </c>
      <c r="Q143" s="9">
        <v>0</v>
      </c>
      <c r="R143" s="9">
        <v>1147.77</v>
      </c>
      <c r="S143" s="9">
        <v>4880.4074999999993</v>
      </c>
      <c r="T143" s="9">
        <v>2861.6233099999999</v>
      </c>
      <c r="U143" s="9">
        <v>379.98562499999997</v>
      </c>
      <c r="V143" t="s">
        <v>278</v>
      </c>
    </row>
    <row r="144" spans="1:22" x14ac:dyDescent="0.25">
      <c r="A144" t="s">
        <v>116</v>
      </c>
      <c r="B144" t="s">
        <v>184</v>
      </c>
      <c r="C144" t="s">
        <v>175</v>
      </c>
      <c r="D144" s="4">
        <v>1</v>
      </c>
      <c r="E144" s="4">
        <v>0</v>
      </c>
      <c r="F144" s="9">
        <v>5898.5249999999996</v>
      </c>
      <c r="G144" s="9">
        <v>783.51</v>
      </c>
      <c r="H144" s="9">
        <v>6790.0249999999996</v>
      </c>
      <c r="I144" s="9">
        <v>0</v>
      </c>
      <c r="J144" s="9">
        <v>5101.2</v>
      </c>
      <c r="K144" s="9">
        <v>5993.7749999999996</v>
      </c>
      <c r="L144" s="9">
        <v>0</v>
      </c>
      <c r="M144" s="9">
        <v>335.02250849999996</v>
      </c>
      <c r="N144" s="9">
        <v>1761.8112399999998</v>
      </c>
      <c r="O144" s="9">
        <v>3896.9412514999995</v>
      </c>
      <c r="P144" s="9">
        <v>0</v>
      </c>
      <c r="Q144" s="9">
        <v>0</v>
      </c>
      <c r="R144" s="9">
        <v>0</v>
      </c>
      <c r="S144" s="9">
        <v>5993.7749999999996</v>
      </c>
      <c r="T144" s="9">
        <v>3896.9412514999995</v>
      </c>
      <c r="U144" s="9">
        <v>0</v>
      </c>
      <c r="V144">
        <v>0</v>
      </c>
    </row>
    <row r="145" spans="1:22" x14ac:dyDescent="0.25">
      <c r="A145" t="s">
        <v>116</v>
      </c>
      <c r="B145" t="s">
        <v>185</v>
      </c>
      <c r="C145" t="s">
        <v>190</v>
      </c>
      <c r="D145" s="4">
        <v>0.875</v>
      </c>
      <c r="E145" s="4">
        <v>0.125</v>
      </c>
      <c r="F145" s="9">
        <v>5898.5249999999996</v>
      </c>
      <c r="G145" s="9">
        <v>783.51</v>
      </c>
      <c r="H145" s="9">
        <v>6790.0249999999996</v>
      </c>
      <c r="I145" s="9">
        <v>5101.2</v>
      </c>
      <c r="J145" s="9">
        <v>5101.2</v>
      </c>
      <c r="K145" s="9">
        <v>5170.2931249999992</v>
      </c>
      <c r="L145" s="9">
        <v>637.65</v>
      </c>
      <c r="M145" s="9">
        <v>292.40079740625004</v>
      </c>
      <c r="N145" s="9">
        <v>1537.2681187499998</v>
      </c>
      <c r="O145" s="9">
        <v>3388.5278025937505</v>
      </c>
      <c r="P145" s="9">
        <v>74.45620000000001</v>
      </c>
      <c r="Q145" s="9">
        <v>0</v>
      </c>
      <c r="R145" s="9">
        <v>563.19380000000001</v>
      </c>
      <c r="S145" s="9">
        <v>5891.368125</v>
      </c>
      <c r="T145" s="9">
        <v>3951.7216025937505</v>
      </c>
      <c r="U145" s="9">
        <v>211.10312499999998</v>
      </c>
      <c r="V145" t="s">
        <v>278</v>
      </c>
    </row>
    <row r="146" spans="1:22" x14ac:dyDescent="0.25">
      <c r="A146" t="s">
        <v>116</v>
      </c>
      <c r="B146" t="s">
        <v>186</v>
      </c>
      <c r="C146" t="s">
        <v>175</v>
      </c>
      <c r="D146" s="4">
        <v>1</v>
      </c>
      <c r="E146" s="4">
        <v>0</v>
      </c>
      <c r="F146" s="9">
        <v>5898.5249999999996</v>
      </c>
      <c r="G146" s="9">
        <v>783.51</v>
      </c>
      <c r="H146" s="9">
        <v>6790.0249999999996</v>
      </c>
      <c r="I146" s="9">
        <v>0</v>
      </c>
      <c r="J146" s="9">
        <v>5101.2</v>
      </c>
      <c r="K146" s="9">
        <v>5993.7749999999996</v>
      </c>
      <c r="L146" s="9">
        <v>0</v>
      </c>
      <c r="M146" s="9">
        <v>335.02250849999996</v>
      </c>
      <c r="N146" s="9">
        <v>1761.8112399999998</v>
      </c>
      <c r="O146" s="9">
        <v>3896.9412514999995</v>
      </c>
      <c r="P146" s="9">
        <v>0</v>
      </c>
      <c r="Q146" s="9">
        <v>0</v>
      </c>
      <c r="R146" s="9">
        <v>0</v>
      </c>
      <c r="S146" s="9">
        <v>5993.7749999999996</v>
      </c>
      <c r="T146" s="9">
        <v>3896.9412514999995</v>
      </c>
      <c r="U146" s="9">
        <v>0</v>
      </c>
      <c r="V146">
        <v>0</v>
      </c>
    </row>
    <row r="147" spans="1:22" x14ac:dyDescent="0.25">
      <c r="A147" t="s">
        <v>116</v>
      </c>
      <c r="B147" t="s">
        <v>187</v>
      </c>
      <c r="C147" t="s">
        <v>175</v>
      </c>
      <c r="D147" s="4">
        <v>1</v>
      </c>
      <c r="E147" s="4">
        <v>0</v>
      </c>
      <c r="F147" s="9">
        <v>5898.5249999999996</v>
      </c>
      <c r="G147" s="9">
        <v>783.51</v>
      </c>
      <c r="H147" s="9">
        <v>6790.0249999999996</v>
      </c>
      <c r="I147" s="9">
        <v>0</v>
      </c>
      <c r="J147" s="9">
        <v>5101.2</v>
      </c>
      <c r="K147" s="9">
        <v>5993.7749999999996</v>
      </c>
      <c r="L147" s="9">
        <v>0</v>
      </c>
      <c r="M147" s="9">
        <v>335.02250849999996</v>
      </c>
      <c r="N147" s="9">
        <v>1761.8112399999998</v>
      </c>
      <c r="O147" s="9">
        <v>3896.9412514999995</v>
      </c>
      <c r="P147" s="9">
        <v>0</v>
      </c>
      <c r="Q147" s="9">
        <v>0</v>
      </c>
      <c r="R147" s="9">
        <v>0</v>
      </c>
      <c r="S147" s="9">
        <v>5993.7749999999996</v>
      </c>
      <c r="T147" s="9">
        <v>3896.9412514999995</v>
      </c>
      <c r="U147" s="9">
        <v>0</v>
      </c>
      <c r="V147">
        <v>0</v>
      </c>
    </row>
    <row r="148" spans="1:22" x14ac:dyDescent="0.25">
      <c r="A148" t="s">
        <v>116</v>
      </c>
      <c r="B148" t="s">
        <v>189</v>
      </c>
      <c r="C148" t="s">
        <v>175</v>
      </c>
      <c r="D148" s="4">
        <v>1</v>
      </c>
      <c r="E148" s="4">
        <v>0</v>
      </c>
      <c r="F148" s="9">
        <v>5898.5249999999996</v>
      </c>
      <c r="G148" s="9">
        <v>783.51</v>
      </c>
      <c r="H148" s="9">
        <v>6790.0249999999996</v>
      </c>
      <c r="I148" s="9">
        <v>0</v>
      </c>
      <c r="J148" s="9">
        <v>5101.2</v>
      </c>
      <c r="K148" s="9">
        <v>5993.7749999999996</v>
      </c>
      <c r="L148" s="9">
        <v>0</v>
      </c>
      <c r="M148" s="9">
        <v>335.02250849999996</v>
      </c>
      <c r="N148" s="9">
        <v>1761.8112399999998</v>
      </c>
      <c r="O148" s="9">
        <v>3896.9412514999995</v>
      </c>
      <c r="P148" s="9">
        <v>0</v>
      </c>
      <c r="Q148" s="9">
        <v>0</v>
      </c>
      <c r="R148" s="9">
        <v>0</v>
      </c>
      <c r="S148" s="9">
        <v>5993.7749999999996</v>
      </c>
      <c r="T148" s="9">
        <v>3896.9412514999995</v>
      </c>
      <c r="U148" s="9">
        <v>0</v>
      </c>
      <c r="V148">
        <v>0</v>
      </c>
    </row>
    <row r="149" spans="1:22" x14ac:dyDescent="0.25">
      <c r="A149" t="s">
        <v>118</v>
      </c>
      <c r="B149" t="s">
        <v>173</v>
      </c>
      <c r="C149" t="s">
        <v>175</v>
      </c>
      <c r="D149" s="4">
        <v>1</v>
      </c>
      <c r="E149" s="4">
        <v>0</v>
      </c>
      <c r="F149" s="9">
        <v>7863.4875000000002</v>
      </c>
      <c r="G149" s="9">
        <v>1310.58125</v>
      </c>
      <c r="H149" s="9">
        <v>8915.51325</v>
      </c>
      <c r="I149" s="9">
        <v>0</v>
      </c>
      <c r="J149" s="9">
        <v>5101.2</v>
      </c>
      <c r="K149" s="9">
        <v>7641.8684999999996</v>
      </c>
      <c r="L149" s="9">
        <v>0</v>
      </c>
      <c r="M149" s="9">
        <v>339.86514779999999</v>
      </c>
      <c r="N149" s="9">
        <v>2521.05241815</v>
      </c>
      <c r="O149" s="9">
        <v>4780.950934049999</v>
      </c>
      <c r="P149" s="9">
        <v>0</v>
      </c>
      <c r="Q149" s="9">
        <v>0</v>
      </c>
      <c r="R149" s="9">
        <v>0</v>
      </c>
      <c r="S149" s="9">
        <v>7641.8684999999996</v>
      </c>
      <c r="T149" s="9">
        <v>4780.950934049999</v>
      </c>
      <c r="U149" s="9">
        <v>0</v>
      </c>
      <c r="V149">
        <v>0</v>
      </c>
    </row>
    <row r="150" spans="1:22" x14ac:dyDescent="0.25">
      <c r="A150" t="s">
        <v>118</v>
      </c>
      <c r="B150" t="s">
        <v>176</v>
      </c>
      <c r="C150" t="s">
        <v>175</v>
      </c>
      <c r="D150" s="4">
        <v>1</v>
      </c>
      <c r="E150" s="4">
        <v>0</v>
      </c>
      <c r="F150" s="9">
        <v>7863.4875000000002</v>
      </c>
      <c r="G150" s="9">
        <v>1310.58125</v>
      </c>
      <c r="H150" s="9">
        <v>8915.51325</v>
      </c>
      <c r="I150" s="9">
        <v>0</v>
      </c>
      <c r="J150" s="9">
        <v>5101.2</v>
      </c>
      <c r="K150" s="9">
        <v>7641.8684999999996</v>
      </c>
      <c r="L150" s="9">
        <v>0</v>
      </c>
      <c r="M150" s="9">
        <v>339.86514779999999</v>
      </c>
      <c r="N150" s="9">
        <v>2521.05241815</v>
      </c>
      <c r="O150" s="9">
        <v>4780.950934049999</v>
      </c>
      <c r="P150" s="9">
        <v>0</v>
      </c>
      <c r="Q150" s="9">
        <v>0</v>
      </c>
      <c r="R150" s="9">
        <v>0</v>
      </c>
      <c r="S150" s="9">
        <v>7641.8684999999996</v>
      </c>
      <c r="T150" s="9">
        <v>4780.950934049999</v>
      </c>
      <c r="U150" s="9">
        <v>0</v>
      </c>
      <c r="V150">
        <v>0</v>
      </c>
    </row>
    <row r="151" spans="1:22" x14ac:dyDescent="0.25">
      <c r="A151" t="s">
        <v>118</v>
      </c>
      <c r="B151" t="s">
        <v>177</v>
      </c>
      <c r="C151" t="s">
        <v>175</v>
      </c>
      <c r="D151" s="4">
        <v>1</v>
      </c>
      <c r="E151" s="4">
        <v>0</v>
      </c>
      <c r="F151" s="9">
        <v>7863.4875000000002</v>
      </c>
      <c r="G151" s="9">
        <v>1310.58125</v>
      </c>
      <c r="H151" s="9">
        <v>8915.51325</v>
      </c>
      <c r="I151" s="9">
        <v>0</v>
      </c>
      <c r="J151" s="9">
        <v>5101.2</v>
      </c>
      <c r="K151" s="9">
        <v>7641.8684999999996</v>
      </c>
      <c r="L151" s="9">
        <v>0</v>
      </c>
      <c r="M151" s="9">
        <v>339.86514779999999</v>
      </c>
      <c r="N151" s="9">
        <v>2521.05241815</v>
      </c>
      <c r="O151" s="9">
        <v>4780.950934049999</v>
      </c>
      <c r="P151" s="9">
        <v>0</v>
      </c>
      <c r="Q151" s="9">
        <v>0</v>
      </c>
      <c r="R151" s="9">
        <v>0</v>
      </c>
      <c r="S151" s="9">
        <v>7641.8684999999996</v>
      </c>
      <c r="T151" s="9">
        <v>4780.950934049999</v>
      </c>
      <c r="U151" s="9">
        <v>0</v>
      </c>
      <c r="V151">
        <v>0</v>
      </c>
    </row>
    <row r="152" spans="1:22" x14ac:dyDescent="0.25">
      <c r="A152" t="s">
        <v>118</v>
      </c>
      <c r="B152" t="s">
        <v>178</v>
      </c>
      <c r="C152" t="s">
        <v>175</v>
      </c>
      <c r="D152" s="4">
        <v>1</v>
      </c>
      <c r="E152" s="4">
        <v>0</v>
      </c>
      <c r="F152" s="9">
        <v>7863.4875000000002</v>
      </c>
      <c r="G152" s="9">
        <v>1310.58125</v>
      </c>
      <c r="H152" s="9">
        <v>8915.51325</v>
      </c>
      <c r="I152" s="9">
        <v>0</v>
      </c>
      <c r="J152" s="9">
        <v>5101.2</v>
      </c>
      <c r="K152" s="9">
        <v>7641.8684999999996</v>
      </c>
      <c r="L152" s="9">
        <v>0</v>
      </c>
      <c r="M152" s="9">
        <v>339.86514779999999</v>
      </c>
      <c r="N152" s="9">
        <v>2521.05241815</v>
      </c>
      <c r="O152" s="9">
        <v>4780.950934049999</v>
      </c>
      <c r="P152" s="9">
        <v>0</v>
      </c>
      <c r="Q152" s="9">
        <v>0</v>
      </c>
      <c r="R152" s="9">
        <v>0</v>
      </c>
      <c r="S152" s="9">
        <v>7641.8684999999996</v>
      </c>
      <c r="T152" s="9">
        <v>4780.950934049999</v>
      </c>
      <c r="U152" s="9">
        <v>0</v>
      </c>
      <c r="V152">
        <v>0</v>
      </c>
    </row>
    <row r="153" spans="1:22" x14ac:dyDescent="0.25">
      <c r="A153" t="s">
        <v>118</v>
      </c>
      <c r="B153" t="s">
        <v>179</v>
      </c>
      <c r="C153" t="s">
        <v>175</v>
      </c>
      <c r="D153" s="4">
        <v>1</v>
      </c>
      <c r="E153" s="4">
        <v>0</v>
      </c>
      <c r="F153" s="9">
        <v>7863.4875000000002</v>
      </c>
      <c r="G153" s="9">
        <v>1310.58125</v>
      </c>
      <c r="H153" s="9">
        <v>8915.51325</v>
      </c>
      <c r="I153" s="9">
        <v>0</v>
      </c>
      <c r="J153" s="9">
        <v>5101.2</v>
      </c>
      <c r="K153" s="9">
        <v>7641.8684999999996</v>
      </c>
      <c r="L153" s="9">
        <v>0</v>
      </c>
      <c r="M153" s="9">
        <v>339.86514779999999</v>
      </c>
      <c r="N153" s="9">
        <v>2521.05241815</v>
      </c>
      <c r="O153" s="9">
        <v>4780.950934049999</v>
      </c>
      <c r="P153" s="9">
        <v>0</v>
      </c>
      <c r="Q153" s="9">
        <v>0</v>
      </c>
      <c r="R153" s="9">
        <v>0</v>
      </c>
      <c r="S153" s="9">
        <v>7641.8684999999996</v>
      </c>
      <c r="T153" s="9">
        <v>4780.950934049999</v>
      </c>
      <c r="U153" s="9">
        <v>0</v>
      </c>
      <c r="V153">
        <v>0</v>
      </c>
    </row>
    <row r="154" spans="1:22" x14ac:dyDescent="0.25">
      <c r="A154" t="s">
        <v>118</v>
      </c>
      <c r="B154" t="s">
        <v>180</v>
      </c>
      <c r="C154" t="s">
        <v>175</v>
      </c>
      <c r="D154" s="4">
        <v>1</v>
      </c>
      <c r="E154" s="4">
        <v>0</v>
      </c>
      <c r="F154" s="9">
        <v>7863.4875000000002</v>
      </c>
      <c r="G154" s="9">
        <v>1310.58125</v>
      </c>
      <c r="H154" s="9">
        <v>8915.51325</v>
      </c>
      <c r="I154" s="9">
        <v>0</v>
      </c>
      <c r="J154" s="9">
        <v>5101.2</v>
      </c>
      <c r="K154" s="9">
        <v>7641.8684999999996</v>
      </c>
      <c r="L154" s="9">
        <v>0</v>
      </c>
      <c r="M154" s="9">
        <v>339.86514779999999</v>
      </c>
      <c r="N154" s="9">
        <v>2521.05241815</v>
      </c>
      <c r="O154" s="9">
        <v>4780.950934049999</v>
      </c>
      <c r="P154" s="9">
        <v>0</v>
      </c>
      <c r="Q154" s="9">
        <v>0</v>
      </c>
      <c r="R154" s="9">
        <v>0</v>
      </c>
      <c r="S154" s="9">
        <v>7641.8684999999996</v>
      </c>
      <c r="T154" s="9">
        <v>4780.950934049999</v>
      </c>
      <c r="U154" s="9">
        <v>0</v>
      </c>
      <c r="V154">
        <v>0</v>
      </c>
    </row>
    <row r="155" spans="1:22" x14ac:dyDescent="0.25">
      <c r="A155" t="s">
        <v>118</v>
      </c>
      <c r="B155" t="s">
        <v>183</v>
      </c>
      <c r="C155" t="s">
        <v>175</v>
      </c>
      <c r="D155" s="4">
        <v>1</v>
      </c>
      <c r="E155" s="4">
        <v>0</v>
      </c>
      <c r="F155" s="9">
        <v>7863.4875000000002</v>
      </c>
      <c r="G155" s="9">
        <v>1310.58125</v>
      </c>
      <c r="H155" s="9">
        <v>8915.51325</v>
      </c>
      <c r="I155" s="9">
        <v>0</v>
      </c>
      <c r="J155" s="9">
        <v>5101.2</v>
      </c>
      <c r="K155" s="9">
        <v>7641.8684999999996</v>
      </c>
      <c r="L155" s="9">
        <v>0</v>
      </c>
      <c r="M155" s="9">
        <v>339.86514779999999</v>
      </c>
      <c r="N155" s="9">
        <v>2521.05241815</v>
      </c>
      <c r="O155" s="9">
        <v>4780.950934049999</v>
      </c>
      <c r="P155" s="9">
        <v>0</v>
      </c>
      <c r="Q155" s="9">
        <v>0</v>
      </c>
      <c r="R155" s="9">
        <v>0</v>
      </c>
      <c r="S155" s="9">
        <v>7641.8684999999996</v>
      </c>
      <c r="T155" s="9">
        <v>4780.950934049999</v>
      </c>
      <c r="U155" s="9">
        <v>0</v>
      </c>
      <c r="V155">
        <v>0</v>
      </c>
    </row>
    <row r="156" spans="1:22" x14ac:dyDescent="0.25">
      <c r="A156" t="s">
        <v>118</v>
      </c>
      <c r="B156" t="s">
        <v>184</v>
      </c>
      <c r="C156" t="s">
        <v>175</v>
      </c>
      <c r="D156" s="4">
        <v>1</v>
      </c>
      <c r="E156" s="4">
        <v>0</v>
      </c>
      <c r="F156" s="9">
        <v>7863.4875000000002</v>
      </c>
      <c r="G156" s="9">
        <v>1310.58125</v>
      </c>
      <c r="H156" s="9">
        <v>8915.51325</v>
      </c>
      <c r="I156" s="9">
        <v>0</v>
      </c>
      <c r="J156" s="9">
        <v>5101.2</v>
      </c>
      <c r="K156" s="9">
        <v>7641.8684999999996</v>
      </c>
      <c r="L156" s="9">
        <v>0</v>
      </c>
      <c r="M156" s="9">
        <v>339.86514779999999</v>
      </c>
      <c r="N156" s="9">
        <v>2521.05241815</v>
      </c>
      <c r="O156" s="9">
        <v>4780.950934049999</v>
      </c>
      <c r="P156" s="9">
        <v>0</v>
      </c>
      <c r="Q156" s="9">
        <v>0</v>
      </c>
      <c r="R156" s="9">
        <v>0</v>
      </c>
      <c r="S156" s="9">
        <v>7641.8684999999996</v>
      </c>
      <c r="T156" s="9">
        <v>4780.950934049999</v>
      </c>
      <c r="U156" s="9">
        <v>0</v>
      </c>
      <c r="V156">
        <v>0</v>
      </c>
    </row>
    <row r="157" spans="1:22" x14ac:dyDescent="0.25">
      <c r="A157" t="s">
        <v>118</v>
      </c>
      <c r="B157" t="s">
        <v>185</v>
      </c>
      <c r="C157" t="s">
        <v>175</v>
      </c>
      <c r="D157" s="4">
        <v>1</v>
      </c>
      <c r="E157" s="4">
        <v>0</v>
      </c>
      <c r="F157" s="9">
        <v>7863.4875000000002</v>
      </c>
      <c r="G157" s="9">
        <v>1310.58125</v>
      </c>
      <c r="H157" s="9">
        <v>8915.51325</v>
      </c>
      <c r="I157" s="9">
        <v>0</v>
      </c>
      <c r="J157" s="9">
        <v>5101.2</v>
      </c>
      <c r="K157" s="9">
        <v>7641.8684999999996</v>
      </c>
      <c r="L157" s="9">
        <v>0</v>
      </c>
      <c r="M157" s="9">
        <v>339.86514779999999</v>
      </c>
      <c r="N157" s="9">
        <v>2521.05241815</v>
      </c>
      <c r="O157" s="9">
        <v>4780.950934049999</v>
      </c>
      <c r="P157" s="9">
        <v>0</v>
      </c>
      <c r="Q157" s="9">
        <v>0</v>
      </c>
      <c r="R157" s="9">
        <v>0</v>
      </c>
      <c r="S157" s="9">
        <v>7641.8684999999996</v>
      </c>
      <c r="T157" s="9">
        <v>4780.950934049999</v>
      </c>
      <c r="U157" s="9">
        <v>0</v>
      </c>
      <c r="V157">
        <v>0</v>
      </c>
    </row>
    <row r="158" spans="1:22" x14ac:dyDescent="0.25">
      <c r="A158" t="s">
        <v>118</v>
      </c>
      <c r="B158" t="s">
        <v>186</v>
      </c>
      <c r="C158" t="s">
        <v>175</v>
      </c>
      <c r="D158" s="4">
        <v>1</v>
      </c>
      <c r="E158" s="4">
        <v>0</v>
      </c>
      <c r="F158" s="9">
        <v>7863.4875000000002</v>
      </c>
      <c r="G158" s="9">
        <v>1310.58125</v>
      </c>
      <c r="H158" s="9">
        <v>8915.51325</v>
      </c>
      <c r="I158" s="9">
        <v>0</v>
      </c>
      <c r="J158" s="9">
        <v>5101.2</v>
      </c>
      <c r="K158" s="9">
        <v>7641.8684999999996</v>
      </c>
      <c r="L158" s="9">
        <v>0</v>
      </c>
      <c r="M158" s="9">
        <v>339.86514779999999</v>
      </c>
      <c r="N158" s="9">
        <v>2521.05241815</v>
      </c>
      <c r="O158" s="9">
        <v>4780.950934049999</v>
      </c>
      <c r="P158" s="9">
        <v>0</v>
      </c>
      <c r="Q158" s="9">
        <v>0</v>
      </c>
      <c r="R158" s="9">
        <v>0</v>
      </c>
      <c r="S158" s="9">
        <v>7641.8684999999996</v>
      </c>
      <c r="T158" s="9">
        <v>4780.950934049999</v>
      </c>
      <c r="U158" s="9">
        <v>0</v>
      </c>
      <c r="V158">
        <v>0</v>
      </c>
    </row>
    <row r="159" spans="1:22" x14ac:dyDescent="0.25">
      <c r="A159" t="s">
        <v>118</v>
      </c>
      <c r="B159" t="s">
        <v>187</v>
      </c>
      <c r="C159" t="s">
        <v>175</v>
      </c>
      <c r="D159" s="4">
        <v>1</v>
      </c>
      <c r="E159" s="4">
        <v>0</v>
      </c>
      <c r="F159" s="9">
        <v>7863.4875000000002</v>
      </c>
      <c r="G159" s="9">
        <v>1310.58125</v>
      </c>
      <c r="H159" s="9">
        <v>8915.51325</v>
      </c>
      <c r="I159" s="9">
        <v>0</v>
      </c>
      <c r="J159" s="9">
        <v>5101.2</v>
      </c>
      <c r="K159" s="9">
        <v>7641.8684999999996</v>
      </c>
      <c r="L159" s="9">
        <v>0</v>
      </c>
      <c r="M159" s="9">
        <v>339.86514779999999</v>
      </c>
      <c r="N159" s="9">
        <v>2521.05241815</v>
      </c>
      <c r="O159" s="9">
        <v>4780.950934049999</v>
      </c>
      <c r="P159" s="9">
        <v>0</v>
      </c>
      <c r="Q159" s="9">
        <v>0</v>
      </c>
      <c r="R159" s="9">
        <v>0</v>
      </c>
      <c r="S159" s="9">
        <v>7641.8684999999996</v>
      </c>
      <c r="T159" s="9">
        <v>4780.950934049999</v>
      </c>
      <c r="U159" s="9">
        <v>0</v>
      </c>
      <c r="V159">
        <v>0</v>
      </c>
    </row>
    <row r="160" spans="1:22" x14ac:dyDescent="0.25">
      <c r="A160" t="s">
        <v>118</v>
      </c>
      <c r="B160" t="s">
        <v>189</v>
      </c>
      <c r="C160" t="s">
        <v>175</v>
      </c>
      <c r="D160" s="4">
        <v>1</v>
      </c>
      <c r="E160" s="4">
        <v>0</v>
      </c>
      <c r="F160" s="9">
        <v>7863.4875000000002</v>
      </c>
      <c r="G160" s="9">
        <v>1310.58125</v>
      </c>
      <c r="H160" s="9">
        <v>8915.51325</v>
      </c>
      <c r="I160" s="9">
        <v>0</v>
      </c>
      <c r="J160" s="9">
        <v>5101.2</v>
      </c>
      <c r="K160" s="9">
        <v>7641.8684999999996</v>
      </c>
      <c r="L160" s="9">
        <v>0</v>
      </c>
      <c r="M160" s="9">
        <v>339.86514779999999</v>
      </c>
      <c r="N160" s="9">
        <v>2521.05241815</v>
      </c>
      <c r="O160" s="9">
        <v>4780.950934049999</v>
      </c>
      <c r="P160" s="9">
        <v>0</v>
      </c>
      <c r="Q160" s="9">
        <v>0</v>
      </c>
      <c r="R160" s="9">
        <v>0</v>
      </c>
      <c r="S160" s="9">
        <v>7641.8684999999996</v>
      </c>
      <c r="T160" s="9">
        <v>4780.950934049999</v>
      </c>
      <c r="U160" s="9">
        <v>0</v>
      </c>
      <c r="V160">
        <v>0</v>
      </c>
    </row>
    <row r="161" spans="1:22" x14ac:dyDescent="0.25">
      <c r="A161" t="s">
        <v>120</v>
      </c>
      <c r="B161" t="s">
        <v>173</v>
      </c>
      <c r="C161" t="s">
        <v>175</v>
      </c>
      <c r="D161" s="4">
        <v>1</v>
      </c>
      <c r="E161" s="4">
        <v>0</v>
      </c>
      <c r="F161" s="9">
        <v>6008.0960000000005</v>
      </c>
      <c r="G161" s="9">
        <v>1001.3493333333333</v>
      </c>
      <c r="H161" s="9">
        <v>7189.1702400000013</v>
      </c>
      <c r="I161" s="9">
        <v>0</v>
      </c>
      <c r="J161" s="9">
        <v>5101.2</v>
      </c>
      <c r="K161" s="9">
        <v>6162.1459200000008</v>
      </c>
      <c r="L161" s="9">
        <v>0</v>
      </c>
      <c r="M161" s="9">
        <v>335.86071350399999</v>
      </c>
      <c r="N161" s="9">
        <v>1848.6437760000001</v>
      </c>
      <c r="O161" s="9">
        <v>3977.6414304960008</v>
      </c>
      <c r="P161" s="9">
        <v>0</v>
      </c>
      <c r="Q161" s="9">
        <v>0</v>
      </c>
      <c r="R161" s="9">
        <v>0</v>
      </c>
      <c r="S161" s="9">
        <v>6162.1459200000008</v>
      </c>
      <c r="T161" s="9">
        <v>3977.6414304960008</v>
      </c>
      <c r="U161" s="9">
        <v>0</v>
      </c>
      <c r="V161">
        <v>0</v>
      </c>
    </row>
    <row r="162" spans="1:22" x14ac:dyDescent="0.25">
      <c r="A162" t="s">
        <v>120</v>
      </c>
      <c r="B162" t="s">
        <v>176</v>
      </c>
      <c r="C162" t="s">
        <v>175</v>
      </c>
      <c r="D162" s="4">
        <v>1</v>
      </c>
      <c r="E162" s="4">
        <v>0</v>
      </c>
      <c r="F162" s="9">
        <v>6008.0960000000005</v>
      </c>
      <c r="G162" s="9">
        <v>1001.3493333333333</v>
      </c>
      <c r="H162" s="9">
        <v>7189.1702400000013</v>
      </c>
      <c r="I162" s="9">
        <v>0</v>
      </c>
      <c r="J162" s="9">
        <v>5101.2</v>
      </c>
      <c r="K162" s="9">
        <v>6162.1459200000008</v>
      </c>
      <c r="L162" s="9">
        <v>0</v>
      </c>
      <c r="M162" s="9">
        <v>335.86071350399999</v>
      </c>
      <c r="N162" s="9">
        <v>1848.6437760000001</v>
      </c>
      <c r="O162" s="9">
        <v>3977.6414304960008</v>
      </c>
      <c r="P162" s="9">
        <v>0</v>
      </c>
      <c r="Q162" s="9">
        <v>0</v>
      </c>
      <c r="R162" s="9">
        <v>0</v>
      </c>
      <c r="S162" s="9">
        <v>6162.1459200000008</v>
      </c>
      <c r="T162" s="9">
        <v>3977.6414304960008</v>
      </c>
      <c r="U162" s="9">
        <v>0</v>
      </c>
      <c r="V162">
        <v>0</v>
      </c>
    </row>
    <row r="163" spans="1:22" x14ac:dyDescent="0.25">
      <c r="A163" t="s">
        <v>120</v>
      </c>
      <c r="B163" t="s">
        <v>177</v>
      </c>
      <c r="C163" t="s">
        <v>175</v>
      </c>
      <c r="D163" s="4">
        <v>1</v>
      </c>
      <c r="E163" s="4">
        <v>0</v>
      </c>
      <c r="F163" s="9">
        <v>6008.0960000000005</v>
      </c>
      <c r="G163" s="9">
        <v>1001.3493333333333</v>
      </c>
      <c r="H163" s="9">
        <v>7189.1702400000013</v>
      </c>
      <c r="I163" s="9">
        <v>0</v>
      </c>
      <c r="J163" s="9">
        <v>5101.2</v>
      </c>
      <c r="K163" s="9">
        <v>6162.1459200000008</v>
      </c>
      <c r="L163" s="9">
        <v>0</v>
      </c>
      <c r="M163" s="9">
        <v>335.86071350399999</v>
      </c>
      <c r="N163" s="9">
        <v>1848.6437760000001</v>
      </c>
      <c r="O163" s="9">
        <v>3977.6414304960008</v>
      </c>
      <c r="P163" s="9">
        <v>0</v>
      </c>
      <c r="Q163" s="9">
        <v>0</v>
      </c>
      <c r="R163" s="9">
        <v>0</v>
      </c>
      <c r="S163" s="9">
        <v>6162.1459200000008</v>
      </c>
      <c r="T163" s="9">
        <v>3977.6414304960008</v>
      </c>
      <c r="U163" s="9">
        <v>0</v>
      </c>
      <c r="V163">
        <v>0</v>
      </c>
    </row>
    <row r="164" spans="1:22" x14ac:dyDescent="0.25">
      <c r="A164" t="s">
        <v>120</v>
      </c>
      <c r="B164" t="s">
        <v>178</v>
      </c>
      <c r="C164" t="s">
        <v>175</v>
      </c>
      <c r="D164" s="4">
        <v>1</v>
      </c>
      <c r="E164" s="4">
        <v>0</v>
      </c>
      <c r="F164" s="9">
        <v>6008.0960000000005</v>
      </c>
      <c r="G164" s="9">
        <v>1001.3493333333333</v>
      </c>
      <c r="H164" s="9">
        <v>7189.1702400000013</v>
      </c>
      <c r="I164" s="9">
        <v>0</v>
      </c>
      <c r="J164" s="9">
        <v>5101.2</v>
      </c>
      <c r="K164" s="9">
        <v>6162.1459200000008</v>
      </c>
      <c r="L164" s="9">
        <v>0</v>
      </c>
      <c r="M164" s="9">
        <v>335.86071350399999</v>
      </c>
      <c r="N164" s="9">
        <v>1848.6437760000001</v>
      </c>
      <c r="O164" s="9">
        <v>3977.6414304960008</v>
      </c>
      <c r="P164" s="9">
        <v>0</v>
      </c>
      <c r="Q164" s="9">
        <v>0</v>
      </c>
      <c r="R164" s="9">
        <v>0</v>
      </c>
      <c r="S164" s="9">
        <v>6162.1459200000008</v>
      </c>
      <c r="T164" s="9">
        <v>3977.6414304960008</v>
      </c>
      <c r="U164" s="9">
        <v>0</v>
      </c>
      <c r="V164">
        <v>0</v>
      </c>
    </row>
    <row r="165" spans="1:22" x14ac:dyDescent="0.25">
      <c r="A165" t="s">
        <v>120</v>
      </c>
      <c r="B165" t="s">
        <v>179</v>
      </c>
      <c r="C165" t="s">
        <v>175</v>
      </c>
      <c r="D165" s="4">
        <v>1</v>
      </c>
      <c r="E165" s="4">
        <v>0</v>
      </c>
      <c r="F165" s="9">
        <v>6008.0960000000005</v>
      </c>
      <c r="G165" s="9">
        <v>1001.3493333333333</v>
      </c>
      <c r="H165" s="9">
        <v>7189.1702400000013</v>
      </c>
      <c r="I165" s="9">
        <v>0</v>
      </c>
      <c r="J165" s="9">
        <v>5101.2</v>
      </c>
      <c r="K165" s="9">
        <v>6162.1459200000008</v>
      </c>
      <c r="L165" s="9">
        <v>0</v>
      </c>
      <c r="M165" s="9">
        <v>335.86071350399999</v>
      </c>
      <c r="N165" s="9">
        <v>1848.6437760000001</v>
      </c>
      <c r="O165" s="9">
        <v>3977.6414304960008</v>
      </c>
      <c r="P165" s="9">
        <v>0</v>
      </c>
      <c r="Q165" s="9">
        <v>0</v>
      </c>
      <c r="R165" s="9">
        <v>0</v>
      </c>
      <c r="S165" s="9">
        <v>6162.1459200000008</v>
      </c>
      <c r="T165" s="9">
        <v>3977.6414304960008</v>
      </c>
      <c r="U165" s="9">
        <v>0</v>
      </c>
      <c r="V165">
        <v>0</v>
      </c>
    </row>
    <row r="166" spans="1:22" x14ac:dyDescent="0.25">
      <c r="A166" t="s">
        <v>120</v>
      </c>
      <c r="B166" t="s">
        <v>180</v>
      </c>
      <c r="C166" t="s">
        <v>175</v>
      </c>
      <c r="D166" s="4">
        <v>1</v>
      </c>
      <c r="E166" s="4">
        <v>0</v>
      </c>
      <c r="F166" s="9">
        <v>6008.0960000000005</v>
      </c>
      <c r="G166" s="9">
        <v>1001.3493333333333</v>
      </c>
      <c r="H166" s="9">
        <v>7189.1702400000013</v>
      </c>
      <c r="I166" s="9">
        <v>0</v>
      </c>
      <c r="J166" s="9">
        <v>5101.2</v>
      </c>
      <c r="K166" s="9">
        <v>6162.1459200000008</v>
      </c>
      <c r="L166" s="9">
        <v>0</v>
      </c>
      <c r="M166" s="9">
        <v>335.86071350399999</v>
      </c>
      <c r="N166" s="9">
        <v>1848.6437760000001</v>
      </c>
      <c r="O166" s="9">
        <v>3977.6414304960008</v>
      </c>
      <c r="P166" s="9">
        <v>0</v>
      </c>
      <c r="Q166" s="9">
        <v>0</v>
      </c>
      <c r="R166" s="9">
        <v>0</v>
      </c>
      <c r="S166" s="9">
        <v>6162.1459200000008</v>
      </c>
      <c r="T166" s="9">
        <v>3977.6414304960008</v>
      </c>
      <c r="U166" s="9">
        <v>0</v>
      </c>
      <c r="V166">
        <v>0</v>
      </c>
    </row>
    <row r="167" spans="1:22" x14ac:dyDescent="0.25">
      <c r="A167" t="s">
        <v>120</v>
      </c>
      <c r="B167" t="s">
        <v>183</v>
      </c>
      <c r="C167" t="s">
        <v>175</v>
      </c>
      <c r="D167" s="4">
        <v>1</v>
      </c>
      <c r="E167" s="4">
        <v>0</v>
      </c>
      <c r="F167" s="9">
        <v>6008.0960000000005</v>
      </c>
      <c r="G167" s="9">
        <v>1001.3493333333333</v>
      </c>
      <c r="H167" s="9">
        <v>7189.1702400000013</v>
      </c>
      <c r="I167" s="9">
        <v>0</v>
      </c>
      <c r="J167" s="9">
        <v>5101.2</v>
      </c>
      <c r="K167" s="9">
        <v>6162.1459200000008</v>
      </c>
      <c r="L167" s="9">
        <v>0</v>
      </c>
      <c r="M167" s="9">
        <v>335.86071350399999</v>
      </c>
      <c r="N167" s="9">
        <v>1848.6437760000001</v>
      </c>
      <c r="O167" s="9">
        <v>3977.6414304960008</v>
      </c>
      <c r="P167" s="9">
        <v>0</v>
      </c>
      <c r="Q167" s="9">
        <v>0</v>
      </c>
      <c r="R167" s="9">
        <v>0</v>
      </c>
      <c r="S167" s="9">
        <v>6162.1459200000008</v>
      </c>
      <c r="T167" s="9">
        <v>3977.6414304960008</v>
      </c>
      <c r="U167" s="9">
        <v>0</v>
      </c>
      <c r="V167">
        <v>0</v>
      </c>
    </row>
    <row r="168" spans="1:22" x14ac:dyDescent="0.25">
      <c r="A168" t="s">
        <v>120</v>
      </c>
      <c r="B168" t="s">
        <v>184</v>
      </c>
      <c r="C168" t="s">
        <v>175</v>
      </c>
      <c r="D168" s="4">
        <v>1</v>
      </c>
      <c r="E168" s="4">
        <v>0</v>
      </c>
      <c r="F168" s="9">
        <v>6008.0960000000005</v>
      </c>
      <c r="G168" s="9">
        <v>1001.3493333333333</v>
      </c>
      <c r="H168" s="9">
        <v>7189.1702400000013</v>
      </c>
      <c r="I168" s="9">
        <v>0</v>
      </c>
      <c r="J168" s="9">
        <v>5101.2</v>
      </c>
      <c r="K168" s="9">
        <v>6162.1459200000008</v>
      </c>
      <c r="L168" s="9">
        <v>0</v>
      </c>
      <c r="M168" s="9">
        <v>335.86071350399999</v>
      </c>
      <c r="N168" s="9">
        <v>1848.6437760000001</v>
      </c>
      <c r="O168" s="9">
        <v>3977.6414304960008</v>
      </c>
      <c r="P168" s="9">
        <v>0</v>
      </c>
      <c r="Q168" s="9">
        <v>0</v>
      </c>
      <c r="R168" s="9">
        <v>0</v>
      </c>
      <c r="S168" s="9">
        <v>6162.1459200000008</v>
      </c>
      <c r="T168" s="9">
        <v>3977.6414304960008</v>
      </c>
      <c r="U168" s="9">
        <v>0</v>
      </c>
      <c r="V168">
        <v>0</v>
      </c>
    </row>
    <row r="169" spans="1:22" x14ac:dyDescent="0.25">
      <c r="A169" t="s">
        <v>120</v>
      </c>
      <c r="B169" t="s">
        <v>185</v>
      </c>
      <c r="C169" t="s">
        <v>175</v>
      </c>
      <c r="D169" s="4">
        <v>1</v>
      </c>
      <c r="E169" s="4">
        <v>0</v>
      </c>
      <c r="F169" s="9">
        <v>6008.0960000000005</v>
      </c>
      <c r="G169" s="9">
        <v>1001.3493333333333</v>
      </c>
      <c r="H169" s="9">
        <v>7189.1702400000013</v>
      </c>
      <c r="I169" s="9">
        <v>0</v>
      </c>
      <c r="J169" s="9">
        <v>5101.2</v>
      </c>
      <c r="K169" s="9">
        <v>6162.1459200000008</v>
      </c>
      <c r="L169" s="9">
        <v>0</v>
      </c>
      <c r="M169" s="9">
        <v>335.86071350399999</v>
      </c>
      <c r="N169" s="9">
        <v>1848.6437760000001</v>
      </c>
      <c r="O169" s="9">
        <v>3977.6414304960008</v>
      </c>
      <c r="P169" s="9">
        <v>0</v>
      </c>
      <c r="Q169" s="9">
        <v>0</v>
      </c>
      <c r="R169" s="9">
        <v>0</v>
      </c>
      <c r="S169" s="9">
        <v>6162.1459200000008</v>
      </c>
      <c r="T169" s="9">
        <v>3977.6414304960008</v>
      </c>
      <c r="U169" s="9">
        <v>0</v>
      </c>
      <c r="V169">
        <v>0</v>
      </c>
    </row>
    <row r="170" spans="1:22" x14ac:dyDescent="0.25">
      <c r="A170" t="s">
        <v>120</v>
      </c>
      <c r="B170" t="s">
        <v>186</v>
      </c>
      <c r="C170" t="s">
        <v>175</v>
      </c>
      <c r="D170" s="4">
        <v>1</v>
      </c>
      <c r="E170" s="4">
        <v>0</v>
      </c>
      <c r="F170" s="9">
        <v>6008.0960000000005</v>
      </c>
      <c r="G170" s="9">
        <v>1001.3493333333333</v>
      </c>
      <c r="H170" s="9">
        <v>7009.445333333334</v>
      </c>
      <c r="I170" s="9">
        <v>0</v>
      </c>
      <c r="J170" s="9">
        <v>5101.2</v>
      </c>
      <c r="K170" s="9">
        <v>6008.0959999999995</v>
      </c>
      <c r="L170" s="9">
        <v>0</v>
      </c>
      <c r="M170" s="9">
        <v>335.4832912</v>
      </c>
      <c r="N170" s="9">
        <v>1848.6437760000001</v>
      </c>
      <c r="O170" s="9">
        <v>3823.9689327999995</v>
      </c>
      <c r="P170" s="9">
        <v>0</v>
      </c>
      <c r="Q170" s="9">
        <v>0</v>
      </c>
      <c r="R170" s="9">
        <v>0</v>
      </c>
      <c r="S170" s="9">
        <v>6008.0959999999995</v>
      </c>
      <c r="T170" s="9">
        <v>3823.9689327999995</v>
      </c>
      <c r="U170" s="9">
        <v>0</v>
      </c>
      <c r="V170">
        <v>0</v>
      </c>
    </row>
    <row r="171" spans="1:22" x14ac:dyDescent="0.25">
      <c r="A171" t="s">
        <v>120</v>
      </c>
      <c r="B171" t="s">
        <v>187</v>
      </c>
      <c r="C171" t="s">
        <v>175</v>
      </c>
      <c r="D171" s="4">
        <v>1</v>
      </c>
      <c r="E171" s="4">
        <v>0</v>
      </c>
      <c r="F171" s="9">
        <v>6008.0960000000005</v>
      </c>
      <c r="G171" s="9">
        <v>1001.3493333333333</v>
      </c>
      <c r="H171" s="9">
        <v>7189.1702400000013</v>
      </c>
      <c r="I171" s="9">
        <v>0</v>
      </c>
      <c r="J171" s="9">
        <v>5101.2</v>
      </c>
      <c r="K171" s="9">
        <v>6162.1459200000008</v>
      </c>
      <c r="L171" s="9">
        <v>0</v>
      </c>
      <c r="M171" s="9">
        <v>335.86071350399999</v>
      </c>
      <c r="N171" s="9">
        <v>1848.6437760000001</v>
      </c>
      <c r="O171" s="9">
        <v>3977.6414304960008</v>
      </c>
      <c r="P171" s="9">
        <v>0</v>
      </c>
      <c r="Q171" s="9">
        <v>0</v>
      </c>
      <c r="R171" s="9">
        <v>0</v>
      </c>
      <c r="S171" s="9">
        <v>6162.1459200000008</v>
      </c>
      <c r="T171" s="9">
        <v>3977.6414304960008</v>
      </c>
      <c r="U171" s="9">
        <v>0</v>
      </c>
      <c r="V171">
        <v>0</v>
      </c>
    </row>
    <row r="172" spans="1:22" x14ac:dyDescent="0.25">
      <c r="A172" t="s">
        <v>120</v>
      </c>
      <c r="B172" t="s">
        <v>189</v>
      </c>
      <c r="C172" t="s">
        <v>175</v>
      </c>
      <c r="D172" s="4">
        <v>1</v>
      </c>
      <c r="E172" s="4">
        <v>0</v>
      </c>
      <c r="F172" s="9">
        <v>6008.0960000000005</v>
      </c>
      <c r="G172" s="9">
        <v>1001.3493333333333</v>
      </c>
      <c r="H172" s="9">
        <v>7189.1702400000013</v>
      </c>
      <c r="I172" s="9">
        <v>0</v>
      </c>
      <c r="J172" s="9">
        <v>5101.2</v>
      </c>
      <c r="K172" s="9">
        <v>6162.1459200000008</v>
      </c>
      <c r="L172" s="9">
        <v>0</v>
      </c>
      <c r="M172" s="9">
        <v>335.86071350399999</v>
      </c>
      <c r="N172" s="9">
        <v>1848.6437760000001</v>
      </c>
      <c r="O172" s="9">
        <v>3977.6414304960008</v>
      </c>
      <c r="P172" s="9">
        <v>0</v>
      </c>
      <c r="Q172" s="9">
        <v>0</v>
      </c>
      <c r="R172" s="9">
        <v>0</v>
      </c>
      <c r="S172" s="9">
        <v>6162.1459200000008</v>
      </c>
      <c r="T172" s="9">
        <v>3977.6414304960008</v>
      </c>
      <c r="U172" s="9">
        <v>0</v>
      </c>
      <c r="V172">
        <v>0</v>
      </c>
    </row>
    <row r="173" spans="1:22" x14ac:dyDescent="0.25">
      <c r="A173" t="s">
        <v>122</v>
      </c>
      <c r="B173" t="s">
        <v>173</v>
      </c>
      <c r="C173" t="s">
        <v>175</v>
      </c>
      <c r="D173" s="4">
        <v>1</v>
      </c>
      <c r="E173" s="4">
        <v>0</v>
      </c>
      <c r="F173" s="9">
        <v>5966.82</v>
      </c>
      <c r="G173" s="9">
        <v>994.46999999999991</v>
      </c>
      <c r="H173" s="9">
        <v>6865.1792999999998</v>
      </c>
      <c r="I173" s="9">
        <v>0</v>
      </c>
      <c r="J173" s="9">
        <v>5101.2</v>
      </c>
      <c r="K173" s="9">
        <v>5884.4394000000002</v>
      </c>
      <c r="L173" s="9">
        <v>0</v>
      </c>
      <c r="M173" s="9">
        <v>335.18033252999999</v>
      </c>
      <c r="N173" s="9">
        <v>1695.8954350800002</v>
      </c>
      <c r="O173" s="9">
        <v>3853.36363239</v>
      </c>
      <c r="P173" s="9">
        <v>0</v>
      </c>
      <c r="Q173" s="9">
        <v>0</v>
      </c>
      <c r="R173" s="9">
        <v>0</v>
      </c>
      <c r="S173" s="9">
        <v>5884.4394000000002</v>
      </c>
      <c r="T173" s="9">
        <v>3853.36363239</v>
      </c>
      <c r="U173" s="9">
        <v>0</v>
      </c>
      <c r="V173">
        <v>0</v>
      </c>
    </row>
    <row r="174" spans="1:22" x14ac:dyDescent="0.25">
      <c r="A174" t="s">
        <v>122</v>
      </c>
      <c r="B174" t="s">
        <v>176</v>
      </c>
      <c r="C174" t="s">
        <v>175</v>
      </c>
      <c r="D174" s="4">
        <v>1</v>
      </c>
      <c r="E174" s="4">
        <v>0</v>
      </c>
      <c r="F174" s="9">
        <v>5966.82</v>
      </c>
      <c r="G174" s="9">
        <v>994.46999999999991</v>
      </c>
      <c r="H174" s="9">
        <v>6865.1792999999998</v>
      </c>
      <c r="I174" s="9">
        <v>0</v>
      </c>
      <c r="J174" s="9">
        <v>5101.2</v>
      </c>
      <c r="K174" s="9">
        <v>5884.4394000000002</v>
      </c>
      <c r="L174" s="9">
        <v>0</v>
      </c>
      <c r="M174" s="9">
        <v>335.18033252999999</v>
      </c>
      <c r="N174" s="9">
        <v>1695.8954350800002</v>
      </c>
      <c r="O174" s="9">
        <v>3853.36363239</v>
      </c>
      <c r="P174" s="9">
        <v>0</v>
      </c>
      <c r="Q174" s="9">
        <v>0</v>
      </c>
      <c r="R174" s="9">
        <v>0</v>
      </c>
      <c r="S174" s="9">
        <v>5884.4394000000002</v>
      </c>
      <c r="T174" s="9">
        <v>3853.36363239</v>
      </c>
      <c r="U174" s="9">
        <v>0</v>
      </c>
      <c r="V174">
        <v>0</v>
      </c>
    </row>
    <row r="175" spans="1:22" x14ac:dyDescent="0.25">
      <c r="A175" t="s">
        <v>122</v>
      </c>
      <c r="B175" t="s">
        <v>177</v>
      </c>
      <c r="C175" t="s">
        <v>175</v>
      </c>
      <c r="D175" s="4">
        <v>1</v>
      </c>
      <c r="E175" s="4">
        <v>0</v>
      </c>
      <c r="F175" s="9">
        <v>5966.82</v>
      </c>
      <c r="G175" s="9">
        <v>994.46999999999991</v>
      </c>
      <c r="H175" s="9">
        <v>6865.1792999999998</v>
      </c>
      <c r="I175" s="9">
        <v>0</v>
      </c>
      <c r="J175" s="9">
        <v>5101.2</v>
      </c>
      <c r="K175" s="9">
        <v>5884.4394000000002</v>
      </c>
      <c r="L175" s="9">
        <v>0</v>
      </c>
      <c r="M175" s="9">
        <v>335.18033252999999</v>
      </c>
      <c r="N175" s="9">
        <v>1695.8954350800002</v>
      </c>
      <c r="O175" s="9">
        <v>3853.36363239</v>
      </c>
      <c r="P175" s="9">
        <v>0</v>
      </c>
      <c r="Q175" s="9">
        <v>0</v>
      </c>
      <c r="R175" s="9">
        <v>0</v>
      </c>
      <c r="S175" s="9">
        <v>5884.4394000000002</v>
      </c>
      <c r="T175" s="9">
        <v>3853.36363239</v>
      </c>
      <c r="U175" s="9">
        <v>0</v>
      </c>
      <c r="V175">
        <v>0</v>
      </c>
    </row>
    <row r="176" spans="1:22" x14ac:dyDescent="0.25">
      <c r="A176" t="s">
        <v>122</v>
      </c>
      <c r="B176" t="s">
        <v>178</v>
      </c>
      <c r="C176" t="s">
        <v>175</v>
      </c>
      <c r="D176" s="4">
        <v>1</v>
      </c>
      <c r="E176" s="4">
        <v>0</v>
      </c>
      <c r="F176" s="9">
        <v>5966.82</v>
      </c>
      <c r="G176" s="9">
        <v>994.46999999999991</v>
      </c>
      <c r="H176" s="9">
        <v>6865.1792999999998</v>
      </c>
      <c r="I176" s="9">
        <v>0</v>
      </c>
      <c r="J176" s="9">
        <v>5101.2</v>
      </c>
      <c r="K176" s="9">
        <v>5884.4394000000002</v>
      </c>
      <c r="L176" s="9">
        <v>0</v>
      </c>
      <c r="M176" s="9">
        <v>335.18033252999999</v>
      </c>
      <c r="N176" s="9">
        <v>1695.8954350800002</v>
      </c>
      <c r="O176" s="9">
        <v>3853.36363239</v>
      </c>
      <c r="P176" s="9">
        <v>0</v>
      </c>
      <c r="Q176" s="9">
        <v>0</v>
      </c>
      <c r="R176" s="9">
        <v>0</v>
      </c>
      <c r="S176" s="9">
        <v>5884.4394000000002</v>
      </c>
      <c r="T176" s="9">
        <v>3853.36363239</v>
      </c>
      <c r="U176" s="9">
        <v>0</v>
      </c>
      <c r="V176">
        <v>0</v>
      </c>
    </row>
    <row r="177" spans="1:22" x14ac:dyDescent="0.25">
      <c r="A177" t="s">
        <v>122</v>
      </c>
      <c r="B177" t="s">
        <v>179</v>
      </c>
      <c r="C177" t="s">
        <v>175</v>
      </c>
      <c r="D177" s="4">
        <v>1</v>
      </c>
      <c r="E177" s="4">
        <v>0</v>
      </c>
      <c r="F177" s="9">
        <v>5966.82</v>
      </c>
      <c r="G177" s="9">
        <v>994.46999999999991</v>
      </c>
      <c r="H177" s="9">
        <v>6865.1792999999998</v>
      </c>
      <c r="I177" s="9">
        <v>0</v>
      </c>
      <c r="J177" s="9">
        <v>5101.2</v>
      </c>
      <c r="K177" s="9">
        <v>5884.4394000000002</v>
      </c>
      <c r="L177" s="9">
        <v>0</v>
      </c>
      <c r="M177" s="9">
        <v>335.18033252999999</v>
      </c>
      <c r="N177" s="9">
        <v>1695.8954350800002</v>
      </c>
      <c r="O177" s="9">
        <v>3853.36363239</v>
      </c>
      <c r="P177" s="9">
        <v>0</v>
      </c>
      <c r="Q177" s="9">
        <v>0</v>
      </c>
      <c r="R177" s="9">
        <v>0</v>
      </c>
      <c r="S177" s="9">
        <v>5884.4394000000002</v>
      </c>
      <c r="T177" s="9">
        <v>3853.36363239</v>
      </c>
      <c r="U177" s="9">
        <v>0</v>
      </c>
      <c r="V177">
        <v>0</v>
      </c>
    </row>
    <row r="178" spans="1:22" x14ac:dyDescent="0.25">
      <c r="A178" t="s">
        <v>122</v>
      </c>
      <c r="B178" t="s">
        <v>180</v>
      </c>
      <c r="C178" t="s">
        <v>175</v>
      </c>
      <c r="D178" s="4">
        <v>1</v>
      </c>
      <c r="E178" s="4">
        <v>0</v>
      </c>
      <c r="F178" s="9">
        <v>5966.82</v>
      </c>
      <c r="G178" s="9">
        <v>994.46999999999991</v>
      </c>
      <c r="H178" s="9">
        <v>6865.1792999999998</v>
      </c>
      <c r="I178" s="9">
        <v>0</v>
      </c>
      <c r="J178" s="9">
        <v>5101.2</v>
      </c>
      <c r="K178" s="9">
        <v>5884.4394000000002</v>
      </c>
      <c r="L178" s="9">
        <v>0</v>
      </c>
      <c r="M178" s="9">
        <v>335.18033252999999</v>
      </c>
      <c r="N178" s="9">
        <v>1695.8954350800002</v>
      </c>
      <c r="O178" s="9">
        <v>3853.36363239</v>
      </c>
      <c r="P178" s="9">
        <v>0</v>
      </c>
      <c r="Q178" s="9">
        <v>0</v>
      </c>
      <c r="R178" s="9">
        <v>0</v>
      </c>
      <c r="S178" s="9">
        <v>5884.4394000000002</v>
      </c>
      <c r="T178" s="9">
        <v>3853.36363239</v>
      </c>
      <c r="U178" s="9">
        <v>0</v>
      </c>
      <c r="V178">
        <v>0</v>
      </c>
    </row>
    <row r="179" spans="1:22" x14ac:dyDescent="0.25">
      <c r="A179" t="s">
        <v>122</v>
      </c>
      <c r="B179" t="s">
        <v>183</v>
      </c>
      <c r="C179" t="s">
        <v>175</v>
      </c>
      <c r="D179" s="4">
        <v>1</v>
      </c>
      <c r="E179" s="4">
        <v>0</v>
      </c>
      <c r="F179" s="9">
        <v>5966.82</v>
      </c>
      <c r="G179" s="9">
        <v>994.46999999999991</v>
      </c>
      <c r="H179" s="9">
        <v>6865.1792999999998</v>
      </c>
      <c r="I179" s="9">
        <v>0</v>
      </c>
      <c r="J179" s="9">
        <v>5101.2</v>
      </c>
      <c r="K179" s="9">
        <v>5884.4394000000002</v>
      </c>
      <c r="L179" s="9">
        <v>0</v>
      </c>
      <c r="M179" s="9">
        <v>335.18033252999999</v>
      </c>
      <c r="N179" s="9">
        <v>1695.8954350800002</v>
      </c>
      <c r="O179" s="9">
        <v>3853.36363239</v>
      </c>
      <c r="P179" s="9">
        <v>0</v>
      </c>
      <c r="Q179" s="9">
        <v>0</v>
      </c>
      <c r="R179" s="9">
        <v>0</v>
      </c>
      <c r="S179" s="9">
        <v>5884.4394000000002</v>
      </c>
      <c r="T179" s="9">
        <v>3853.36363239</v>
      </c>
      <c r="U179" s="9">
        <v>0</v>
      </c>
      <c r="V179">
        <v>0</v>
      </c>
    </row>
    <row r="180" spans="1:22" x14ac:dyDescent="0.25">
      <c r="A180" t="s">
        <v>122</v>
      </c>
      <c r="B180" t="s">
        <v>184</v>
      </c>
      <c r="C180" t="s">
        <v>175</v>
      </c>
      <c r="D180" s="4">
        <v>1</v>
      </c>
      <c r="E180" s="4">
        <v>0</v>
      </c>
      <c r="F180" s="9">
        <v>5966.82</v>
      </c>
      <c r="G180" s="9">
        <v>994.46999999999991</v>
      </c>
      <c r="H180" s="9">
        <v>6865.1792999999998</v>
      </c>
      <c r="I180" s="9">
        <v>0</v>
      </c>
      <c r="J180" s="9">
        <v>5101.2</v>
      </c>
      <c r="K180" s="9">
        <v>5884.4394000000002</v>
      </c>
      <c r="L180" s="9">
        <v>0</v>
      </c>
      <c r="M180" s="9">
        <v>335.18033252999999</v>
      </c>
      <c r="N180" s="9">
        <v>1695.8954350800002</v>
      </c>
      <c r="O180" s="9">
        <v>3853.36363239</v>
      </c>
      <c r="P180" s="9">
        <v>0</v>
      </c>
      <c r="Q180" s="9">
        <v>0</v>
      </c>
      <c r="R180" s="9">
        <v>0</v>
      </c>
      <c r="S180" s="9">
        <v>5884.4394000000002</v>
      </c>
      <c r="T180" s="9">
        <v>3853.36363239</v>
      </c>
      <c r="U180" s="9">
        <v>0</v>
      </c>
      <c r="V180">
        <v>0</v>
      </c>
    </row>
    <row r="181" spans="1:22" x14ac:dyDescent="0.25">
      <c r="A181" t="s">
        <v>122</v>
      </c>
      <c r="B181" t="s">
        <v>185</v>
      </c>
      <c r="C181" t="s">
        <v>175</v>
      </c>
      <c r="D181" s="4">
        <v>1</v>
      </c>
      <c r="E181" s="4">
        <v>0</v>
      </c>
      <c r="F181" s="9">
        <v>5966.82</v>
      </c>
      <c r="G181" s="9">
        <v>994.46999999999991</v>
      </c>
      <c r="H181" s="9">
        <v>6865.1792999999998</v>
      </c>
      <c r="I181" s="9">
        <v>0</v>
      </c>
      <c r="J181" s="9">
        <v>5101.2</v>
      </c>
      <c r="K181" s="9">
        <v>5884.4394000000002</v>
      </c>
      <c r="L181" s="9">
        <v>0</v>
      </c>
      <c r="M181" s="9">
        <v>335.18033252999999</v>
      </c>
      <c r="N181" s="9">
        <v>1695.8954350800002</v>
      </c>
      <c r="O181" s="9">
        <v>3853.36363239</v>
      </c>
      <c r="P181" s="9">
        <v>0</v>
      </c>
      <c r="Q181" s="9">
        <v>0</v>
      </c>
      <c r="R181" s="9">
        <v>0</v>
      </c>
      <c r="S181" s="9">
        <v>5884.4394000000002</v>
      </c>
      <c r="T181" s="9">
        <v>3853.36363239</v>
      </c>
      <c r="U181" s="9">
        <v>0</v>
      </c>
      <c r="V181">
        <v>0</v>
      </c>
    </row>
    <row r="182" spans="1:22" x14ac:dyDescent="0.25">
      <c r="A182" t="s">
        <v>122</v>
      </c>
      <c r="B182" t="s">
        <v>186</v>
      </c>
      <c r="C182" t="s">
        <v>175</v>
      </c>
      <c r="D182" s="4">
        <v>1</v>
      </c>
      <c r="E182" s="4">
        <v>0</v>
      </c>
      <c r="F182" s="9">
        <v>5966.82</v>
      </c>
      <c r="G182" s="9">
        <v>994.46999999999991</v>
      </c>
      <c r="H182" s="9">
        <v>6865.1792999999998</v>
      </c>
      <c r="I182" s="9">
        <v>0</v>
      </c>
      <c r="J182" s="9">
        <v>5101.2</v>
      </c>
      <c r="K182" s="9">
        <v>5884.4394000000002</v>
      </c>
      <c r="L182" s="9">
        <v>0</v>
      </c>
      <c r="M182" s="9">
        <v>335.18033252999999</v>
      </c>
      <c r="N182" s="9">
        <v>1695.8954350800002</v>
      </c>
      <c r="O182" s="9">
        <v>3853.36363239</v>
      </c>
      <c r="P182" s="9">
        <v>0</v>
      </c>
      <c r="Q182" s="9">
        <v>0</v>
      </c>
      <c r="R182" s="9">
        <v>0</v>
      </c>
      <c r="S182" s="9">
        <v>5884.4394000000002</v>
      </c>
      <c r="T182" s="9">
        <v>3853.36363239</v>
      </c>
      <c r="U182" s="9">
        <v>0</v>
      </c>
      <c r="V182">
        <v>0</v>
      </c>
    </row>
    <row r="183" spans="1:22" x14ac:dyDescent="0.25">
      <c r="A183" t="s">
        <v>122</v>
      </c>
      <c r="B183" t="s">
        <v>187</v>
      </c>
      <c r="C183" t="s">
        <v>175</v>
      </c>
      <c r="D183" s="4">
        <v>1</v>
      </c>
      <c r="E183" s="4">
        <v>0</v>
      </c>
      <c r="F183" s="9">
        <v>5966.82</v>
      </c>
      <c r="G183" s="9">
        <v>994.46999999999991</v>
      </c>
      <c r="H183" s="9">
        <v>6865.1792999999998</v>
      </c>
      <c r="I183" s="9">
        <v>0</v>
      </c>
      <c r="J183" s="9">
        <v>5101.2</v>
      </c>
      <c r="K183" s="9">
        <v>5884.4394000000002</v>
      </c>
      <c r="L183" s="9">
        <v>0</v>
      </c>
      <c r="M183" s="9">
        <v>335.18033252999999</v>
      </c>
      <c r="N183" s="9">
        <v>1695.8954350800002</v>
      </c>
      <c r="O183" s="9">
        <v>3853.36363239</v>
      </c>
      <c r="P183" s="9">
        <v>0</v>
      </c>
      <c r="Q183" s="9">
        <v>0</v>
      </c>
      <c r="R183" s="9">
        <v>0</v>
      </c>
      <c r="S183" s="9">
        <v>5884.4394000000002</v>
      </c>
      <c r="T183" s="9">
        <v>3853.36363239</v>
      </c>
      <c r="U183" s="9">
        <v>0</v>
      </c>
      <c r="V183">
        <v>0</v>
      </c>
    </row>
    <row r="184" spans="1:22" x14ac:dyDescent="0.25">
      <c r="A184" t="s">
        <v>122</v>
      </c>
      <c r="B184" t="s">
        <v>189</v>
      </c>
      <c r="C184" t="s">
        <v>175</v>
      </c>
      <c r="D184" s="4">
        <v>1</v>
      </c>
      <c r="E184" s="4">
        <v>0</v>
      </c>
      <c r="F184" s="9">
        <v>5966.82</v>
      </c>
      <c r="G184" s="9">
        <v>994.46999999999991</v>
      </c>
      <c r="H184" s="9">
        <v>6865.1792999999998</v>
      </c>
      <c r="I184" s="9">
        <v>0</v>
      </c>
      <c r="J184" s="9">
        <v>5101.2</v>
      </c>
      <c r="K184" s="9">
        <v>5884.4394000000002</v>
      </c>
      <c r="L184" s="9">
        <v>0</v>
      </c>
      <c r="M184" s="9">
        <v>335.18033252999999</v>
      </c>
      <c r="N184" s="9">
        <v>1695.8954350800002</v>
      </c>
      <c r="O184" s="9">
        <v>3853.36363239</v>
      </c>
      <c r="P184" s="9">
        <v>0</v>
      </c>
      <c r="Q184" s="9">
        <v>0</v>
      </c>
      <c r="R184" s="9">
        <v>0</v>
      </c>
      <c r="S184" s="9">
        <v>5884.4394000000002</v>
      </c>
      <c r="T184" s="9">
        <v>3853.36363239</v>
      </c>
      <c r="U184" s="9">
        <v>0</v>
      </c>
      <c r="V184">
        <v>0</v>
      </c>
    </row>
    <row r="185" spans="1:22" x14ac:dyDescent="0.25">
      <c r="A185" t="s">
        <v>124</v>
      </c>
      <c r="B185" t="s">
        <v>173</v>
      </c>
      <c r="C185" t="s">
        <v>175</v>
      </c>
      <c r="D185" s="4">
        <v>1</v>
      </c>
      <c r="E185" s="4">
        <v>0</v>
      </c>
      <c r="F185" s="9">
        <v>2203.7820000000002</v>
      </c>
      <c r="G185" s="9">
        <v>367.29700000000003</v>
      </c>
      <c r="H185" s="9">
        <v>2527.2805950000006</v>
      </c>
      <c r="I185" s="9">
        <v>0</v>
      </c>
      <c r="J185" s="9">
        <v>5101.2</v>
      </c>
      <c r="K185" s="9">
        <v>2166.2405100000001</v>
      </c>
      <c r="L185" s="9">
        <v>0</v>
      </c>
      <c r="M185" s="9">
        <v>164.27323867500002</v>
      </c>
      <c r="N185" s="9">
        <v>368.26088670000001</v>
      </c>
      <c r="O185" s="9">
        <v>1633.7063846250003</v>
      </c>
      <c r="P185" s="9">
        <v>0</v>
      </c>
      <c r="Q185" s="9">
        <v>0</v>
      </c>
      <c r="R185" s="9">
        <v>0</v>
      </c>
      <c r="S185" s="9">
        <v>2166.2405100000001</v>
      </c>
      <c r="T185" s="9">
        <v>1633.7063846250003</v>
      </c>
      <c r="U185" s="9">
        <v>0</v>
      </c>
      <c r="V185">
        <v>0</v>
      </c>
    </row>
    <row r="186" spans="1:22" x14ac:dyDescent="0.25">
      <c r="A186" t="s">
        <v>124</v>
      </c>
      <c r="B186" t="s">
        <v>176</v>
      </c>
      <c r="C186" t="s">
        <v>175</v>
      </c>
      <c r="D186" s="4">
        <v>1</v>
      </c>
      <c r="E186" s="4">
        <v>0</v>
      </c>
      <c r="F186" s="9">
        <v>2203.7820000000002</v>
      </c>
      <c r="G186" s="9">
        <v>367.29700000000003</v>
      </c>
      <c r="H186" s="9">
        <v>2620.8835800000002</v>
      </c>
      <c r="I186" s="9">
        <v>0</v>
      </c>
      <c r="J186" s="9">
        <v>5101.2</v>
      </c>
      <c r="K186" s="9">
        <v>2246.4716400000002</v>
      </c>
      <c r="L186" s="9">
        <v>0</v>
      </c>
      <c r="M186" s="9">
        <v>170.3574327</v>
      </c>
      <c r="N186" s="9">
        <v>381.90017880000005</v>
      </c>
      <c r="O186" s="9">
        <v>1694.2140285</v>
      </c>
      <c r="P186" s="9">
        <v>0</v>
      </c>
      <c r="Q186" s="9">
        <v>0</v>
      </c>
      <c r="R186" s="9">
        <v>0</v>
      </c>
      <c r="S186" s="9">
        <v>2246.4716400000002</v>
      </c>
      <c r="T186" s="9">
        <v>1694.2140285</v>
      </c>
      <c r="U186" s="9">
        <v>0</v>
      </c>
      <c r="V186">
        <v>0</v>
      </c>
    </row>
    <row r="187" spans="1:22" x14ac:dyDescent="0.25">
      <c r="A187" t="s">
        <v>124</v>
      </c>
      <c r="B187" t="s">
        <v>177</v>
      </c>
      <c r="C187" t="s">
        <v>175</v>
      </c>
      <c r="D187" s="4">
        <v>1</v>
      </c>
      <c r="E187" s="4">
        <v>0</v>
      </c>
      <c r="F187" s="9">
        <v>2203.7820000000002</v>
      </c>
      <c r="G187" s="9">
        <v>367.29700000000003</v>
      </c>
      <c r="H187" s="9">
        <v>2620.8835800000002</v>
      </c>
      <c r="I187" s="9">
        <v>0</v>
      </c>
      <c r="J187" s="9">
        <v>5101.2</v>
      </c>
      <c r="K187" s="9">
        <v>2246.4716400000002</v>
      </c>
      <c r="L187" s="9">
        <v>0</v>
      </c>
      <c r="M187" s="9">
        <v>170.3574327</v>
      </c>
      <c r="N187" s="9">
        <v>381.90017880000005</v>
      </c>
      <c r="O187" s="9">
        <v>1694.2140285</v>
      </c>
      <c r="P187" s="9">
        <v>0</v>
      </c>
      <c r="Q187" s="9">
        <v>0</v>
      </c>
      <c r="R187" s="9">
        <v>0</v>
      </c>
      <c r="S187" s="9">
        <v>2246.4716400000002</v>
      </c>
      <c r="T187" s="9">
        <v>1694.2140285</v>
      </c>
      <c r="U187" s="9">
        <v>0</v>
      </c>
      <c r="V187">
        <v>0</v>
      </c>
    </row>
    <row r="188" spans="1:22" x14ac:dyDescent="0.25">
      <c r="A188" t="s">
        <v>124</v>
      </c>
      <c r="B188" t="s">
        <v>178</v>
      </c>
      <c r="C188" t="s">
        <v>175</v>
      </c>
      <c r="D188" s="4">
        <v>1</v>
      </c>
      <c r="E188" s="4">
        <v>0</v>
      </c>
      <c r="F188" s="9">
        <v>2203.7820000000002</v>
      </c>
      <c r="G188" s="9">
        <v>367.29700000000003</v>
      </c>
      <c r="H188" s="9">
        <v>2620.8835800000002</v>
      </c>
      <c r="I188" s="9">
        <v>0</v>
      </c>
      <c r="J188" s="9">
        <v>5101.2</v>
      </c>
      <c r="K188" s="9">
        <v>2246.4716400000002</v>
      </c>
      <c r="L188" s="9">
        <v>0</v>
      </c>
      <c r="M188" s="9">
        <v>170.3574327</v>
      </c>
      <c r="N188" s="9">
        <v>381.90017880000005</v>
      </c>
      <c r="O188" s="9">
        <v>1694.2140285</v>
      </c>
      <c r="P188" s="9">
        <v>0</v>
      </c>
      <c r="Q188" s="9">
        <v>0</v>
      </c>
      <c r="R188" s="9">
        <v>0</v>
      </c>
      <c r="S188" s="9">
        <v>2246.4716400000002</v>
      </c>
      <c r="T188" s="9">
        <v>1694.2140285</v>
      </c>
      <c r="U188" s="9">
        <v>0</v>
      </c>
      <c r="V188">
        <v>0</v>
      </c>
    </row>
    <row r="189" spans="1:22" x14ac:dyDescent="0.25">
      <c r="A189" t="s">
        <v>124</v>
      </c>
      <c r="B189" t="s">
        <v>179</v>
      </c>
      <c r="C189" t="s">
        <v>175</v>
      </c>
      <c r="D189" s="4">
        <v>1</v>
      </c>
      <c r="E189" s="4">
        <v>0</v>
      </c>
      <c r="F189" s="9">
        <v>2203.7820000000002</v>
      </c>
      <c r="G189" s="9">
        <v>367.29700000000003</v>
      </c>
      <c r="H189" s="9">
        <v>2620.8835800000002</v>
      </c>
      <c r="I189" s="9">
        <v>0</v>
      </c>
      <c r="J189" s="9">
        <v>5101.2</v>
      </c>
      <c r="K189" s="9">
        <v>2246.4716400000002</v>
      </c>
      <c r="L189" s="9">
        <v>0</v>
      </c>
      <c r="M189" s="9">
        <v>170.3574327</v>
      </c>
      <c r="N189" s="9">
        <v>381.90017880000005</v>
      </c>
      <c r="O189" s="9">
        <v>1694.2140285</v>
      </c>
      <c r="P189" s="9">
        <v>0</v>
      </c>
      <c r="Q189" s="9">
        <v>0</v>
      </c>
      <c r="R189" s="9">
        <v>0</v>
      </c>
      <c r="S189" s="9">
        <v>2246.4716400000002</v>
      </c>
      <c r="T189" s="9">
        <v>1694.2140285</v>
      </c>
      <c r="U189" s="9">
        <v>0</v>
      </c>
      <c r="V189">
        <v>0</v>
      </c>
    </row>
    <row r="190" spans="1:22" x14ac:dyDescent="0.25">
      <c r="A190" t="s">
        <v>124</v>
      </c>
      <c r="B190" t="s">
        <v>180</v>
      </c>
      <c r="C190" t="s">
        <v>175</v>
      </c>
      <c r="D190" s="4">
        <v>1</v>
      </c>
      <c r="E190" s="4">
        <v>0</v>
      </c>
      <c r="F190" s="9">
        <v>2203.7820000000002</v>
      </c>
      <c r="G190" s="9">
        <v>367.29700000000003</v>
      </c>
      <c r="H190" s="9">
        <v>2620.8835800000002</v>
      </c>
      <c r="I190" s="9">
        <v>0</v>
      </c>
      <c r="J190" s="9">
        <v>5101.2</v>
      </c>
      <c r="K190" s="9">
        <v>2246.4716400000002</v>
      </c>
      <c r="L190" s="9">
        <v>0</v>
      </c>
      <c r="M190" s="9">
        <v>170.3574327</v>
      </c>
      <c r="N190" s="9">
        <v>381.90017880000005</v>
      </c>
      <c r="O190" s="9">
        <v>1694.2140285</v>
      </c>
      <c r="P190" s="9">
        <v>0</v>
      </c>
      <c r="Q190" s="9">
        <v>0</v>
      </c>
      <c r="R190" s="9">
        <v>0</v>
      </c>
      <c r="S190" s="9">
        <v>2246.4716400000002</v>
      </c>
      <c r="T190" s="9">
        <v>1694.2140285</v>
      </c>
      <c r="U190" s="9">
        <v>0</v>
      </c>
      <c r="V190">
        <v>0</v>
      </c>
    </row>
    <row r="191" spans="1:22" x14ac:dyDescent="0.25">
      <c r="A191" t="s">
        <v>124</v>
      </c>
      <c r="B191" t="s">
        <v>183</v>
      </c>
      <c r="C191" t="s">
        <v>175</v>
      </c>
      <c r="D191" s="4">
        <v>1</v>
      </c>
      <c r="E191" s="4">
        <v>0</v>
      </c>
      <c r="F191" s="9">
        <v>2203.7820000000002</v>
      </c>
      <c r="G191" s="9">
        <v>367.29700000000003</v>
      </c>
      <c r="H191" s="9">
        <v>2620.8835800000002</v>
      </c>
      <c r="I191" s="9">
        <v>0</v>
      </c>
      <c r="J191" s="9">
        <v>5101.2</v>
      </c>
      <c r="K191" s="9">
        <v>2246.4716400000002</v>
      </c>
      <c r="L191" s="9">
        <v>0</v>
      </c>
      <c r="M191" s="9">
        <v>170.3574327</v>
      </c>
      <c r="N191" s="9">
        <v>381.90017880000005</v>
      </c>
      <c r="O191" s="9">
        <v>1694.2140285</v>
      </c>
      <c r="P191" s="9">
        <v>0</v>
      </c>
      <c r="Q191" s="9">
        <v>0</v>
      </c>
      <c r="R191" s="9">
        <v>0</v>
      </c>
      <c r="S191" s="9">
        <v>2246.4716400000002</v>
      </c>
      <c r="T191" s="9">
        <v>1694.2140285</v>
      </c>
      <c r="U191" s="9">
        <v>0</v>
      </c>
      <c r="V191">
        <v>0</v>
      </c>
    </row>
    <row r="192" spans="1:22" x14ac:dyDescent="0.25">
      <c r="A192" t="s">
        <v>124</v>
      </c>
      <c r="B192" t="s">
        <v>184</v>
      </c>
      <c r="C192" t="s">
        <v>175</v>
      </c>
      <c r="D192" s="4">
        <v>1</v>
      </c>
      <c r="E192" s="4">
        <v>0</v>
      </c>
      <c r="F192" s="9">
        <v>2203.7820000000002</v>
      </c>
      <c r="G192" s="9">
        <v>367.29700000000003</v>
      </c>
      <c r="H192" s="9">
        <v>2620.8835800000002</v>
      </c>
      <c r="I192" s="9">
        <v>0</v>
      </c>
      <c r="J192" s="9">
        <v>5101.2</v>
      </c>
      <c r="K192" s="9">
        <v>2246.4716400000002</v>
      </c>
      <c r="L192" s="9">
        <v>0</v>
      </c>
      <c r="M192" s="9">
        <v>170.3574327</v>
      </c>
      <c r="N192" s="9">
        <v>381.90017880000005</v>
      </c>
      <c r="O192" s="9">
        <v>1694.2140285</v>
      </c>
      <c r="P192" s="9">
        <v>0</v>
      </c>
      <c r="Q192" s="9">
        <v>0</v>
      </c>
      <c r="R192" s="9">
        <v>0</v>
      </c>
      <c r="S192" s="9">
        <v>2246.4716400000002</v>
      </c>
      <c r="T192" s="9">
        <v>1694.2140285</v>
      </c>
      <c r="U192" s="9">
        <v>0</v>
      </c>
      <c r="V192">
        <v>0</v>
      </c>
    </row>
    <row r="193" spans="1:22" x14ac:dyDescent="0.25">
      <c r="A193" t="s">
        <v>124</v>
      </c>
      <c r="B193" t="s">
        <v>185</v>
      </c>
      <c r="C193" t="s">
        <v>175</v>
      </c>
      <c r="D193" s="4">
        <v>1</v>
      </c>
      <c r="E193" s="4">
        <v>0</v>
      </c>
      <c r="F193" s="9">
        <v>2203.7820000000002</v>
      </c>
      <c r="G193" s="9">
        <v>367.29700000000003</v>
      </c>
      <c r="H193" s="9">
        <v>2620.8835800000002</v>
      </c>
      <c r="I193" s="9">
        <v>0</v>
      </c>
      <c r="J193" s="9">
        <v>5101.2</v>
      </c>
      <c r="K193" s="9">
        <v>2246.4716400000002</v>
      </c>
      <c r="L193" s="9">
        <v>0</v>
      </c>
      <c r="M193" s="9">
        <v>170.3574327</v>
      </c>
      <c r="N193" s="9">
        <v>381.90017880000005</v>
      </c>
      <c r="O193" s="9">
        <v>1694.2140285</v>
      </c>
      <c r="P193" s="9">
        <v>0</v>
      </c>
      <c r="Q193" s="9">
        <v>0</v>
      </c>
      <c r="R193" s="9">
        <v>0</v>
      </c>
      <c r="S193" s="9">
        <v>2246.4716400000002</v>
      </c>
      <c r="T193" s="9">
        <v>1694.2140285</v>
      </c>
      <c r="U193" s="9">
        <v>0</v>
      </c>
      <c r="V193">
        <v>0</v>
      </c>
    </row>
    <row r="194" spans="1:22" x14ac:dyDescent="0.25">
      <c r="A194" t="s">
        <v>124</v>
      </c>
      <c r="B194" t="s">
        <v>186</v>
      </c>
      <c r="C194" t="s">
        <v>175</v>
      </c>
      <c r="D194" s="4">
        <v>1</v>
      </c>
      <c r="E194" s="4">
        <v>0</v>
      </c>
      <c r="F194" s="9">
        <v>2203.7820000000002</v>
      </c>
      <c r="G194" s="9">
        <v>367.29700000000003</v>
      </c>
      <c r="H194" s="9">
        <v>2620.8835800000002</v>
      </c>
      <c r="I194" s="9">
        <v>0</v>
      </c>
      <c r="J194" s="9">
        <v>5101.2</v>
      </c>
      <c r="K194" s="9">
        <v>2246.4716400000002</v>
      </c>
      <c r="L194" s="9">
        <v>0</v>
      </c>
      <c r="M194" s="9">
        <v>170.3574327</v>
      </c>
      <c r="N194" s="9">
        <v>381.90017880000005</v>
      </c>
      <c r="O194" s="9">
        <v>1694.2140285</v>
      </c>
      <c r="P194" s="9">
        <v>0</v>
      </c>
      <c r="Q194" s="9">
        <v>0</v>
      </c>
      <c r="R194" s="9">
        <v>0</v>
      </c>
      <c r="S194" s="9">
        <v>2246.4716400000002</v>
      </c>
      <c r="T194" s="9">
        <v>1694.2140285</v>
      </c>
      <c r="U194" s="9">
        <v>0</v>
      </c>
      <c r="V194">
        <v>0</v>
      </c>
    </row>
    <row r="195" spans="1:22" x14ac:dyDescent="0.25">
      <c r="A195" t="s">
        <v>124</v>
      </c>
      <c r="B195" t="s">
        <v>187</v>
      </c>
      <c r="C195" t="s">
        <v>175</v>
      </c>
      <c r="D195" s="4">
        <v>1</v>
      </c>
      <c r="E195" s="4">
        <v>0</v>
      </c>
      <c r="F195" s="9">
        <v>2203.7820000000002</v>
      </c>
      <c r="G195" s="9">
        <v>367.29700000000003</v>
      </c>
      <c r="H195" s="9">
        <v>2620.8835800000002</v>
      </c>
      <c r="I195" s="9">
        <v>0</v>
      </c>
      <c r="J195" s="9">
        <v>5101.2</v>
      </c>
      <c r="K195" s="9">
        <v>2246.4716400000002</v>
      </c>
      <c r="L195" s="9">
        <v>0</v>
      </c>
      <c r="M195" s="9">
        <v>170.3574327</v>
      </c>
      <c r="N195" s="9">
        <v>381.90017880000005</v>
      </c>
      <c r="O195" s="9">
        <v>1694.2140285</v>
      </c>
      <c r="P195" s="9">
        <v>0</v>
      </c>
      <c r="Q195" s="9">
        <v>0</v>
      </c>
      <c r="R195" s="9">
        <v>0</v>
      </c>
      <c r="S195" s="9">
        <v>2246.4716400000002</v>
      </c>
      <c r="T195" s="9">
        <v>1694.2140285</v>
      </c>
      <c r="U195" s="9">
        <v>0</v>
      </c>
      <c r="V195">
        <v>0</v>
      </c>
    </row>
    <row r="196" spans="1:22" x14ac:dyDescent="0.25">
      <c r="A196" t="s">
        <v>124</v>
      </c>
      <c r="B196" t="s">
        <v>189</v>
      </c>
      <c r="C196" t="s">
        <v>175</v>
      </c>
      <c r="D196" s="4">
        <v>1</v>
      </c>
      <c r="E196" s="4">
        <v>0</v>
      </c>
      <c r="F196" s="9">
        <v>2203.7820000000002</v>
      </c>
      <c r="G196" s="9">
        <v>367.29700000000003</v>
      </c>
      <c r="H196" s="9">
        <v>2620.8835800000002</v>
      </c>
      <c r="I196" s="9">
        <v>0</v>
      </c>
      <c r="J196" s="9">
        <v>5101.2</v>
      </c>
      <c r="K196" s="9">
        <v>2246.4716400000002</v>
      </c>
      <c r="L196" s="9">
        <v>0</v>
      </c>
      <c r="M196" s="9">
        <v>170.3574327</v>
      </c>
      <c r="N196" s="9">
        <v>381.90017880000005</v>
      </c>
      <c r="O196" s="9">
        <v>1694.2140285</v>
      </c>
      <c r="P196" s="9">
        <v>0</v>
      </c>
      <c r="Q196" s="9">
        <v>0</v>
      </c>
      <c r="R196" s="9">
        <v>0</v>
      </c>
      <c r="S196" s="9">
        <v>2246.4716400000002</v>
      </c>
      <c r="T196" s="9">
        <v>1694.2140285</v>
      </c>
      <c r="U196" s="9">
        <v>0</v>
      </c>
      <c r="V196">
        <v>0</v>
      </c>
    </row>
    <row r="197" spans="1:22" x14ac:dyDescent="0.25">
      <c r="A197" t="s">
        <v>126</v>
      </c>
      <c r="B197" t="s">
        <v>173</v>
      </c>
      <c r="C197" t="s">
        <v>175</v>
      </c>
      <c r="D197" s="4">
        <v>1</v>
      </c>
      <c r="E197" s="4">
        <v>0</v>
      </c>
      <c r="F197" s="9">
        <v>3898.7759999999994</v>
      </c>
      <c r="G197" s="9">
        <v>649.79599999999982</v>
      </c>
      <c r="H197" s="9">
        <v>4626.0547200000001</v>
      </c>
      <c r="I197" s="9">
        <v>0</v>
      </c>
      <c r="J197" s="9">
        <v>5101.2</v>
      </c>
      <c r="K197" s="9">
        <v>3965.1897599999998</v>
      </c>
      <c r="L197" s="9">
        <v>0</v>
      </c>
      <c r="M197" s="9">
        <v>300.69355680000001</v>
      </c>
      <c r="N197" s="9">
        <v>936.18130233599993</v>
      </c>
      <c r="O197" s="9">
        <v>2728.3149008639998</v>
      </c>
      <c r="P197" s="9">
        <v>0</v>
      </c>
      <c r="Q197" s="9">
        <v>0</v>
      </c>
      <c r="R197" s="9">
        <v>0</v>
      </c>
      <c r="S197" s="9">
        <v>3965.1897599999998</v>
      </c>
      <c r="T197" s="9">
        <v>2728.3149008639998</v>
      </c>
      <c r="U197" s="9">
        <v>0</v>
      </c>
      <c r="V197">
        <v>0</v>
      </c>
    </row>
    <row r="198" spans="1:22" x14ac:dyDescent="0.25">
      <c r="A198" t="s">
        <v>126</v>
      </c>
      <c r="B198" t="s">
        <v>176</v>
      </c>
      <c r="C198" t="s">
        <v>175</v>
      </c>
      <c r="D198" s="4">
        <v>1</v>
      </c>
      <c r="E198" s="4">
        <v>0</v>
      </c>
      <c r="F198" s="9">
        <v>4068.2879999999996</v>
      </c>
      <c r="G198" s="9">
        <v>678.04799999999989</v>
      </c>
      <c r="H198" s="9">
        <v>4626.0547200000001</v>
      </c>
      <c r="I198" s="9">
        <v>0</v>
      </c>
      <c r="J198" s="9">
        <v>5101.2</v>
      </c>
      <c r="K198" s="9">
        <v>3965.1897599999998</v>
      </c>
      <c r="L198" s="9">
        <v>0</v>
      </c>
      <c r="M198" s="9">
        <v>300.69355680000001</v>
      </c>
      <c r="N198" s="9">
        <v>936.18130233599993</v>
      </c>
      <c r="O198" s="9">
        <v>2728.3149008639998</v>
      </c>
      <c r="P198" s="9">
        <v>0</v>
      </c>
      <c r="Q198" s="9">
        <v>0</v>
      </c>
      <c r="R198" s="9">
        <v>0</v>
      </c>
      <c r="S198" s="9">
        <v>3965.1897599999998</v>
      </c>
      <c r="T198" s="9">
        <v>2728.3149008639998</v>
      </c>
      <c r="U198" s="9">
        <v>0</v>
      </c>
      <c r="V198">
        <v>0</v>
      </c>
    </row>
    <row r="199" spans="1:22" x14ac:dyDescent="0.25">
      <c r="A199" t="s">
        <v>126</v>
      </c>
      <c r="B199" t="s">
        <v>177</v>
      </c>
      <c r="C199" t="s">
        <v>175</v>
      </c>
      <c r="D199" s="4">
        <v>1</v>
      </c>
      <c r="E199" s="4">
        <v>0</v>
      </c>
      <c r="F199" s="9">
        <v>4068.2879999999996</v>
      </c>
      <c r="G199" s="9">
        <v>678.04799999999989</v>
      </c>
      <c r="H199" s="9">
        <v>4626.0547200000001</v>
      </c>
      <c r="I199" s="9">
        <v>0</v>
      </c>
      <c r="J199" s="9">
        <v>5101.2</v>
      </c>
      <c r="K199" s="9">
        <v>3965.1897599999998</v>
      </c>
      <c r="L199" s="9">
        <v>0</v>
      </c>
      <c r="M199" s="9">
        <v>300.69355680000001</v>
      </c>
      <c r="N199" s="9">
        <v>936.18130233599993</v>
      </c>
      <c r="O199" s="9">
        <v>2728.3149008639998</v>
      </c>
      <c r="P199" s="9">
        <v>0</v>
      </c>
      <c r="Q199" s="9">
        <v>0</v>
      </c>
      <c r="R199" s="9">
        <v>0</v>
      </c>
      <c r="S199" s="9">
        <v>3965.1897599999998</v>
      </c>
      <c r="T199" s="9">
        <v>2728.3149008639998</v>
      </c>
      <c r="U199" s="9">
        <v>0</v>
      </c>
      <c r="V199">
        <v>0</v>
      </c>
    </row>
    <row r="200" spans="1:22" x14ac:dyDescent="0.25">
      <c r="A200" t="s">
        <v>126</v>
      </c>
      <c r="B200" t="s">
        <v>178</v>
      </c>
      <c r="C200" t="s">
        <v>175</v>
      </c>
      <c r="D200" s="4">
        <v>1</v>
      </c>
      <c r="E200" s="4">
        <v>0</v>
      </c>
      <c r="F200" s="9">
        <v>4068.2879999999996</v>
      </c>
      <c r="G200" s="9">
        <v>678.04799999999989</v>
      </c>
      <c r="H200" s="9">
        <v>4626.0547200000001</v>
      </c>
      <c r="I200" s="9">
        <v>0</v>
      </c>
      <c r="J200" s="9">
        <v>5101.2</v>
      </c>
      <c r="K200" s="9">
        <v>3965.1897599999998</v>
      </c>
      <c r="L200" s="9">
        <v>0</v>
      </c>
      <c r="M200" s="9">
        <v>300.69355680000001</v>
      </c>
      <c r="N200" s="9">
        <v>936.18130233599993</v>
      </c>
      <c r="O200" s="9">
        <v>2728.3149008639998</v>
      </c>
      <c r="P200" s="9">
        <v>0</v>
      </c>
      <c r="Q200" s="9">
        <v>0</v>
      </c>
      <c r="R200" s="9">
        <v>0</v>
      </c>
      <c r="S200" s="9">
        <v>3965.1897599999998</v>
      </c>
      <c r="T200" s="9">
        <v>2728.3149008639998</v>
      </c>
      <c r="U200" s="9">
        <v>0</v>
      </c>
      <c r="V200">
        <v>0</v>
      </c>
    </row>
    <row r="201" spans="1:22" x14ac:dyDescent="0.25">
      <c r="A201" t="s">
        <v>126</v>
      </c>
      <c r="B201" t="s">
        <v>179</v>
      </c>
      <c r="C201" t="s">
        <v>175</v>
      </c>
      <c r="D201" s="4">
        <v>1</v>
      </c>
      <c r="E201" s="4">
        <v>0</v>
      </c>
      <c r="F201" s="9">
        <v>4068.2879999999996</v>
      </c>
      <c r="G201" s="9">
        <v>678.04799999999989</v>
      </c>
      <c r="H201" s="9">
        <v>4626.0547200000001</v>
      </c>
      <c r="I201" s="9">
        <v>0</v>
      </c>
      <c r="J201" s="9">
        <v>5101.2</v>
      </c>
      <c r="K201" s="9">
        <v>3965.1897599999998</v>
      </c>
      <c r="L201" s="9">
        <v>0</v>
      </c>
      <c r="M201" s="9">
        <v>300.69355680000001</v>
      </c>
      <c r="N201" s="9">
        <v>936.18130233599993</v>
      </c>
      <c r="O201" s="9">
        <v>2728.3149008639998</v>
      </c>
      <c r="P201" s="9">
        <v>0</v>
      </c>
      <c r="Q201" s="9">
        <v>0</v>
      </c>
      <c r="R201" s="9">
        <v>0</v>
      </c>
      <c r="S201" s="9">
        <v>3965.1897599999998</v>
      </c>
      <c r="T201" s="9">
        <v>2728.3149008639998</v>
      </c>
      <c r="U201" s="9">
        <v>0</v>
      </c>
      <c r="V201">
        <v>0</v>
      </c>
    </row>
    <row r="202" spans="1:22" x14ac:dyDescent="0.25">
      <c r="A202" t="s">
        <v>126</v>
      </c>
      <c r="B202" t="s">
        <v>180</v>
      </c>
      <c r="C202" t="s">
        <v>175</v>
      </c>
      <c r="D202" s="4">
        <v>1</v>
      </c>
      <c r="E202" s="4">
        <v>0</v>
      </c>
      <c r="F202" s="9">
        <v>4068.2879999999996</v>
      </c>
      <c r="G202" s="9">
        <v>678.04799999999989</v>
      </c>
      <c r="H202" s="9">
        <v>4626.0547200000001</v>
      </c>
      <c r="I202" s="9">
        <v>0</v>
      </c>
      <c r="J202" s="9">
        <v>5101.2</v>
      </c>
      <c r="K202" s="9">
        <v>3965.1897599999998</v>
      </c>
      <c r="L202" s="9">
        <v>0</v>
      </c>
      <c r="M202" s="9">
        <v>300.69355680000001</v>
      </c>
      <c r="N202" s="9">
        <v>936.18130233599993</v>
      </c>
      <c r="O202" s="9">
        <v>2728.3149008639998</v>
      </c>
      <c r="P202" s="9">
        <v>0</v>
      </c>
      <c r="Q202" s="9">
        <v>0</v>
      </c>
      <c r="R202" s="9">
        <v>0</v>
      </c>
      <c r="S202" s="9">
        <v>3965.1897599999998</v>
      </c>
      <c r="T202" s="9">
        <v>2728.3149008639998</v>
      </c>
      <c r="U202" s="9">
        <v>0</v>
      </c>
      <c r="V202">
        <v>0</v>
      </c>
    </row>
    <row r="203" spans="1:22" x14ac:dyDescent="0.25">
      <c r="A203" t="s">
        <v>126</v>
      </c>
      <c r="B203" t="s">
        <v>183</v>
      </c>
      <c r="C203" t="s">
        <v>175</v>
      </c>
      <c r="D203" s="4">
        <v>1</v>
      </c>
      <c r="E203" s="4">
        <v>0</v>
      </c>
      <c r="F203" s="9">
        <v>4068.2879999999996</v>
      </c>
      <c r="G203" s="9">
        <v>678.04799999999989</v>
      </c>
      <c r="H203" s="9">
        <v>4626.0547200000001</v>
      </c>
      <c r="I203" s="9">
        <v>0</v>
      </c>
      <c r="J203" s="9">
        <v>5101.2</v>
      </c>
      <c r="K203" s="9">
        <v>3965.1897599999998</v>
      </c>
      <c r="L203" s="9">
        <v>0</v>
      </c>
      <c r="M203" s="9">
        <v>300.69355680000001</v>
      </c>
      <c r="N203" s="9">
        <v>936.18130233599993</v>
      </c>
      <c r="O203" s="9">
        <v>2728.3149008639998</v>
      </c>
      <c r="P203" s="9">
        <v>0</v>
      </c>
      <c r="Q203" s="9">
        <v>0</v>
      </c>
      <c r="R203" s="9">
        <v>0</v>
      </c>
      <c r="S203" s="9">
        <v>3965.1897599999998</v>
      </c>
      <c r="T203" s="9">
        <v>2728.3149008639998</v>
      </c>
      <c r="U203" s="9">
        <v>0</v>
      </c>
      <c r="V203">
        <v>0</v>
      </c>
    </row>
    <row r="204" spans="1:22" x14ac:dyDescent="0.25">
      <c r="A204" t="s">
        <v>126</v>
      </c>
      <c r="B204" t="s">
        <v>184</v>
      </c>
      <c r="C204" t="s">
        <v>175</v>
      </c>
      <c r="D204" s="4">
        <v>1</v>
      </c>
      <c r="E204" s="4">
        <v>0</v>
      </c>
      <c r="F204" s="9">
        <v>4068.2879999999996</v>
      </c>
      <c r="G204" s="9">
        <v>678.04799999999989</v>
      </c>
      <c r="H204" s="9">
        <v>4626.0547200000001</v>
      </c>
      <c r="I204" s="9">
        <v>0</v>
      </c>
      <c r="J204" s="9">
        <v>5101.2</v>
      </c>
      <c r="K204" s="9">
        <v>3965.1897599999998</v>
      </c>
      <c r="L204" s="9">
        <v>0</v>
      </c>
      <c r="M204" s="9">
        <v>300.69355680000001</v>
      </c>
      <c r="N204" s="9">
        <v>936.18130233599993</v>
      </c>
      <c r="O204" s="9">
        <v>2728.3149008639998</v>
      </c>
      <c r="P204" s="9">
        <v>0</v>
      </c>
      <c r="Q204" s="9">
        <v>0</v>
      </c>
      <c r="R204" s="9">
        <v>0</v>
      </c>
      <c r="S204" s="9">
        <v>3965.1897599999998</v>
      </c>
      <c r="T204" s="9">
        <v>2728.3149008639998</v>
      </c>
      <c r="U204" s="9">
        <v>0</v>
      </c>
      <c r="V204">
        <v>0</v>
      </c>
    </row>
    <row r="205" spans="1:22" x14ac:dyDescent="0.25">
      <c r="A205" t="s">
        <v>126</v>
      </c>
      <c r="B205" t="s">
        <v>185</v>
      </c>
      <c r="C205" t="s">
        <v>175</v>
      </c>
      <c r="D205" s="4">
        <v>1</v>
      </c>
      <c r="E205" s="4">
        <v>0</v>
      </c>
      <c r="F205" s="9">
        <v>4068.2879999999996</v>
      </c>
      <c r="G205" s="9">
        <v>678.04799999999989</v>
      </c>
      <c r="H205" s="9">
        <v>4626.0547200000001</v>
      </c>
      <c r="I205" s="9">
        <v>0</v>
      </c>
      <c r="J205" s="9">
        <v>5101.2</v>
      </c>
      <c r="K205" s="9">
        <v>3965.1897599999998</v>
      </c>
      <c r="L205" s="9">
        <v>0</v>
      </c>
      <c r="M205" s="9">
        <v>300.69355680000001</v>
      </c>
      <c r="N205" s="9">
        <v>936.18130233599993</v>
      </c>
      <c r="O205" s="9">
        <v>2728.3149008639998</v>
      </c>
      <c r="P205" s="9">
        <v>0</v>
      </c>
      <c r="Q205" s="9">
        <v>0</v>
      </c>
      <c r="R205" s="9">
        <v>0</v>
      </c>
      <c r="S205" s="9">
        <v>3965.1897599999998</v>
      </c>
      <c r="T205" s="9">
        <v>2728.3149008639998</v>
      </c>
      <c r="U205" s="9">
        <v>0</v>
      </c>
      <c r="V205">
        <v>0</v>
      </c>
    </row>
    <row r="206" spans="1:22" x14ac:dyDescent="0.25">
      <c r="A206" t="s">
        <v>126</v>
      </c>
      <c r="B206" t="s">
        <v>186</v>
      </c>
      <c r="C206" t="s">
        <v>175</v>
      </c>
      <c r="D206" s="4">
        <v>1</v>
      </c>
      <c r="E206" s="4">
        <v>0</v>
      </c>
      <c r="F206" s="9">
        <v>4068.2879999999996</v>
      </c>
      <c r="G206" s="9">
        <v>678.04799999999989</v>
      </c>
      <c r="H206" s="9">
        <v>4626.0547200000001</v>
      </c>
      <c r="I206" s="9">
        <v>0</v>
      </c>
      <c r="J206" s="9">
        <v>5101.2</v>
      </c>
      <c r="K206" s="9">
        <v>3965.1897599999998</v>
      </c>
      <c r="L206" s="9">
        <v>0</v>
      </c>
      <c r="M206" s="9">
        <v>300.69355680000001</v>
      </c>
      <c r="N206" s="9">
        <v>936.18130233599993</v>
      </c>
      <c r="O206" s="9">
        <v>2728.3149008639998</v>
      </c>
      <c r="P206" s="9">
        <v>0</v>
      </c>
      <c r="Q206" s="9">
        <v>0</v>
      </c>
      <c r="R206" s="9">
        <v>0</v>
      </c>
      <c r="S206" s="9">
        <v>3965.1897599999998</v>
      </c>
      <c r="T206" s="9">
        <v>2728.3149008639998</v>
      </c>
      <c r="U206" s="9">
        <v>0</v>
      </c>
      <c r="V206">
        <v>0</v>
      </c>
    </row>
    <row r="207" spans="1:22" x14ac:dyDescent="0.25">
      <c r="A207" t="s">
        <v>126</v>
      </c>
      <c r="B207" t="s">
        <v>187</v>
      </c>
      <c r="C207" t="s">
        <v>175</v>
      </c>
      <c r="D207" s="4">
        <v>1</v>
      </c>
      <c r="E207" s="4">
        <v>0</v>
      </c>
      <c r="F207" s="9">
        <v>4068.2879999999996</v>
      </c>
      <c r="G207" s="9">
        <v>678.04799999999989</v>
      </c>
      <c r="H207" s="9">
        <v>4626.0547200000001</v>
      </c>
      <c r="I207" s="9">
        <v>0</v>
      </c>
      <c r="J207" s="9">
        <v>5101.2</v>
      </c>
      <c r="K207" s="9">
        <v>3965.1897599999998</v>
      </c>
      <c r="L207" s="9">
        <v>0</v>
      </c>
      <c r="M207" s="9">
        <v>300.69355680000001</v>
      </c>
      <c r="N207" s="9">
        <v>936.18130233599993</v>
      </c>
      <c r="O207" s="9">
        <v>2728.3149008639998</v>
      </c>
      <c r="P207" s="9">
        <v>0</v>
      </c>
      <c r="Q207" s="9">
        <v>0</v>
      </c>
      <c r="R207" s="9">
        <v>0</v>
      </c>
      <c r="S207" s="9">
        <v>3965.1897599999998</v>
      </c>
      <c r="T207" s="9">
        <v>2728.3149008639998</v>
      </c>
      <c r="U207" s="9">
        <v>0</v>
      </c>
      <c r="V207">
        <v>0</v>
      </c>
    </row>
    <row r="208" spans="1:22" x14ac:dyDescent="0.25">
      <c r="A208" t="s">
        <v>126</v>
      </c>
      <c r="B208" t="s">
        <v>189</v>
      </c>
      <c r="C208" t="s">
        <v>175</v>
      </c>
      <c r="D208" s="4">
        <v>1</v>
      </c>
      <c r="E208" s="4">
        <v>0</v>
      </c>
      <c r="F208" s="9">
        <v>4068.2879999999996</v>
      </c>
      <c r="G208" s="9">
        <v>678.04799999999989</v>
      </c>
      <c r="H208" s="9">
        <v>4626.0547200000001</v>
      </c>
      <c r="I208" s="9">
        <v>0</v>
      </c>
      <c r="J208" s="9">
        <v>5101.2</v>
      </c>
      <c r="K208" s="9">
        <v>3965.1897599999998</v>
      </c>
      <c r="L208" s="9">
        <v>0</v>
      </c>
      <c r="M208" s="9">
        <v>300.69355680000001</v>
      </c>
      <c r="N208" s="9">
        <v>936.18130233599993</v>
      </c>
      <c r="O208" s="9">
        <v>2728.3149008639998</v>
      </c>
      <c r="P208" s="9">
        <v>0</v>
      </c>
      <c r="Q208" s="9">
        <v>0</v>
      </c>
      <c r="R208" s="9">
        <v>0</v>
      </c>
      <c r="S208" s="9">
        <v>3965.1897599999998</v>
      </c>
      <c r="T208" s="9">
        <v>2728.3149008639998</v>
      </c>
      <c r="U208" s="9">
        <v>0</v>
      </c>
      <c r="V208">
        <v>0</v>
      </c>
    </row>
    <row r="209" spans="1:22" x14ac:dyDescent="0.25">
      <c r="A209" t="s">
        <v>128</v>
      </c>
      <c r="B209" t="s">
        <v>173</v>
      </c>
      <c r="C209" t="s">
        <v>175</v>
      </c>
      <c r="D209" s="4">
        <v>1</v>
      </c>
      <c r="E209" s="4">
        <v>0</v>
      </c>
      <c r="F209" s="9">
        <v>2176.38</v>
      </c>
      <c r="G209" s="9">
        <v>362.73</v>
      </c>
      <c r="H209" s="9">
        <v>2572.5514499999999</v>
      </c>
      <c r="I209" s="9">
        <v>0</v>
      </c>
      <c r="J209" s="9">
        <v>5101.2</v>
      </c>
      <c r="K209" s="9">
        <v>2205.0441000000001</v>
      </c>
      <c r="L209" s="9">
        <v>0</v>
      </c>
      <c r="M209" s="9">
        <v>167.21584424999998</v>
      </c>
      <c r="N209" s="9">
        <v>373.53447054000003</v>
      </c>
      <c r="O209" s="9">
        <v>1664.2937852100001</v>
      </c>
      <c r="P209" s="9">
        <v>0</v>
      </c>
      <c r="Q209" s="9">
        <v>0</v>
      </c>
      <c r="R209" s="9">
        <v>0</v>
      </c>
      <c r="S209" s="9">
        <v>2205.0441000000001</v>
      </c>
      <c r="T209" s="9">
        <v>1664.2937852100001</v>
      </c>
      <c r="U209" s="9">
        <v>0</v>
      </c>
      <c r="V209">
        <v>0</v>
      </c>
    </row>
    <row r="210" spans="1:22" x14ac:dyDescent="0.25">
      <c r="A210" t="s">
        <v>128</v>
      </c>
      <c r="B210" t="s">
        <v>176</v>
      </c>
      <c r="C210" t="s">
        <v>175</v>
      </c>
      <c r="D210" s="4">
        <v>1</v>
      </c>
      <c r="E210" s="4">
        <v>0</v>
      </c>
      <c r="F210" s="9">
        <v>2176.38</v>
      </c>
      <c r="G210" s="9">
        <v>362.73</v>
      </c>
      <c r="H210" s="9">
        <v>2572.5514499999999</v>
      </c>
      <c r="I210" s="9">
        <v>0</v>
      </c>
      <c r="J210" s="9">
        <v>5101.2</v>
      </c>
      <c r="K210" s="9">
        <v>2205.0441000000001</v>
      </c>
      <c r="L210" s="9">
        <v>0</v>
      </c>
      <c r="M210" s="9">
        <v>167.21584424999998</v>
      </c>
      <c r="N210" s="9">
        <v>373.53447054000003</v>
      </c>
      <c r="O210" s="9">
        <v>1664.2937852100001</v>
      </c>
      <c r="P210" s="9">
        <v>0</v>
      </c>
      <c r="Q210" s="9">
        <v>0</v>
      </c>
      <c r="R210" s="9">
        <v>0</v>
      </c>
      <c r="S210" s="9">
        <v>2205.0441000000001</v>
      </c>
      <c r="T210" s="9">
        <v>1664.2937852100001</v>
      </c>
      <c r="U210" s="9">
        <v>0</v>
      </c>
      <c r="V210">
        <v>0</v>
      </c>
    </row>
    <row r="211" spans="1:22" x14ac:dyDescent="0.25">
      <c r="A211" t="s">
        <v>128</v>
      </c>
      <c r="B211" t="s">
        <v>177</v>
      </c>
      <c r="C211" t="s">
        <v>175</v>
      </c>
      <c r="D211" s="4">
        <v>1</v>
      </c>
      <c r="E211" s="4">
        <v>0</v>
      </c>
      <c r="F211" s="9">
        <v>2176.38</v>
      </c>
      <c r="G211" s="9">
        <v>362.73</v>
      </c>
      <c r="H211" s="9">
        <v>2572.5514499999999</v>
      </c>
      <c r="I211" s="9">
        <v>0</v>
      </c>
      <c r="J211" s="9">
        <v>5101.2</v>
      </c>
      <c r="K211" s="9">
        <v>2205.0441000000001</v>
      </c>
      <c r="L211" s="9">
        <v>0</v>
      </c>
      <c r="M211" s="9">
        <v>167.21584424999998</v>
      </c>
      <c r="N211" s="9">
        <v>373.53447054000003</v>
      </c>
      <c r="O211" s="9">
        <v>1664.2937852100001</v>
      </c>
      <c r="P211" s="9">
        <v>0</v>
      </c>
      <c r="Q211" s="9">
        <v>0</v>
      </c>
      <c r="R211" s="9">
        <v>0</v>
      </c>
      <c r="S211" s="9">
        <v>2205.0441000000001</v>
      </c>
      <c r="T211" s="9">
        <v>1664.2937852100001</v>
      </c>
      <c r="U211" s="9">
        <v>0</v>
      </c>
      <c r="V211">
        <v>0</v>
      </c>
    </row>
    <row r="212" spans="1:22" x14ac:dyDescent="0.25">
      <c r="A212" t="s">
        <v>128</v>
      </c>
      <c r="B212" t="s">
        <v>178</v>
      </c>
      <c r="C212" t="s">
        <v>175</v>
      </c>
      <c r="D212" s="4">
        <v>1</v>
      </c>
      <c r="E212" s="4">
        <v>0</v>
      </c>
      <c r="F212" s="9">
        <v>2176.38</v>
      </c>
      <c r="G212" s="9">
        <v>362.73</v>
      </c>
      <c r="H212" s="9">
        <v>2572.5514499999999</v>
      </c>
      <c r="I212" s="9">
        <v>0</v>
      </c>
      <c r="J212" s="9">
        <v>5101.2</v>
      </c>
      <c r="K212" s="9">
        <v>2205.0441000000001</v>
      </c>
      <c r="L212" s="9">
        <v>0</v>
      </c>
      <c r="M212" s="9">
        <v>167.21584424999998</v>
      </c>
      <c r="N212" s="9">
        <v>373.53447054000003</v>
      </c>
      <c r="O212" s="9">
        <v>1664.2937852100001</v>
      </c>
      <c r="P212" s="9">
        <v>0</v>
      </c>
      <c r="Q212" s="9">
        <v>0</v>
      </c>
      <c r="R212" s="9">
        <v>0</v>
      </c>
      <c r="S212" s="9">
        <v>2205.0441000000001</v>
      </c>
      <c r="T212" s="9">
        <v>1664.2937852100001</v>
      </c>
      <c r="U212" s="9">
        <v>0</v>
      </c>
      <c r="V212">
        <v>0</v>
      </c>
    </row>
    <row r="213" spans="1:22" x14ac:dyDescent="0.25">
      <c r="A213" t="s">
        <v>128</v>
      </c>
      <c r="B213" t="s">
        <v>179</v>
      </c>
      <c r="C213" t="s">
        <v>175</v>
      </c>
      <c r="D213" s="4">
        <v>1</v>
      </c>
      <c r="E213" s="4">
        <v>0</v>
      </c>
      <c r="F213" s="9">
        <v>2176.38</v>
      </c>
      <c r="G213" s="9">
        <v>362.73</v>
      </c>
      <c r="H213" s="9">
        <v>2572.5514499999999</v>
      </c>
      <c r="I213" s="9">
        <v>0</v>
      </c>
      <c r="J213" s="9">
        <v>5101.2</v>
      </c>
      <c r="K213" s="9">
        <v>2205.0441000000001</v>
      </c>
      <c r="L213" s="9">
        <v>0</v>
      </c>
      <c r="M213" s="9">
        <v>167.21584424999998</v>
      </c>
      <c r="N213" s="9">
        <v>373.53447054000003</v>
      </c>
      <c r="O213" s="9">
        <v>1664.2937852100001</v>
      </c>
      <c r="P213" s="9">
        <v>0</v>
      </c>
      <c r="Q213" s="9">
        <v>0</v>
      </c>
      <c r="R213" s="9">
        <v>0</v>
      </c>
      <c r="S213" s="9">
        <v>2205.0441000000001</v>
      </c>
      <c r="T213" s="9">
        <v>1664.2937852100001</v>
      </c>
      <c r="U213" s="9">
        <v>0</v>
      </c>
      <c r="V213">
        <v>0</v>
      </c>
    </row>
    <row r="214" spans="1:22" x14ac:dyDescent="0.25">
      <c r="A214" t="s">
        <v>128</v>
      </c>
      <c r="B214" t="s">
        <v>180</v>
      </c>
      <c r="C214" t="s">
        <v>175</v>
      </c>
      <c r="D214" s="4">
        <v>1</v>
      </c>
      <c r="E214" s="4">
        <v>0</v>
      </c>
      <c r="F214" s="9">
        <v>2176.38</v>
      </c>
      <c r="G214" s="9">
        <v>362.73</v>
      </c>
      <c r="H214" s="9">
        <v>2572.5514499999999</v>
      </c>
      <c r="I214" s="9">
        <v>0</v>
      </c>
      <c r="J214" s="9">
        <v>5101.2</v>
      </c>
      <c r="K214" s="9">
        <v>2205.0441000000001</v>
      </c>
      <c r="L214" s="9">
        <v>0</v>
      </c>
      <c r="M214" s="9">
        <v>167.21584424999998</v>
      </c>
      <c r="N214" s="9">
        <v>373.53447054000003</v>
      </c>
      <c r="O214" s="9">
        <v>1664.2937852100001</v>
      </c>
      <c r="P214" s="9">
        <v>0</v>
      </c>
      <c r="Q214" s="9">
        <v>0</v>
      </c>
      <c r="R214" s="9">
        <v>0</v>
      </c>
      <c r="S214" s="9">
        <v>2205.0441000000001</v>
      </c>
      <c r="T214" s="9">
        <v>1664.2937852100001</v>
      </c>
      <c r="U214" s="9">
        <v>0</v>
      </c>
      <c r="V214">
        <v>0</v>
      </c>
    </row>
    <row r="215" spans="1:22" x14ac:dyDescent="0.25">
      <c r="A215" t="s">
        <v>128</v>
      </c>
      <c r="B215" t="s">
        <v>183</v>
      </c>
      <c r="C215" t="s">
        <v>175</v>
      </c>
      <c r="D215" s="4">
        <v>1</v>
      </c>
      <c r="E215" s="4">
        <v>0</v>
      </c>
      <c r="F215" s="9">
        <v>2176.38</v>
      </c>
      <c r="G215" s="9">
        <v>362.73</v>
      </c>
      <c r="H215" s="9">
        <v>2572.5514499999999</v>
      </c>
      <c r="I215" s="9">
        <v>0</v>
      </c>
      <c r="J215" s="9">
        <v>5101.2</v>
      </c>
      <c r="K215" s="9">
        <v>2205.0441000000001</v>
      </c>
      <c r="L215" s="9">
        <v>0</v>
      </c>
      <c r="M215" s="9">
        <v>167.21584424999998</v>
      </c>
      <c r="N215" s="9">
        <v>373.53447054000003</v>
      </c>
      <c r="O215" s="9">
        <v>1664.2937852100001</v>
      </c>
      <c r="P215" s="9">
        <v>0</v>
      </c>
      <c r="Q215" s="9">
        <v>0</v>
      </c>
      <c r="R215" s="9">
        <v>0</v>
      </c>
      <c r="S215" s="9">
        <v>2205.0441000000001</v>
      </c>
      <c r="T215" s="9">
        <v>1664.2937852100001</v>
      </c>
      <c r="U215" s="9">
        <v>0</v>
      </c>
      <c r="V215">
        <v>0</v>
      </c>
    </row>
    <row r="216" spans="1:22" x14ac:dyDescent="0.25">
      <c r="A216" t="s">
        <v>128</v>
      </c>
      <c r="B216" t="s">
        <v>184</v>
      </c>
      <c r="C216" t="s">
        <v>175</v>
      </c>
      <c r="D216" s="4">
        <v>1</v>
      </c>
      <c r="E216" s="4">
        <v>0</v>
      </c>
      <c r="F216" s="9">
        <v>2285.1990000000001</v>
      </c>
      <c r="G216" s="9">
        <v>380.86649999999997</v>
      </c>
      <c r="H216" s="9">
        <v>2572.5514499999999</v>
      </c>
      <c r="I216" s="9">
        <v>0</v>
      </c>
      <c r="J216" s="9">
        <v>5101.2</v>
      </c>
      <c r="K216" s="9">
        <v>2205.0441000000001</v>
      </c>
      <c r="L216" s="9">
        <v>0</v>
      </c>
      <c r="M216" s="9">
        <v>167.21584424999998</v>
      </c>
      <c r="N216" s="9">
        <v>373.53447054000003</v>
      </c>
      <c r="O216" s="9">
        <v>1664.2937852100001</v>
      </c>
      <c r="P216" s="9">
        <v>0</v>
      </c>
      <c r="Q216" s="9">
        <v>0</v>
      </c>
      <c r="R216" s="9">
        <v>0</v>
      </c>
      <c r="S216" s="9">
        <v>2205.0441000000001</v>
      </c>
      <c r="T216" s="9">
        <v>1664.2937852100001</v>
      </c>
      <c r="U216" s="9">
        <v>0</v>
      </c>
      <c r="V216">
        <v>0</v>
      </c>
    </row>
    <row r="217" spans="1:22" x14ac:dyDescent="0.25">
      <c r="A217" t="s">
        <v>128</v>
      </c>
      <c r="B217" t="s">
        <v>185</v>
      </c>
      <c r="C217" t="s">
        <v>175</v>
      </c>
      <c r="D217" s="4">
        <v>1</v>
      </c>
      <c r="E217" s="4">
        <v>0</v>
      </c>
      <c r="F217" s="9">
        <v>2285.1990000000001</v>
      </c>
      <c r="G217" s="9">
        <v>380.86649999999997</v>
      </c>
      <c r="H217" s="9">
        <v>2572.5514499999999</v>
      </c>
      <c r="I217" s="9">
        <v>0</v>
      </c>
      <c r="J217" s="9">
        <v>5101.2</v>
      </c>
      <c r="K217" s="9">
        <v>2205.0441000000001</v>
      </c>
      <c r="L217" s="9">
        <v>0</v>
      </c>
      <c r="M217" s="9">
        <v>167.21584424999998</v>
      </c>
      <c r="N217" s="9">
        <v>373.53447054000003</v>
      </c>
      <c r="O217" s="9">
        <v>1664.2937852100001</v>
      </c>
      <c r="P217" s="9">
        <v>0</v>
      </c>
      <c r="Q217" s="9">
        <v>0</v>
      </c>
      <c r="R217" s="9">
        <v>0</v>
      </c>
      <c r="S217" s="9">
        <v>2205.0441000000001</v>
      </c>
      <c r="T217" s="9">
        <v>1664.2937852100001</v>
      </c>
      <c r="U217" s="9">
        <v>0</v>
      </c>
      <c r="V217">
        <v>0</v>
      </c>
    </row>
    <row r="218" spans="1:22" x14ac:dyDescent="0.25">
      <c r="A218" t="s">
        <v>128</v>
      </c>
      <c r="B218" t="s">
        <v>186</v>
      </c>
      <c r="C218" t="s">
        <v>175</v>
      </c>
      <c r="D218" s="4">
        <v>1</v>
      </c>
      <c r="E218" s="4">
        <v>0</v>
      </c>
      <c r="F218" s="9">
        <v>2285.1990000000001</v>
      </c>
      <c r="G218" s="9">
        <v>380.86649999999997</v>
      </c>
      <c r="H218" s="9">
        <v>2701.1790225000004</v>
      </c>
      <c r="I218" s="9">
        <v>0</v>
      </c>
      <c r="J218" s="9">
        <v>5101.2</v>
      </c>
      <c r="K218" s="9">
        <v>2315.2963049999998</v>
      </c>
      <c r="L218" s="9">
        <v>0</v>
      </c>
      <c r="M218" s="9">
        <v>175.57663646249998</v>
      </c>
      <c r="N218" s="9">
        <v>392.21119406699995</v>
      </c>
      <c r="O218" s="9">
        <v>1747.5084744704998</v>
      </c>
      <c r="P218" s="9">
        <v>0</v>
      </c>
      <c r="Q218" s="9">
        <v>0</v>
      </c>
      <c r="R218" s="9">
        <v>0</v>
      </c>
      <c r="S218" s="9">
        <v>2315.2963049999998</v>
      </c>
      <c r="T218" s="9">
        <v>1747.5084744704998</v>
      </c>
      <c r="U218" s="9">
        <v>0</v>
      </c>
      <c r="V218">
        <v>0</v>
      </c>
    </row>
    <row r="219" spans="1:22" x14ac:dyDescent="0.25">
      <c r="A219" t="s">
        <v>128</v>
      </c>
      <c r="B219" t="s">
        <v>187</v>
      </c>
      <c r="C219" t="s">
        <v>175</v>
      </c>
      <c r="D219" s="4">
        <v>1</v>
      </c>
      <c r="E219" s="4">
        <v>0</v>
      </c>
      <c r="F219" s="9">
        <v>2285.1990000000001</v>
      </c>
      <c r="G219" s="9">
        <v>380.86649999999997</v>
      </c>
      <c r="H219" s="9">
        <v>2701.1790225000004</v>
      </c>
      <c r="I219" s="9">
        <v>0</v>
      </c>
      <c r="J219" s="9">
        <v>5101.2</v>
      </c>
      <c r="K219" s="9">
        <v>2315.2963049999998</v>
      </c>
      <c r="L219" s="9">
        <v>0</v>
      </c>
      <c r="M219" s="9">
        <v>175.57663646249998</v>
      </c>
      <c r="N219" s="9">
        <v>392.21119406699995</v>
      </c>
      <c r="O219" s="9">
        <v>1747.5084744704998</v>
      </c>
      <c r="P219" s="9">
        <v>0</v>
      </c>
      <c r="Q219" s="9">
        <v>0</v>
      </c>
      <c r="R219" s="9">
        <v>0</v>
      </c>
      <c r="S219" s="9">
        <v>2315.2963049999998</v>
      </c>
      <c r="T219" s="9">
        <v>1747.5084744704998</v>
      </c>
      <c r="U219" s="9">
        <v>0</v>
      </c>
      <c r="V219">
        <v>0</v>
      </c>
    </row>
    <row r="220" spans="1:22" x14ac:dyDescent="0.25">
      <c r="A220" t="s">
        <v>128</v>
      </c>
      <c r="B220" t="s">
        <v>189</v>
      </c>
      <c r="C220" t="s">
        <v>175</v>
      </c>
      <c r="D220" s="4">
        <v>1</v>
      </c>
      <c r="E220" s="4">
        <v>0</v>
      </c>
      <c r="F220" s="9">
        <v>2285.1990000000001</v>
      </c>
      <c r="G220" s="9">
        <v>380.86649999999997</v>
      </c>
      <c r="H220" s="9">
        <v>2701.1790225000004</v>
      </c>
      <c r="I220" s="9">
        <v>0</v>
      </c>
      <c r="J220" s="9">
        <v>5101.2</v>
      </c>
      <c r="K220" s="9">
        <v>2315.2963049999998</v>
      </c>
      <c r="L220" s="9">
        <v>0</v>
      </c>
      <c r="M220" s="9">
        <v>175.57663646249998</v>
      </c>
      <c r="N220" s="9">
        <v>392.21119406699995</v>
      </c>
      <c r="O220" s="9">
        <v>1747.5084744704998</v>
      </c>
      <c r="P220" s="9">
        <v>0</v>
      </c>
      <c r="Q220" s="9">
        <v>0</v>
      </c>
      <c r="R220" s="9">
        <v>0</v>
      </c>
      <c r="S220" s="9">
        <v>2315.2963049999998</v>
      </c>
      <c r="T220" s="9">
        <v>1747.5084744704998</v>
      </c>
      <c r="U220" s="9">
        <v>0</v>
      </c>
      <c r="V220">
        <v>0</v>
      </c>
    </row>
    <row r="221" spans="1:22" x14ac:dyDescent="0.25">
      <c r="A221" t="s">
        <v>130</v>
      </c>
      <c r="B221" t="s">
        <v>173</v>
      </c>
      <c r="C221" t="s">
        <v>175</v>
      </c>
      <c r="D221" s="4">
        <v>1</v>
      </c>
      <c r="E221" s="4">
        <v>0</v>
      </c>
      <c r="F221" s="9">
        <v>2119.85</v>
      </c>
      <c r="G221" s="9">
        <v>353.30833333333328</v>
      </c>
      <c r="H221" s="9">
        <v>2401.12005</v>
      </c>
      <c r="I221" s="9">
        <v>0</v>
      </c>
      <c r="J221" s="9">
        <v>5101.2</v>
      </c>
      <c r="K221" s="9">
        <v>2058.1028999999999</v>
      </c>
      <c r="L221" s="9">
        <v>0</v>
      </c>
      <c r="M221" s="9">
        <v>156.07280324999999</v>
      </c>
      <c r="N221" s="9">
        <v>331.35456690000001</v>
      </c>
      <c r="O221" s="9">
        <v>1570.6755298499997</v>
      </c>
      <c r="P221" s="9">
        <v>0</v>
      </c>
      <c r="Q221" s="9">
        <v>0</v>
      </c>
      <c r="R221" s="9">
        <v>0</v>
      </c>
      <c r="S221" s="9">
        <v>2058.1028999999999</v>
      </c>
      <c r="T221" s="9">
        <v>1570.6755298499997</v>
      </c>
      <c r="U221" s="9">
        <v>0</v>
      </c>
      <c r="V221">
        <v>0</v>
      </c>
    </row>
    <row r="222" spans="1:22" x14ac:dyDescent="0.25">
      <c r="A222" t="s">
        <v>130</v>
      </c>
      <c r="B222" t="s">
        <v>176</v>
      </c>
      <c r="C222" t="s">
        <v>175</v>
      </c>
      <c r="D222" s="4">
        <v>1</v>
      </c>
      <c r="E222" s="4">
        <v>0</v>
      </c>
      <c r="F222" s="9">
        <v>2119.85</v>
      </c>
      <c r="G222" s="9">
        <v>353.30833333333328</v>
      </c>
      <c r="H222" s="9">
        <v>2401.12005</v>
      </c>
      <c r="I222" s="9">
        <v>0</v>
      </c>
      <c r="J222" s="9">
        <v>5101.2</v>
      </c>
      <c r="K222" s="9">
        <v>2058.1028999999999</v>
      </c>
      <c r="L222" s="9">
        <v>0</v>
      </c>
      <c r="M222" s="9">
        <v>156.07280324999999</v>
      </c>
      <c r="N222" s="9">
        <v>331.35456690000001</v>
      </c>
      <c r="O222" s="9">
        <v>1570.6755298499997</v>
      </c>
      <c r="P222" s="9">
        <v>0</v>
      </c>
      <c r="Q222" s="9">
        <v>0</v>
      </c>
      <c r="R222" s="9">
        <v>0</v>
      </c>
      <c r="S222" s="9">
        <v>2058.1028999999999</v>
      </c>
      <c r="T222" s="9">
        <v>1570.6755298499997</v>
      </c>
      <c r="U222" s="9">
        <v>0</v>
      </c>
      <c r="V222">
        <v>0</v>
      </c>
    </row>
    <row r="223" spans="1:22" x14ac:dyDescent="0.25">
      <c r="A223" t="s">
        <v>130</v>
      </c>
      <c r="B223" t="s">
        <v>177</v>
      </c>
      <c r="C223" t="s">
        <v>175</v>
      </c>
      <c r="D223" s="4">
        <v>1</v>
      </c>
      <c r="E223" s="4">
        <v>0</v>
      </c>
      <c r="F223" s="9">
        <v>2119.85</v>
      </c>
      <c r="G223" s="9">
        <v>353.30833333333328</v>
      </c>
      <c r="H223" s="9">
        <v>2401.12005</v>
      </c>
      <c r="I223" s="9">
        <v>0</v>
      </c>
      <c r="J223" s="9">
        <v>5101.2</v>
      </c>
      <c r="K223" s="9">
        <v>2058.1028999999999</v>
      </c>
      <c r="L223" s="9">
        <v>0</v>
      </c>
      <c r="M223" s="9">
        <v>156.07280324999999</v>
      </c>
      <c r="N223" s="9">
        <v>331.35456690000001</v>
      </c>
      <c r="O223" s="9">
        <v>1570.6755298499997</v>
      </c>
      <c r="P223" s="9">
        <v>0</v>
      </c>
      <c r="Q223" s="9">
        <v>0</v>
      </c>
      <c r="R223" s="9">
        <v>0</v>
      </c>
      <c r="S223" s="9">
        <v>2058.1028999999999</v>
      </c>
      <c r="T223" s="9">
        <v>1570.6755298499997</v>
      </c>
      <c r="U223" s="9">
        <v>0</v>
      </c>
      <c r="V223">
        <v>0</v>
      </c>
    </row>
    <row r="224" spans="1:22" x14ac:dyDescent="0.25">
      <c r="A224" t="s">
        <v>130</v>
      </c>
      <c r="B224" t="s">
        <v>178</v>
      </c>
      <c r="C224" t="s">
        <v>175</v>
      </c>
      <c r="D224" s="4">
        <v>1</v>
      </c>
      <c r="E224" s="4">
        <v>0</v>
      </c>
      <c r="F224" s="9">
        <v>2119.85</v>
      </c>
      <c r="G224" s="9">
        <v>353.30833333333328</v>
      </c>
      <c r="H224" s="9">
        <v>2401.12005</v>
      </c>
      <c r="I224" s="9">
        <v>0</v>
      </c>
      <c r="J224" s="9">
        <v>5101.2</v>
      </c>
      <c r="K224" s="9">
        <v>2058.1028999999999</v>
      </c>
      <c r="L224" s="9">
        <v>0</v>
      </c>
      <c r="M224" s="9">
        <v>156.07280324999999</v>
      </c>
      <c r="N224" s="9">
        <v>331.35456690000001</v>
      </c>
      <c r="O224" s="9">
        <v>1570.6755298499997</v>
      </c>
      <c r="P224" s="9">
        <v>0</v>
      </c>
      <c r="Q224" s="9">
        <v>0</v>
      </c>
      <c r="R224" s="9">
        <v>0</v>
      </c>
      <c r="S224" s="9">
        <v>2058.1028999999999</v>
      </c>
      <c r="T224" s="9">
        <v>1570.6755298499997</v>
      </c>
      <c r="U224" s="9">
        <v>0</v>
      </c>
      <c r="V224">
        <v>0</v>
      </c>
    </row>
    <row r="225" spans="1:22" x14ac:dyDescent="0.25">
      <c r="A225" t="s">
        <v>130</v>
      </c>
      <c r="B225" t="s">
        <v>179</v>
      </c>
      <c r="C225" t="s">
        <v>175</v>
      </c>
      <c r="D225" s="4">
        <v>1</v>
      </c>
      <c r="E225" s="4">
        <v>0</v>
      </c>
      <c r="F225" s="9">
        <v>2119.85</v>
      </c>
      <c r="G225" s="9">
        <v>353.30833333333328</v>
      </c>
      <c r="H225" s="9">
        <v>2473.1583333333333</v>
      </c>
      <c r="I225" s="9">
        <v>0</v>
      </c>
      <c r="J225" s="9">
        <v>5101.2</v>
      </c>
      <c r="K225" s="9">
        <v>2119.85</v>
      </c>
      <c r="L225" s="9">
        <v>0</v>
      </c>
      <c r="M225" s="9">
        <v>160.75529166666666</v>
      </c>
      <c r="N225" s="9">
        <v>331.35456690000001</v>
      </c>
      <c r="O225" s="9">
        <v>1627.7401414333333</v>
      </c>
      <c r="P225" s="9">
        <v>0</v>
      </c>
      <c r="Q225" s="9">
        <v>0</v>
      </c>
      <c r="R225" s="9">
        <v>0</v>
      </c>
      <c r="S225" s="9">
        <v>2119.85</v>
      </c>
      <c r="T225" s="9">
        <v>1627.7401414333333</v>
      </c>
      <c r="U225" s="9">
        <v>0</v>
      </c>
      <c r="V225">
        <v>0</v>
      </c>
    </row>
    <row r="226" spans="1:22" x14ac:dyDescent="0.25">
      <c r="A226" t="s">
        <v>130</v>
      </c>
      <c r="B226" t="s">
        <v>180</v>
      </c>
      <c r="C226" t="s">
        <v>175</v>
      </c>
      <c r="D226" s="4">
        <v>1</v>
      </c>
      <c r="E226" s="4">
        <v>0</v>
      </c>
      <c r="F226" s="9">
        <v>2119.85</v>
      </c>
      <c r="G226" s="9">
        <v>353.30833333333328</v>
      </c>
      <c r="H226" s="9">
        <v>2401.12005</v>
      </c>
      <c r="I226" s="9">
        <v>0</v>
      </c>
      <c r="J226" s="9">
        <v>5101.2</v>
      </c>
      <c r="K226" s="9">
        <v>2058.1028999999999</v>
      </c>
      <c r="L226" s="9">
        <v>0</v>
      </c>
      <c r="M226" s="9">
        <v>156.07280324999999</v>
      </c>
      <c r="N226" s="9">
        <v>331.35456690000001</v>
      </c>
      <c r="O226" s="9">
        <v>1570.6755298499997</v>
      </c>
      <c r="P226" s="9">
        <v>0</v>
      </c>
      <c r="Q226" s="9">
        <v>0</v>
      </c>
      <c r="R226" s="9">
        <v>0</v>
      </c>
      <c r="S226" s="9">
        <v>2058.1028999999999</v>
      </c>
      <c r="T226" s="9">
        <v>1570.6755298499997</v>
      </c>
      <c r="U226" s="9">
        <v>0</v>
      </c>
      <c r="V226">
        <v>0</v>
      </c>
    </row>
    <row r="227" spans="1:22" x14ac:dyDescent="0.25">
      <c r="A227" t="s">
        <v>130</v>
      </c>
      <c r="B227" t="s">
        <v>183</v>
      </c>
      <c r="C227" t="s">
        <v>175</v>
      </c>
      <c r="D227" s="4">
        <v>1</v>
      </c>
      <c r="E227" s="4">
        <v>0</v>
      </c>
      <c r="F227" s="9">
        <v>2119.85</v>
      </c>
      <c r="G227" s="9">
        <v>353.30833333333328</v>
      </c>
      <c r="H227" s="9">
        <v>2401.12005</v>
      </c>
      <c r="I227" s="9">
        <v>0</v>
      </c>
      <c r="J227" s="9">
        <v>5101.2</v>
      </c>
      <c r="K227" s="9">
        <v>2058.1028999999999</v>
      </c>
      <c r="L227" s="9">
        <v>0</v>
      </c>
      <c r="M227" s="9">
        <v>156.07280324999999</v>
      </c>
      <c r="N227" s="9">
        <v>331.35456690000001</v>
      </c>
      <c r="O227" s="9">
        <v>1570.6755298499997</v>
      </c>
      <c r="P227" s="9">
        <v>0</v>
      </c>
      <c r="Q227" s="9">
        <v>0</v>
      </c>
      <c r="R227" s="9">
        <v>0</v>
      </c>
      <c r="S227" s="9">
        <v>2058.1028999999999</v>
      </c>
      <c r="T227" s="9">
        <v>1570.6755298499997</v>
      </c>
      <c r="U227" s="9">
        <v>0</v>
      </c>
      <c r="V227">
        <v>0</v>
      </c>
    </row>
    <row r="228" spans="1:22" x14ac:dyDescent="0.25">
      <c r="A228" t="s">
        <v>130</v>
      </c>
      <c r="B228" t="s">
        <v>184</v>
      </c>
      <c r="C228" t="s">
        <v>175</v>
      </c>
      <c r="D228" s="4">
        <v>1</v>
      </c>
      <c r="E228" s="4">
        <v>0</v>
      </c>
      <c r="F228" s="9">
        <v>2119.85</v>
      </c>
      <c r="G228" s="9">
        <v>353.30833333333328</v>
      </c>
      <c r="H228" s="9">
        <v>2401.12005</v>
      </c>
      <c r="I228" s="9">
        <v>0</v>
      </c>
      <c r="J228" s="9">
        <v>5101.2</v>
      </c>
      <c r="K228" s="9">
        <v>2058.1028999999999</v>
      </c>
      <c r="L228" s="9">
        <v>0</v>
      </c>
      <c r="M228" s="9">
        <v>156.07280324999999</v>
      </c>
      <c r="N228" s="9">
        <v>331.35456690000001</v>
      </c>
      <c r="O228" s="9">
        <v>1570.6755298499997</v>
      </c>
      <c r="P228" s="9">
        <v>0</v>
      </c>
      <c r="Q228" s="9">
        <v>0</v>
      </c>
      <c r="R228" s="9">
        <v>0</v>
      </c>
      <c r="S228" s="9">
        <v>2058.1028999999999</v>
      </c>
      <c r="T228" s="9">
        <v>1570.6755298499997</v>
      </c>
      <c r="U228" s="9">
        <v>0</v>
      </c>
      <c r="V228">
        <v>0</v>
      </c>
    </row>
    <row r="229" spans="1:22" x14ac:dyDescent="0.25">
      <c r="A229" t="s">
        <v>130</v>
      </c>
      <c r="B229" t="s">
        <v>185</v>
      </c>
      <c r="C229" t="s">
        <v>175</v>
      </c>
      <c r="D229" s="4">
        <v>1</v>
      </c>
      <c r="E229" s="4">
        <v>0</v>
      </c>
      <c r="F229" s="9">
        <v>2119.85</v>
      </c>
      <c r="G229" s="9">
        <v>353.30833333333328</v>
      </c>
      <c r="H229" s="9">
        <v>2401.12005</v>
      </c>
      <c r="I229" s="9">
        <v>0</v>
      </c>
      <c r="J229" s="9">
        <v>5101.2</v>
      </c>
      <c r="K229" s="9">
        <v>2058.1028999999999</v>
      </c>
      <c r="L229" s="9">
        <v>0</v>
      </c>
      <c r="M229" s="9">
        <v>156.07280324999999</v>
      </c>
      <c r="N229" s="9">
        <v>331.35456690000001</v>
      </c>
      <c r="O229" s="9">
        <v>1570.6755298499997</v>
      </c>
      <c r="P229" s="9">
        <v>0</v>
      </c>
      <c r="Q229" s="9">
        <v>0</v>
      </c>
      <c r="R229" s="9">
        <v>0</v>
      </c>
      <c r="S229" s="9">
        <v>2058.1028999999999</v>
      </c>
      <c r="T229" s="9">
        <v>1570.6755298499997</v>
      </c>
      <c r="U229" s="9">
        <v>0</v>
      </c>
      <c r="V229">
        <v>0</v>
      </c>
    </row>
    <row r="230" spans="1:22" x14ac:dyDescent="0.25">
      <c r="A230" t="s">
        <v>130</v>
      </c>
      <c r="B230" t="s">
        <v>186</v>
      </c>
      <c r="C230" t="s">
        <v>175</v>
      </c>
      <c r="D230" s="4">
        <v>1</v>
      </c>
      <c r="E230" s="4">
        <v>0</v>
      </c>
      <c r="F230" s="9">
        <v>2119.85</v>
      </c>
      <c r="G230" s="9">
        <v>353.30833333333328</v>
      </c>
      <c r="H230" s="9">
        <v>2401.12005</v>
      </c>
      <c r="I230" s="9">
        <v>0</v>
      </c>
      <c r="J230" s="9">
        <v>5101.2</v>
      </c>
      <c r="K230" s="9">
        <v>2058.1028999999999</v>
      </c>
      <c r="L230" s="9">
        <v>0</v>
      </c>
      <c r="M230" s="9">
        <v>156.07280324999999</v>
      </c>
      <c r="N230" s="9">
        <v>331.35456690000001</v>
      </c>
      <c r="O230" s="9">
        <v>1570.6755298499997</v>
      </c>
      <c r="P230" s="9">
        <v>0</v>
      </c>
      <c r="Q230" s="9">
        <v>0</v>
      </c>
      <c r="R230" s="9">
        <v>0</v>
      </c>
      <c r="S230" s="9">
        <v>2058.1028999999999</v>
      </c>
      <c r="T230" s="9">
        <v>1570.6755298499997</v>
      </c>
      <c r="U230" s="9">
        <v>0</v>
      </c>
      <c r="V230">
        <v>0</v>
      </c>
    </row>
    <row r="231" spans="1:22" x14ac:dyDescent="0.25">
      <c r="A231" t="s">
        <v>130</v>
      </c>
      <c r="B231" t="s">
        <v>187</v>
      </c>
      <c r="C231" t="s">
        <v>175</v>
      </c>
      <c r="D231" s="4">
        <v>1</v>
      </c>
      <c r="E231" s="4">
        <v>0</v>
      </c>
      <c r="F231" s="9">
        <v>2119.85</v>
      </c>
      <c r="G231" s="9">
        <v>353.30833333333328</v>
      </c>
      <c r="H231" s="9">
        <v>2401.12005</v>
      </c>
      <c r="I231" s="9">
        <v>0</v>
      </c>
      <c r="J231" s="9">
        <v>5101.2</v>
      </c>
      <c r="K231" s="9">
        <v>2058.1028999999999</v>
      </c>
      <c r="L231" s="9">
        <v>0</v>
      </c>
      <c r="M231" s="9">
        <v>156.07280324999999</v>
      </c>
      <c r="N231" s="9">
        <v>331.35456690000001</v>
      </c>
      <c r="O231" s="9">
        <v>1570.6755298499997</v>
      </c>
      <c r="P231" s="9">
        <v>0</v>
      </c>
      <c r="Q231" s="9">
        <v>0</v>
      </c>
      <c r="R231" s="9">
        <v>0</v>
      </c>
      <c r="S231" s="9">
        <v>2058.1028999999999</v>
      </c>
      <c r="T231" s="9">
        <v>1570.6755298499997</v>
      </c>
      <c r="U231" s="9">
        <v>0</v>
      </c>
      <c r="V231">
        <v>0</v>
      </c>
    </row>
    <row r="232" spans="1:22" x14ac:dyDescent="0.25">
      <c r="A232" t="s">
        <v>130</v>
      </c>
      <c r="B232" t="s">
        <v>189</v>
      </c>
      <c r="C232" t="s">
        <v>175</v>
      </c>
      <c r="D232" s="4">
        <v>1</v>
      </c>
      <c r="E232" s="4">
        <v>0</v>
      </c>
      <c r="F232" s="9">
        <v>2119.85</v>
      </c>
      <c r="G232" s="9">
        <v>353.30833333333328</v>
      </c>
      <c r="H232" s="9">
        <v>2401.12005</v>
      </c>
      <c r="I232" s="9">
        <v>0</v>
      </c>
      <c r="J232" s="9">
        <v>5101.2</v>
      </c>
      <c r="K232" s="9">
        <v>2058.1028999999999</v>
      </c>
      <c r="L232" s="9">
        <v>0</v>
      </c>
      <c r="M232" s="9">
        <v>156.07280324999999</v>
      </c>
      <c r="N232" s="9">
        <v>331.35456690000001</v>
      </c>
      <c r="O232" s="9">
        <v>1570.6755298499997</v>
      </c>
      <c r="P232" s="9">
        <v>0</v>
      </c>
      <c r="Q232" s="9">
        <v>0</v>
      </c>
      <c r="R232" s="9">
        <v>0</v>
      </c>
      <c r="S232" s="9">
        <v>2058.1028999999999</v>
      </c>
      <c r="T232" s="9">
        <v>1570.6755298499997</v>
      </c>
      <c r="U232" s="9">
        <v>0</v>
      </c>
      <c r="V232">
        <v>0</v>
      </c>
    </row>
    <row r="233" spans="1:22" x14ac:dyDescent="0.25">
      <c r="A233" t="s">
        <v>132</v>
      </c>
      <c r="B233" t="s">
        <v>173</v>
      </c>
      <c r="C233" t="s">
        <v>175</v>
      </c>
      <c r="D233" s="4">
        <v>1</v>
      </c>
      <c r="E233" s="4">
        <v>0</v>
      </c>
      <c r="F233" s="9">
        <v>1816.28</v>
      </c>
      <c r="G233" s="9">
        <v>302.71333333333331</v>
      </c>
      <c r="H233" s="9">
        <v>2166.6633333333334</v>
      </c>
      <c r="I233" s="9">
        <v>0</v>
      </c>
      <c r="J233" s="9">
        <v>5101.2</v>
      </c>
      <c r="K233" s="9">
        <v>1857.14</v>
      </c>
      <c r="L233" s="9">
        <v>0</v>
      </c>
      <c r="M233" s="9">
        <v>140.83311666666668</v>
      </c>
      <c r="N233" s="9">
        <v>271.88529600000004</v>
      </c>
      <c r="O233" s="9">
        <v>1444.4215873333333</v>
      </c>
      <c r="P233" s="9">
        <v>0</v>
      </c>
      <c r="Q233" s="9">
        <v>0</v>
      </c>
      <c r="R233" s="9">
        <v>0</v>
      </c>
      <c r="S233" s="9">
        <v>1857.14</v>
      </c>
      <c r="T233" s="9">
        <v>1444.4215873333333</v>
      </c>
      <c r="U233" s="9">
        <v>0</v>
      </c>
      <c r="V233">
        <v>0</v>
      </c>
    </row>
    <row r="234" spans="1:22" x14ac:dyDescent="0.25">
      <c r="A234" t="s">
        <v>132</v>
      </c>
      <c r="B234" t="s">
        <v>176</v>
      </c>
      <c r="C234" t="s">
        <v>175</v>
      </c>
      <c r="D234" s="4">
        <v>1</v>
      </c>
      <c r="E234" s="4">
        <v>0</v>
      </c>
      <c r="F234" s="9">
        <v>1816.28</v>
      </c>
      <c r="G234" s="9">
        <v>302.71333333333331</v>
      </c>
      <c r="H234" s="9">
        <v>2166.6633333333334</v>
      </c>
      <c r="I234" s="9">
        <v>0</v>
      </c>
      <c r="J234" s="9">
        <v>5101.2</v>
      </c>
      <c r="K234" s="9">
        <v>1857.14</v>
      </c>
      <c r="L234" s="9">
        <v>0</v>
      </c>
      <c r="M234" s="9">
        <v>140.83311666666668</v>
      </c>
      <c r="N234" s="9">
        <v>271.88529600000004</v>
      </c>
      <c r="O234" s="9">
        <v>1444.4215873333333</v>
      </c>
      <c r="P234" s="9">
        <v>0</v>
      </c>
      <c r="Q234" s="9">
        <v>0</v>
      </c>
      <c r="R234" s="9">
        <v>0</v>
      </c>
      <c r="S234" s="9">
        <v>1857.14</v>
      </c>
      <c r="T234" s="9">
        <v>1444.4215873333333</v>
      </c>
      <c r="U234" s="9">
        <v>0</v>
      </c>
      <c r="V234">
        <v>0</v>
      </c>
    </row>
    <row r="235" spans="1:22" x14ac:dyDescent="0.25">
      <c r="A235" t="s">
        <v>132</v>
      </c>
      <c r="B235" t="s">
        <v>177</v>
      </c>
      <c r="C235" t="s">
        <v>175</v>
      </c>
      <c r="D235" s="4">
        <v>1</v>
      </c>
      <c r="E235" s="4">
        <v>0</v>
      </c>
      <c r="F235" s="9">
        <v>1816.28</v>
      </c>
      <c r="G235" s="9">
        <v>302.71333333333331</v>
      </c>
      <c r="H235" s="9">
        <v>2166.6633333333334</v>
      </c>
      <c r="I235" s="9">
        <v>0</v>
      </c>
      <c r="J235" s="9">
        <v>5101.2</v>
      </c>
      <c r="K235" s="9">
        <v>1857.14</v>
      </c>
      <c r="L235" s="9">
        <v>0</v>
      </c>
      <c r="M235" s="9">
        <v>140.83311666666668</v>
      </c>
      <c r="N235" s="9">
        <v>271.88529600000004</v>
      </c>
      <c r="O235" s="9">
        <v>1444.4215873333333</v>
      </c>
      <c r="P235" s="9">
        <v>0</v>
      </c>
      <c r="Q235" s="9">
        <v>0</v>
      </c>
      <c r="R235" s="9">
        <v>0</v>
      </c>
      <c r="S235" s="9">
        <v>1857.14</v>
      </c>
      <c r="T235" s="9">
        <v>1444.4215873333333</v>
      </c>
      <c r="U235" s="9">
        <v>0</v>
      </c>
      <c r="V235">
        <v>0</v>
      </c>
    </row>
    <row r="236" spans="1:22" x14ac:dyDescent="0.25">
      <c r="A236" t="s">
        <v>132</v>
      </c>
      <c r="B236" t="s">
        <v>178</v>
      </c>
      <c r="C236" t="s">
        <v>175</v>
      </c>
      <c r="D236" s="4">
        <v>1</v>
      </c>
      <c r="E236" s="4">
        <v>0</v>
      </c>
      <c r="F236" s="9">
        <v>1816.28</v>
      </c>
      <c r="G236" s="9">
        <v>302.71333333333331</v>
      </c>
      <c r="H236" s="9">
        <v>2166.6633333333334</v>
      </c>
      <c r="I236" s="9">
        <v>0</v>
      </c>
      <c r="J236" s="9">
        <v>5101.2</v>
      </c>
      <c r="K236" s="9">
        <v>1857.14</v>
      </c>
      <c r="L236" s="9">
        <v>0</v>
      </c>
      <c r="M236" s="9">
        <v>140.83311666666668</v>
      </c>
      <c r="N236" s="9">
        <v>271.88529600000004</v>
      </c>
      <c r="O236" s="9">
        <v>1444.4215873333333</v>
      </c>
      <c r="P236" s="9">
        <v>0</v>
      </c>
      <c r="Q236" s="9">
        <v>0</v>
      </c>
      <c r="R236" s="9">
        <v>0</v>
      </c>
      <c r="S236" s="9">
        <v>1857.14</v>
      </c>
      <c r="T236" s="9">
        <v>1444.4215873333333</v>
      </c>
      <c r="U236" s="9">
        <v>0</v>
      </c>
      <c r="V236">
        <v>0</v>
      </c>
    </row>
    <row r="237" spans="1:22" x14ac:dyDescent="0.25">
      <c r="A237" t="s">
        <v>132</v>
      </c>
      <c r="B237" t="s">
        <v>179</v>
      </c>
      <c r="C237" t="s">
        <v>175</v>
      </c>
      <c r="D237" s="4">
        <v>1</v>
      </c>
      <c r="E237" s="4">
        <v>0</v>
      </c>
      <c r="F237" s="9">
        <v>1816.28</v>
      </c>
      <c r="G237" s="9">
        <v>302.71333333333331</v>
      </c>
      <c r="H237" s="9">
        <v>2166.6633333333334</v>
      </c>
      <c r="I237" s="9">
        <v>0</v>
      </c>
      <c r="J237" s="9">
        <v>5101.2</v>
      </c>
      <c r="K237" s="9">
        <v>1857.14</v>
      </c>
      <c r="L237" s="9">
        <v>0</v>
      </c>
      <c r="M237" s="9">
        <v>140.83311666666668</v>
      </c>
      <c r="N237" s="9">
        <v>271.88529600000004</v>
      </c>
      <c r="O237" s="9">
        <v>1444.4215873333333</v>
      </c>
      <c r="P237" s="9">
        <v>0</v>
      </c>
      <c r="Q237" s="9">
        <v>0</v>
      </c>
      <c r="R237" s="9">
        <v>0</v>
      </c>
      <c r="S237" s="9">
        <v>1857.14</v>
      </c>
      <c r="T237" s="9">
        <v>1444.4215873333333</v>
      </c>
      <c r="U237" s="9">
        <v>0</v>
      </c>
      <c r="V237">
        <v>0</v>
      </c>
    </row>
    <row r="238" spans="1:22" x14ac:dyDescent="0.25">
      <c r="A238" t="s">
        <v>132</v>
      </c>
      <c r="B238" t="s">
        <v>180</v>
      </c>
      <c r="C238" t="s">
        <v>175</v>
      </c>
      <c r="D238" s="4">
        <v>1</v>
      </c>
      <c r="E238" s="4">
        <v>0</v>
      </c>
      <c r="F238" s="9">
        <v>1816.28</v>
      </c>
      <c r="G238" s="9">
        <v>302.71333333333331</v>
      </c>
      <c r="H238" s="9">
        <v>2166.6633333333334</v>
      </c>
      <c r="I238" s="9">
        <v>0</v>
      </c>
      <c r="J238" s="9">
        <v>5101.2</v>
      </c>
      <c r="K238" s="9">
        <v>1857.14</v>
      </c>
      <c r="L238" s="9">
        <v>0</v>
      </c>
      <c r="M238" s="9">
        <v>140.83311666666668</v>
      </c>
      <c r="N238" s="9">
        <v>271.88529600000004</v>
      </c>
      <c r="O238" s="9">
        <v>1444.4215873333333</v>
      </c>
      <c r="P238" s="9">
        <v>0</v>
      </c>
      <c r="Q238" s="9">
        <v>0</v>
      </c>
      <c r="R238" s="9">
        <v>0</v>
      </c>
      <c r="S238" s="9">
        <v>1857.14</v>
      </c>
      <c r="T238" s="9">
        <v>1444.4215873333333</v>
      </c>
      <c r="U238" s="9">
        <v>0</v>
      </c>
      <c r="V238">
        <v>0</v>
      </c>
    </row>
    <row r="239" spans="1:22" x14ac:dyDescent="0.25">
      <c r="A239" t="s">
        <v>132</v>
      </c>
      <c r="B239" t="s">
        <v>183</v>
      </c>
      <c r="C239" t="s">
        <v>175</v>
      </c>
      <c r="D239" s="4">
        <v>1</v>
      </c>
      <c r="E239" s="4">
        <v>0</v>
      </c>
      <c r="F239" s="9">
        <v>1816.28</v>
      </c>
      <c r="G239" s="9">
        <v>302.71333333333331</v>
      </c>
      <c r="H239" s="9">
        <v>2166.6633333333334</v>
      </c>
      <c r="I239" s="9">
        <v>0</v>
      </c>
      <c r="J239" s="9">
        <v>5101.2</v>
      </c>
      <c r="K239" s="9">
        <v>1857.14</v>
      </c>
      <c r="L239" s="9">
        <v>0</v>
      </c>
      <c r="M239" s="9">
        <v>140.83311666666668</v>
      </c>
      <c r="N239" s="9">
        <v>271.88529600000004</v>
      </c>
      <c r="O239" s="9">
        <v>1444.4215873333333</v>
      </c>
      <c r="P239" s="9">
        <v>0</v>
      </c>
      <c r="Q239" s="9">
        <v>0</v>
      </c>
      <c r="R239" s="9">
        <v>0</v>
      </c>
      <c r="S239" s="9">
        <v>1857.14</v>
      </c>
      <c r="T239" s="9">
        <v>1444.4215873333333</v>
      </c>
      <c r="U239" s="9">
        <v>0</v>
      </c>
      <c r="V239">
        <v>0</v>
      </c>
    </row>
    <row r="240" spans="1:22" x14ac:dyDescent="0.25">
      <c r="A240" t="s">
        <v>132</v>
      </c>
      <c r="B240" t="s">
        <v>184</v>
      </c>
      <c r="C240" t="s">
        <v>175</v>
      </c>
      <c r="D240" s="4">
        <v>1</v>
      </c>
      <c r="E240" s="4">
        <v>0</v>
      </c>
      <c r="F240" s="9">
        <v>1816.28</v>
      </c>
      <c r="G240" s="9">
        <v>302.71333333333331</v>
      </c>
      <c r="H240" s="9">
        <v>2166.6633333333334</v>
      </c>
      <c r="I240" s="9">
        <v>0</v>
      </c>
      <c r="J240" s="9">
        <v>5101.2</v>
      </c>
      <c r="K240" s="9">
        <v>1857.14</v>
      </c>
      <c r="L240" s="9">
        <v>0</v>
      </c>
      <c r="M240" s="9">
        <v>140.83311666666668</v>
      </c>
      <c r="N240" s="9">
        <v>271.88529600000004</v>
      </c>
      <c r="O240" s="9">
        <v>1444.4215873333333</v>
      </c>
      <c r="P240" s="9">
        <v>0</v>
      </c>
      <c r="Q240" s="9">
        <v>0</v>
      </c>
      <c r="R240" s="9">
        <v>0</v>
      </c>
      <c r="S240" s="9">
        <v>1857.14</v>
      </c>
      <c r="T240" s="9">
        <v>1444.4215873333333</v>
      </c>
      <c r="U240" s="9">
        <v>0</v>
      </c>
      <c r="V240">
        <v>0</v>
      </c>
    </row>
    <row r="241" spans="1:22" x14ac:dyDescent="0.25">
      <c r="A241" t="s">
        <v>132</v>
      </c>
      <c r="B241" t="s">
        <v>185</v>
      </c>
      <c r="C241" t="s">
        <v>175</v>
      </c>
      <c r="D241" s="4">
        <v>1</v>
      </c>
      <c r="E241" s="4">
        <v>0</v>
      </c>
      <c r="F241" s="9">
        <v>1816.28</v>
      </c>
      <c r="G241" s="9">
        <v>302.71333333333331</v>
      </c>
      <c r="H241" s="9">
        <v>2166.6633333333334</v>
      </c>
      <c r="I241" s="9">
        <v>0</v>
      </c>
      <c r="J241" s="9">
        <v>5101.2</v>
      </c>
      <c r="K241" s="9">
        <v>1857.14</v>
      </c>
      <c r="L241" s="9">
        <v>0</v>
      </c>
      <c r="M241" s="9">
        <v>140.83311666666668</v>
      </c>
      <c r="N241" s="9">
        <v>271.88529600000004</v>
      </c>
      <c r="O241" s="9">
        <v>1444.4215873333333</v>
      </c>
      <c r="P241" s="9">
        <v>0</v>
      </c>
      <c r="Q241" s="9">
        <v>0</v>
      </c>
      <c r="R241" s="9">
        <v>0</v>
      </c>
      <c r="S241" s="9">
        <v>1857.14</v>
      </c>
      <c r="T241" s="9">
        <v>1444.4215873333333</v>
      </c>
      <c r="U241" s="9">
        <v>0</v>
      </c>
      <c r="V241">
        <v>0</v>
      </c>
    </row>
    <row r="242" spans="1:22" x14ac:dyDescent="0.25">
      <c r="A242" t="s">
        <v>132</v>
      </c>
      <c r="B242" t="s">
        <v>186</v>
      </c>
      <c r="C242" t="s">
        <v>175</v>
      </c>
      <c r="D242" s="4">
        <v>1</v>
      </c>
      <c r="E242" s="4">
        <v>0</v>
      </c>
      <c r="F242" s="9">
        <v>1816.28</v>
      </c>
      <c r="G242" s="9">
        <v>302.71333333333331</v>
      </c>
      <c r="H242" s="9">
        <v>2166.6633333333334</v>
      </c>
      <c r="I242" s="9">
        <v>0</v>
      </c>
      <c r="J242" s="9">
        <v>5101.2</v>
      </c>
      <c r="K242" s="9">
        <v>1857.14</v>
      </c>
      <c r="L242" s="9">
        <v>0</v>
      </c>
      <c r="M242" s="9">
        <v>140.83311666666668</v>
      </c>
      <c r="N242" s="9">
        <v>271.88529600000004</v>
      </c>
      <c r="O242" s="9">
        <v>1444.4215873333333</v>
      </c>
      <c r="P242" s="9">
        <v>0</v>
      </c>
      <c r="Q242" s="9">
        <v>0</v>
      </c>
      <c r="R242" s="9">
        <v>0</v>
      </c>
      <c r="S242" s="9">
        <v>1857.14</v>
      </c>
      <c r="T242" s="9">
        <v>1444.4215873333333</v>
      </c>
      <c r="U242" s="9">
        <v>0</v>
      </c>
      <c r="V242">
        <v>0</v>
      </c>
    </row>
    <row r="243" spans="1:22" x14ac:dyDescent="0.25">
      <c r="A243" t="s">
        <v>132</v>
      </c>
      <c r="B243" t="s">
        <v>187</v>
      </c>
      <c r="C243" t="s">
        <v>175</v>
      </c>
      <c r="D243" s="4">
        <v>1</v>
      </c>
      <c r="E243" s="4">
        <v>0</v>
      </c>
      <c r="F243" s="9">
        <v>1816.28</v>
      </c>
      <c r="G243" s="9">
        <v>302.71333333333331</v>
      </c>
      <c r="H243" s="9">
        <v>2166.6633333333334</v>
      </c>
      <c r="I243" s="9">
        <v>0</v>
      </c>
      <c r="J243" s="9">
        <v>5101.2</v>
      </c>
      <c r="K243" s="9">
        <v>1857.14</v>
      </c>
      <c r="L243" s="9">
        <v>0</v>
      </c>
      <c r="M243" s="9">
        <v>140.83311666666668</v>
      </c>
      <c r="N243" s="9">
        <v>271.88529600000004</v>
      </c>
      <c r="O243" s="9">
        <v>1444.4215873333333</v>
      </c>
      <c r="P243" s="9">
        <v>0</v>
      </c>
      <c r="Q243" s="9">
        <v>0</v>
      </c>
      <c r="R243" s="9">
        <v>0</v>
      </c>
      <c r="S243" s="9">
        <v>1857.14</v>
      </c>
      <c r="T243" s="9">
        <v>1444.4215873333333</v>
      </c>
      <c r="U243" s="9">
        <v>0</v>
      </c>
      <c r="V243">
        <v>0</v>
      </c>
    </row>
    <row r="244" spans="1:22" x14ac:dyDescent="0.25">
      <c r="A244" t="s">
        <v>132</v>
      </c>
      <c r="B244" t="s">
        <v>189</v>
      </c>
      <c r="C244" t="s">
        <v>175</v>
      </c>
      <c r="D244" s="4">
        <v>1</v>
      </c>
      <c r="E244" s="4">
        <v>0</v>
      </c>
      <c r="F244" s="9">
        <v>1816.28</v>
      </c>
      <c r="G244" s="9">
        <v>302.71333333333331</v>
      </c>
      <c r="H244" s="9">
        <v>2166.6633333333334</v>
      </c>
      <c r="I244" s="9">
        <v>0</v>
      </c>
      <c r="J244" s="9">
        <v>5101.2</v>
      </c>
      <c r="K244" s="9">
        <v>1857.14</v>
      </c>
      <c r="L244" s="9">
        <v>0</v>
      </c>
      <c r="M244" s="9">
        <v>140.83311666666668</v>
      </c>
      <c r="N244" s="9">
        <v>271.88529600000004</v>
      </c>
      <c r="O244" s="9">
        <v>1444.4215873333333</v>
      </c>
      <c r="P244" s="9">
        <v>0</v>
      </c>
      <c r="Q244" s="9">
        <v>0</v>
      </c>
      <c r="R244" s="9">
        <v>0</v>
      </c>
      <c r="S244" s="9">
        <v>1857.14</v>
      </c>
      <c r="T244" s="9">
        <v>1444.4215873333333</v>
      </c>
      <c r="U244" s="9">
        <v>0</v>
      </c>
      <c r="V244">
        <v>0</v>
      </c>
    </row>
    <row r="245" spans="1:22" x14ac:dyDescent="0.25">
      <c r="A245" t="s">
        <v>134</v>
      </c>
      <c r="B245" t="s">
        <v>173</v>
      </c>
      <c r="C245" t="s">
        <v>175</v>
      </c>
      <c r="D245" s="4">
        <v>1</v>
      </c>
      <c r="E245" s="4">
        <v>0</v>
      </c>
      <c r="F245" s="9">
        <v>7266.2560000000003</v>
      </c>
      <c r="G245" s="9">
        <v>1211.0426666666667</v>
      </c>
      <c r="H245" s="9">
        <v>8335.6</v>
      </c>
      <c r="I245" s="9">
        <v>0</v>
      </c>
      <c r="J245" s="9">
        <v>5101.2</v>
      </c>
      <c r="K245" s="9">
        <v>7144.7999999999993</v>
      </c>
      <c r="L245" s="9">
        <v>0</v>
      </c>
      <c r="M245" s="9">
        <v>338.47335599999997</v>
      </c>
      <c r="N245" s="9">
        <v>2152.7282399999999</v>
      </c>
      <c r="O245" s="9">
        <v>4653.5984039999985</v>
      </c>
      <c r="P245" s="9">
        <v>0</v>
      </c>
      <c r="Q245" s="9">
        <v>0</v>
      </c>
      <c r="R245" s="9">
        <v>0</v>
      </c>
      <c r="S245" s="9">
        <v>7144.7999999999993</v>
      </c>
      <c r="T245" s="9">
        <v>4653.5984039999985</v>
      </c>
      <c r="U245" s="9">
        <v>0</v>
      </c>
      <c r="V245">
        <v>0</v>
      </c>
    </row>
    <row r="246" spans="1:22" x14ac:dyDescent="0.25">
      <c r="A246" t="s">
        <v>134</v>
      </c>
      <c r="B246" t="s">
        <v>176</v>
      </c>
      <c r="C246" t="s">
        <v>175</v>
      </c>
      <c r="D246" s="4">
        <v>1</v>
      </c>
      <c r="E246" s="4">
        <v>0</v>
      </c>
      <c r="F246" s="9">
        <v>7266.2560000000003</v>
      </c>
      <c r="G246" s="9">
        <v>1211.0426666666667</v>
      </c>
      <c r="H246" s="9">
        <v>8335.6</v>
      </c>
      <c r="I246" s="9">
        <v>0</v>
      </c>
      <c r="J246" s="9">
        <v>5101.2</v>
      </c>
      <c r="K246" s="9">
        <v>7144.7999999999993</v>
      </c>
      <c r="L246" s="9">
        <v>0</v>
      </c>
      <c r="M246" s="9">
        <v>338.47335599999997</v>
      </c>
      <c r="N246" s="9">
        <v>2152.7282399999999</v>
      </c>
      <c r="O246" s="9">
        <v>4653.5984039999985</v>
      </c>
      <c r="P246" s="9">
        <v>0</v>
      </c>
      <c r="Q246" s="9">
        <v>0</v>
      </c>
      <c r="R246" s="9">
        <v>0</v>
      </c>
      <c r="S246" s="9">
        <v>7144.7999999999993</v>
      </c>
      <c r="T246" s="9">
        <v>4653.5984039999985</v>
      </c>
      <c r="U246" s="9">
        <v>0</v>
      </c>
      <c r="V246">
        <v>0</v>
      </c>
    </row>
    <row r="247" spans="1:22" x14ac:dyDescent="0.25">
      <c r="A247" t="s">
        <v>134</v>
      </c>
      <c r="B247" t="s">
        <v>177</v>
      </c>
      <c r="C247" t="s">
        <v>175</v>
      </c>
      <c r="D247" s="4">
        <v>1</v>
      </c>
      <c r="E247" s="4">
        <v>0</v>
      </c>
      <c r="F247" s="9">
        <v>7266.2560000000003</v>
      </c>
      <c r="G247" s="9">
        <v>1211.0426666666667</v>
      </c>
      <c r="H247" s="9">
        <v>8335.6</v>
      </c>
      <c r="I247" s="9">
        <v>0</v>
      </c>
      <c r="J247" s="9">
        <v>5101.2</v>
      </c>
      <c r="K247" s="9">
        <v>7144.7999999999993</v>
      </c>
      <c r="L247" s="9">
        <v>0</v>
      </c>
      <c r="M247" s="9">
        <v>338.47335599999997</v>
      </c>
      <c r="N247" s="9">
        <v>2152.7282399999999</v>
      </c>
      <c r="O247" s="9">
        <v>4653.5984039999985</v>
      </c>
      <c r="P247" s="9">
        <v>0</v>
      </c>
      <c r="Q247" s="9">
        <v>0</v>
      </c>
      <c r="R247" s="9">
        <v>0</v>
      </c>
      <c r="S247" s="9">
        <v>7144.7999999999993</v>
      </c>
      <c r="T247" s="9">
        <v>4653.5984039999985</v>
      </c>
      <c r="U247" s="9">
        <v>0</v>
      </c>
      <c r="V247">
        <v>0</v>
      </c>
    </row>
    <row r="248" spans="1:22" x14ac:dyDescent="0.25">
      <c r="A248" t="s">
        <v>134</v>
      </c>
      <c r="B248" t="s">
        <v>178</v>
      </c>
      <c r="C248" t="s">
        <v>175</v>
      </c>
      <c r="D248" s="4">
        <v>1</v>
      </c>
      <c r="E248" s="4">
        <v>0</v>
      </c>
      <c r="F248" s="9">
        <v>7266.2560000000003</v>
      </c>
      <c r="G248" s="9">
        <v>1211.0426666666667</v>
      </c>
      <c r="H248" s="9">
        <v>8335.6</v>
      </c>
      <c r="I248" s="9">
        <v>0</v>
      </c>
      <c r="J248" s="9">
        <v>5101.2</v>
      </c>
      <c r="K248" s="9">
        <v>7144.7999999999993</v>
      </c>
      <c r="L248" s="9">
        <v>0</v>
      </c>
      <c r="M248" s="9">
        <v>338.47335599999997</v>
      </c>
      <c r="N248" s="9">
        <v>2152.7282399999999</v>
      </c>
      <c r="O248" s="9">
        <v>4653.5984039999985</v>
      </c>
      <c r="P248" s="9">
        <v>0</v>
      </c>
      <c r="Q248" s="9">
        <v>0</v>
      </c>
      <c r="R248" s="9">
        <v>0</v>
      </c>
      <c r="S248" s="9">
        <v>7144.7999999999993</v>
      </c>
      <c r="T248" s="9">
        <v>4653.5984039999985</v>
      </c>
      <c r="U248" s="9">
        <v>0</v>
      </c>
      <c r="V248">
        <v>0</v>
      </c>
    </row>
    <row r="249" spans="1:22" x14ac:dyDescent="0.25">
      <c r="A249" t="s">
        <v>134</v>
      </c>
      <c r="B249" t="s">
        <v>179</v>
      </c>
      <c r="C249" t="s">
        <v>175</v>
      </c>
      <c r="D249" s="4">
        <v>1</v>
      </c>
      <c r="E249" s="4">
        <v>0</v>
      </c>
      <c r="F249" s="9">
        <v>7266.2560000000003</v>
      </c>
      <c r="G249" s="9">
        <v>1211.0426666666667</v>
      </c>
      <c r="H249" s="9">
        <v>8335.6</v>
      </c>
      <c r="I249" s="9">
        <v>0</v>
      </c>
      <c r="J249" s="9">
        <v>5101.2</v>
      </c>
      <c r="K249" s="9">
        <v>7144.7999999999993</v>
      </c>
      <c r="L249" s="9">
        <v>0</v>
      </c>
      <c r="M249" s="9">
        <v>338.47335599999997</v>
      </c>
      <c r="N249" s="9">
        <v>2152.7282399999999</v>
      </c>
      <c r="O249" s="9">
        <v>4653.5984039999985</v>
      </c>
      <c r="P249" s="9">
        <v>0</v>
      </c>
      <c r="Q249" s="9">
        <v>0</v>
      </c>
      <c r="R249" s="9">
        <v>0</v>
      </c>
      <c r="S249" s="9">
        <v>7144.7999999999993</v>
      </c>
      <c r="T249" s="9">
        <v>4653.5984039999985</v>
      </c>
      <c r="U249" s="9">
        <v>0</v>
      </c>
      <c r="V249">
        <v>0</v>
      </c>
    </row>
    <row r="250" spans="1:22" x14ac:dyDescent="0.25">
      <c r="A250" t="s">
        <v>134</v>
      </c>
      <c r="B250" t="s">
        <v>180</v>
      </c>
      <c r="C250" t="s">
        <v>175</v>
      </c>
      <c r="D250" s="4">
        <v>1</v>
      </c>
      <c r="E250" s="4">
        <v>0</v>
      </c>
      <c r="F250" s="9">
        <v>7266.2560000000003</v>
      </c>
      <c r="G250" s="9">
        <v>1211.0426666666667</v>
      </c>
      <c r="H250" s="9">
        <v>8335.6</v>
      </c>
      <c r="I250" s="9">
        <v>0</v>
      </c>
      <c r="J250" s="9">
        <v>5101.2</v>
      </c>
      <c r="K250" s="9">
        <v>7144.7999999999993</v>
      </c>
      <c r="L250" s="9">
        <v>0</v>
      </c>
      <c r="M250" s="9">
        <v>338.47335599999997</v>
      </c>
      <c r="N250" s="9">
        <v>2152.7282399999999</v>
      </c>
      <c r="O250" s="9">
        <v>4653.5984039999985</v>
      </c>
      <c r="P250" s="9">
        <v>0</v>
      </c>
      <c r="Q250" s="9">
        <v>0</v>
      </c>
      <c r="R250" s="9">
        <v>0</v>
      </c>
      <c r="S250" s="9">
        <v>7144.7999999999993</v>
      </c>
      <c r="T250" s="9">
        <v>4653.5984039999985</v>
      </c>
      <c r="U250" s="9">
        <v>0</v>
      </c>
      <c r="V250">
        <v>0</v>
      </c>
    </row>
    <row r="251" spans="1:22" x14ac:dyDescent="0.25">
      <c r="A251" t="s">
        <v>134</v>
      </c>
      <c r="B251" t="s">
        <v>183</v>
      </c>
      <c r="C251" t="s">
        <v>175</v>
      </c>
      <c r="D251" s="4">
        <v>1</v>
      </c>
      <c r="E251" s="4">
        <v>0</v>
      </c>
      <c r="F251" s="9">
        <v>7266.2560000000003</v>
      </c>
      <c r="G251" s="9">
        <v>1211.0426666666667</v>
      </c>
      <c r="H251" s="9">
        <v>8335.6</v>
      </c>
      <c r="I251" s="9">
        <v>0</v>
      </c>
      <c r="J251" s="9">
        <v>5101.2</v>
      </c>
      <c r="K251" s="9">
        <v>7144.7999999999993</v>
      </c>
      <c r="L251" s="9">
        <v>0</v>
      </c>
      <c r="M251" s="9">
        <v>338.47335599999997</v>
      </c>
      <c r="N251" s="9">
        <v>2152.7282399999999</v>
      </c>
      <c r="O251" s="9">
        <v>4653.5984039999985</v>
      </c>
      <c r="P251" s="9">
        <v>0</v>
      </c>
      <c r="Q251" s="9">
        <v>0</v>
      </c>
      <c r="R251" s="9">
        <v>0</v>
      </c>
      <c r="S251" s="9">
        <v>7144.7999999999993</v>
      </c>
      <c r="T251" s="9">
        <v>4653.5984039999985</v>
      </c>
      <c r="U251" s="9">
        <v>0</v>
      </c>
      <c r="V251">
        <v>0</v>
      </c>
    </row>
    <row r="252" spans="1:22" x14ac:dyDescent="0.25">
      <c r="A252" t="s">
        <v>134</v>
      </c>
      <c r="B252" t="s">
        <v>184</v>
      </c>
      <c r="C252" t="s">
        <v>175</v>
      </c>
      <c r="D252" s="4">
        <v>1</v>
      </c>
      <c r="E252" s="4">
        <v>0</v>
      </c>
      <c r="F252" s="9">
        <v>7266.2560000000003</v>
      </c>
      <c r="G252" s="9">
        <v>1211.0426666666667</v>
      </c>
      <c r="H252" s="9">
        <v>8335.6</v>
      </c>
      <c r="I252" s="9">
        <v>0</v>
      </c>
      <c r="J252" s="9">
        <v>5101.2</v>
      </c>
      <c r="K252" s="9">
        <v>7144.7999999999993</v>
      </c>
      <c r="L252" s="9">
        <v>0</v>
      </c>
      <c r="M252" s="9">
        <v>338.47335599999997</v>
      </c>
      <c r="N252" s="9">
        <v>2152.7282399999999</v>
      </c>
      <c r="O252" s="9">
        <v>4653.5984039999985</v>
      </c>
      <c r="P252" s="9">
        <v>0</v>
      </c>
      <c r="Q252" s="9">
        <v>0</v>
      </c>
      <c r="R252" s="9">
        <v>0</v>
      </c>
      <c r="S252" s="9">
        <v>7144.7999999999993</v>
      </c>
      <c r="T252" s="9">
        <v>4653.5984039999985</v>
      </c>
      <c r="U252" s="9">
        <v>0</v>
      </c>
      <c r="V252">
        <v>0</v>
      </c>
    </row>
    <row r="253" spans="1:22" x14ac:dyDescent="0.25">
      <c r="A253" t="s">
        <v>134</v>
      </c>
      <c r="B253" t="s">
        <v>185</v>
      </c>
      <c r="C253" t="s">
        <v>175</v>
      </c>
      <c r="D253" s="4">
        <v>1</v>
      </c>
      <c r="E253" s="4">
        <v>0</v>
      </c>
      <c r="F253" s="9">
        <v>7266.2560000000003</v>
      </c>
      <c r="G253" s="9">
        <v>1211.0426666666667</v>
      </c>
      <c r="H253" s="9">
        <v>8335.6</v>
      </c>
      <c r="I253" s="9">
        <v>0</v>
      </c>
      <c r="J253" s="9">
        <v>5101.2</v>
      </c>
      <c r="K253" s="9">
        <v>7144.7999999999993</v>
      </c>
      <c r="L253" s="9">
        <v>0</v>
      </c>
      <c r="M253" s="9">
        <v>338.47335599999997</v>
      </c>
      <c r="N253" s="9">
        <v>2152.7282399999999</v>
      </c>
      <c r="O253" s="9">
        <v>4653.5984039999985</v>
      </c>
      <c r="P253" s="9">
        <v>0</v>
      </c>
      <c r="Q253" s="9">
        <v>0</v>
      </c>
      <c r="R253" s="9">
        <v>0</v>
      </c>
      <c r="S253" s="9">
        <v>7144.7999999999993</v>
      </c>
      <c r="T253" s="9">
        <v>4653.5984039999985</v>
      </c>
      <c r="U253" s="9">
        <v>0</v>
      </c>
      <c r="V253">
        <v>0</v>
      </c>
    </row>
    <row r="254" spans="1:22" x14ac:dyDescent="0.25">
      <c r="A254" t="s">
        <v>134</v>
      </c>
      <c r="B254" t="s">
        <v>186</v>
      </c>
      <c r="C254" t="s">
        <v>175</v>
      </c>
      <c r="D254" s="4">
        <v>1</v>
      </c>
      <c r="E254" s="4">
        <v>0</v>
      </c>
      <c r="F254" s="9">
        <v>7266.2560000000003</v>
      </c>
      <c r="G254" s="9">
        <v>1211.0426666666667</v>
      </c>
      <c r="H254" s="9">
        <v>8335.6</v>
      </c>
      <c r="I254" s="9">
        <v>0</v>
      </c>
      <c r="J254" s="9">
        <v>5101.2</v>
      </c>
      <c r="K254" s="9">
        <v>7144.7999999999993</v>
      </c>
      <c r="L254" s="9">
        <v>0</v>
      </c>
      <c r="M254" s="9">
        <v>338.47335599999997</v>
      </c>
      <c r="N254" s="9">
        <v>2152.7282399999999</v>
      </c>
      <c r="O254" s="9">
        <v>4653.5984039999985</v>
      </c>
      <c r="P254" s="9">
        <v>0</v>
      </c>
      <c r="Q254" s="9">
        <v>0</v>
      </c>
      <c r="R254" s="9">
        <v>0</v>
      </c>
      <c r="S254" s="9">
        <v>7144.7999999999993</v>
      </c>
      <c r="T254" s="9">
        <v>4653.5984039999985</v>
      </c>
      <c r="U254" s="9">
        <v>0</v>
      </c>
      <c r="V254">
        <v>0</v>
      </c>
    </row>
    <row r="255" spans="1:22" x14ac:dyDescent="0.25">
      <c r="A255" t="s">
        <v>134</v>
      </c>
      <c r="B255" t="s">
        <v>187</v>
      </c>
      <c r="C255" t="s">
        <v>175</v>
      </c>
      <c r="D255" s="4">
        <v>1</v>
      </c>
      <c r="E255" s="4">
        <v>0</v>
      </c>
      <c r="F255" s="9">
        <v>7266.2560000000003</v>
      </c>
      <c r="G255" s="9">
        <v>1211.0426666666667</v>
      </c>
      <c r="H255" s="9">
        <v>8335.6</v>
      </c>
      <c r="I255" s="9">
        <v>0</v>
      </c>
      <c r="J255" s="9">
        <v>5101.2</v>
      </c>
      <c r="K255" s="9">
        <v>7144.7999999999993</v>
      </c>
      <c r="L255" s="9">
        <v>0</v>
      </c>
      <c r="M255" s="9">
        <v>338.47335599999997</v>
      </c>
      <c r="N255" s="9">
        <v>2152.7282399999999</v>
      </c>
      <c r="O255" s="9">
        <v>4653.5984039999985</v>
      </c>
      <c r="P255" s="9">
        <v>0</v>
      </c>
      <c r="Q255" s="9">
        <v>0</v>
      </c>
      <c r="R255" s="9">
        <v>0</v>
      </c>
      <c r="S255" s="9">
        <v>7144.7999999999993</v>
      </c>
      <c r="T255" s="9">
        <v>4653.5984039999985</v>
      </c>
      <c r="U255" s="9">
        <v>0</v>
      </c>
      <c r="V255">
        <v>0</v>
      </c>
    </row>
    <row r="256" spans="1:22" x14ac:dyDescent="0.25">
      <c r="A256" t="s">
        <v>134</v>
      </c>
      <c r="B256" t="s">
        <v>189</v>
      </c>
      <c r="C256" t="s">
        <v>175</v>
      </c>
      <c r="D256" s="4">
        <v>1</v>
      </c>
      <c r="E256" s="4">
        <v>0</v>
      </c>
      <c r="F256" s="9">
        <v>7266.2560000000003</v>
      </c>
      <c r="G256" s="9">
        <v>1211.0426666666667</v>
      </c>
      <c r="H256" s="9">
        <v>8335.6</v>
      </c>
      <c r="I256" s="9">
        <v>0</v>
      </c>
      <c r="J256" s="9">
        <v>5101.2</v>
      </c>
      <c r="K256" s="9">
        <v>7144.7999999999993</v>
      </c>
      <c r="L256" s="9">
        <v>0</v>
      </c>
      <c r="M256" s="9">
        <v>338.47335599999997</v>
      </c>
      <c r="N256" s="9">
        <v>2152.7282399999999</v>
      </c>
      <c r="O256" s="9">
        <v>4653.5984039999985</v>
      </c>
      <c r="P256" s="9">
        <v>0</v>
      </c>
      <c r="Q256" s="9">
        <v>0</v>
      </c>
      <c r="R256" s="9">
        <v>0</v>
      </c>
      <c r="S256" s="9">
        <v>7144.7999999999993</v>
      </c>
      <c r="T256" s="9">
        <v>4653.5984039999985</v>
      </c>
      <c r="U256" s="9">
        <v>0</v>
      </c>
      <c r="V256">
        <v>0</v>
      </c>
    </row>
    <row r="257" spans="1:22" x14ac:dyDescent="0.25">
      <c r="A257" t="s">
        <v>136</v>
      </c>
      <c r="B257" t="s">
        <v>173</v>
      </c>
      <c r="C257" t="s">
        <v>175</v>
      </c>
      <c r="D257" s="4">
        <v>1</v>
      </c>
      <c r="E257" s="4">
        <v>0</v>
      </c>
      <c r="F257" s="9">
        <v>1394.66</v>
      </c>
      <c r="G257" s="9">
        <v>232.44333333333333</v>
      </c>
      <c r="H257" s="9">
        <v>1757.6760600000002</v>
      </c>
      <c r="I257" s="9">
        <v>0</v>
      </c>
      <c r="J257" s="9">
        <v>5101.2</v>
      </c>
      <c r="K257" s="9">
        <v>1506.5794800000001</v>
      </c>
      <c r="L257" s="9">
        <v>0</v>
      </c>
      <c r="M257" s="9">
        <v>114.24894390000001</v>
      </c>
      <c r="N257" s="9">
        <v>160.14939872400001</v>
      </c>
      <c r="O257" s="9">
        <v>1232.1811373759999</v>
      </c>
      <c r="P257" s="9">
        <v>0</v>
      </c>
      <c r="Q257" s="9">
        <v>0</v>
      </c>
      <c r="R257" s="9">
        <v>0</v>
      </c>
      <c r="S257" s="9">
        <v>1506.5794800000001</v>
      </c>
      <c r="T257" s="9">
        <v>1232.1811373759999</v>
      </c>
      <c r="U257" s="9">
        <v>0</v>
      </c>
      <c r="V257">
        <v>0</v>
      </c>
    </row>
    <row r="258" spans="1:22" x14ac:dyDescent="0.25">
      <c r="A258" t="s">
        <v>136</v>
      </c>
      <c r="B258" t="s">
        <v>176</v>
      </c>
      <c r="C258" t="s">
        <v>175</v>
      </c>
      <c r="D258" s="4">
        <v>1</v>
      </c>
      <c r="E258" s="4">
        <v>0</v>
      </c>
      <c r="F258" s="9">
        <v>1394.66</v>
      </c>
      <c r="G258" s="9">
        <v>232.44333333333333</v>
      </c>
      <c r="H258" s="9">
        <v>1757.6760600000002</v>
      </c>
      <c r="I258" s="9">
        <v>0</v>
      </c>
      <c r="J258" s="9">
        <v>5101.2</v>
      </c>
      <c r="K258" s="9">
        <v>1506.5794800000001</v>
      </c>
      <c r="L258" s="9">
        <v>0</v>
      </c>
      <c r="M258" s="9">
        <v>114.24894390000001</v>
      </c>
      <c r="N258" s="9">
        <v>160.14939872400001</v>
      </c>
      <c r="O258" s="9">
        <v>1232.1811373759999</v>
      </c>
      <c r="P258" s="9">
        <v>0</v>
      </c>
      <c r="Q258" s="9">
        <v>0</v>
      </c>
      <c r="R258" s="9">
        <v>0</v>
      </c>
      <c r="S258" s="9">
        <v>1506.5794800000001</v>
      </c>
      <c r="T258" s="9">
        <v>1232.1811373759999</v>
      </c>
      <c r="U258" s="9">
        <v>0</v>
      </c>
      <c r="V258">
        <v>0</v>
      </c>
    </row>
    <row r="259" spans="1:22" x14ac:dyDescent="0.25">
      <c r="A259" t="s">
        <v>136</v>
      </c>
      <c r="B259" t="s">
        <v>177</v>
      </c>
      <c r="C259" t="s">
        <v>175</v>
      </c>
      <c r="D259" s="4">
        <v>1</v>
      </c>
      <c r="E259" s="4">
        <v>0</v>
      </c>
      <c r="F259" s="9">
        <v>1394.66</v>
      </c>
      <c r="G259" s="9">
        <v>232.44333333333333</v>
      </c>
      <c r="H259" s="9">
        <v>1757.6760600000002</v>
      </c>
      <c r="I259" s="9">
        <v>0</v>
      </c>
      <c r="J259" s="9">
        <v>5101.2</v>
      </c>
      <c r="K259" s="9">
        <v>1506.5794800000001</v>
      </c>
      <c r="L259" s="9">
        <v>0</v>
      </c>
      <c r="M259" s="9">
        <v>114.24894390000001</v>
      </c>
      <c r="N259" s="9">
        <v>160.14939872400001</v>
      </c>
      <c r="O259" s="9">
        <v>1232.1811373759999</v>
      </c>
      <c r="P259" s="9">
        <v>0</v>
      </c>
      <c r="Q259" s="9">
        <v>0</v>
      </c>
      <c r="R259" s="9">
        <v>0</v>
      </c>
      <c r="S259" s="9">
        <v>1506.5794800000001</v>
      </c>
      <c r="T259" s="9">
        <v>1232.1811373759999</v>
      </c>
      <c r="U259" s="9">
        <v>0</v>
      </c>
      <c r="V259">
        <v>0</v>
      </c>
    </row>
    <row r="260" spans="1:22" x14ac:dyDescent="0.25">
      <c r="A260" t="s">
        <v>136</v>
      </c>
      <c r="B260" t="s">
        <v>178</v>
      </c>
      <c r="C260" t="s">
        <v>175</v>
      </c>
      <c r="D260" s="4">
        <v>1</v>
      </c>
      <c r="E260" s="4">
        <v>0</v>
      </c>
      <c r="F260" s="9">
        <v>1464.3930000000003</v>
      </c>
      <c r="G260" s="9">
        <v>244.06550000000004</v>
      </c>
      <c r="H260" s="9">
        <v>1757.6760600000002</v>
      </c>
      <c r="I260" s="9">
        <v>0</v>
      </c>
      <c r="J260" s="9">
        <v>5101.2</v>
      </c>
      <c r="K260" s="9">
        <v>1506.5794800000001</v>
      </c>
      <c r="L260" s="9">
        <v>0</v>
      </c>
      <c r="M260" s="9">
        <v>114.24894390000001</v>
      </c>
      <c r="N260" s="9">
        <v>160.14939872400001</v>
      </c>
      <c r="O260" s="9">
        <v>1232.1811373759999</v>
      </c>
      <c r="P260" s="9">
        <v>0</v>
      </c>
      <c r="Q260" s="9">
        <v>0</v>
      </c>
      <c r="R260" s="9">
        <v>0</v>
      </c>
      <c r="S260" s="9">
        <v>1506.5794800000001</v>
      </c>
      <c r="T260" s="9">
        <v>1232.1811373759999</v>
      </c>
      <c r="U260" s="9">
        <v>0</v>
      </c>
      <c r="V260">
        <v>0</v>
      </c>
    </row>
    <row r="261" spans="1:22" x14ac:dyDescent="0.25">
      <c r="A261" t="s">
        <v>136</v>
      </c>
      <c r="B261" t="s">
        <v>179</v>
      </c>
      <c r="C261" t="s">
        <v>175</v>
      </c>
      <c r="D261" s="4">
        <v>1</v>
      </c>
      <c r="E261" s="4">
        <v>0</v>
      </c>
      <c r="F261" s="9">
        <v>1464.3930000000003</v>
      </c>
      <c r="G261" s="9">
        <v>244.06550000000004</v>
      </c>
      <c r="H261" s="9">
        <v>1757.6760600000002</v>
      </c>
      <c r="I261" s="9">
        <v>0</v>
      </c>
      <c r="J261" s="9">
        <v>5101.2</v>
      </c>
      <c r="K261" s="9">
        <v>1506.5794800000001</v>
      </c>
      <c r="L261" s="9">
        <v>0</v>
      </c>
      <c r="M261" s="9">
        <v>114.24894390000001</v>
      </c>
      <c r="N261" s="9">
        <v>160.14939872400001</v>
      </c>
      <c r="O261" s="9">
        <v>1232.1811373759999</v>
      </c>
      <c r="P261" s="9">
        <v>0</v>
      </c>
      <c r="Q261" s="9">
        <v>0</v>
      </c>
      <c r="R261" s="9">
        <v>0</v>
      </c>
      <c r="S261" s="9">
        <v>1506.5794800000001</v>
      </c>
      <c r="T261" s="9">
        <v>1232.1811373759999</v>
      </c>
      <c r="U261" s="9">
        <v>0</v>
      </c>
      <c r="V261">
        <v>0</v>
      </c>
    </row>
    <row r="262" spans="1:22" x14ac:dyDescent="0.25">
      <c r="A262" t="s">
        <v>136</v>
      </c>
      <c r="B262" t="s">
        <v>180</v>
      </c>
      <c r="C262" t="s">
        <v>175</v>
      </c>
      <c r="D262" s="4">
        <v>1</v>
      </c>
      <c r="E262" s="4">
        <v>0</v>
      </c>
      <c r="F262" s="9">
        <v>1464.3930000000003</v>
      </c>
      <c r="G262" s="9">
        <v>244.06550000000004</v>
      </c>
      <c r="H262" s="9">
        <v>1757.6760600000002</v>
      </c>
      <c r="I262" s="9">
        <v>0</v>
      </c>
      <c r="J262" s="9">
        <v>5101.2</v>
      </c>
      <c r="K262" s="9">
        <v>1506.5794800000001</v>
      </c>
      <c r="L262" s="9">
        <v>0</v>
      </c>
      <c r="M262" s="9">
        <v>114.24894390000001</v>
      </c>
      <c r="N262" s="9">
        <v>160.14939872400001</v>
      </c>
      <c r="O262" s="9">
        <v>1232.1811373759999</v>
      </c>
      <c r="P262" s="9">
        <v>0</v>
      </c>
      <c r="Q262" s="9">
        <v>0</v>
      </c>
      <c r="R262" s="9">
        <v>0</v>
      </c>
      <c r="S262" s="9">
        <v>1506.5794800000001</v>
      </c>
      <c r="T262" s="9">
        <v>1232.1811373759999</v>
      </c>
      <c r="U262" s="9">
        <v>0</v>
      </c>
      <c r="V262">
        <v>0</v>
      </c>
    </row>
    <row r="263" spans="1:22" x14ac:dyDescent="0.25">
      <c r="A263" t="s">
        <v>136</v>
      </c>
      <c r="B263" t="s">
        <v>183</v>
      </c>
      <c r="C263" t="s">
        <v>175</v>
      </c>
      <c r="D263" s="4">
        <v>1</v>
      </c>
      <c r="E263" s="4">
        <v>0</v>
      </c>
      <c r="F263" s="9">
        <v>1464.3930000000003</v>
      </c>
      <c r="G263" s="9">
        <v>244.06550000000004</v>
      </c>
      <c r="H263" s="9">
        <v>1757.6760600000002</v>
      </c>
      <c r="I263" s="9">
        <v>0</v>
      </c>
      <c r="J263" s="9">
        <v>5101.2</v>
      </c>
      <c r="K263" s="9">
        <v>1506.5794800000001</v>
      </c>
      <c r="L263" s="9">
        <v>0</v>
      </c>
      <c r="M263" s="9">
        <v>114.24894390000001</v>
      </c>
      <c r="N263" s="9">
        <v>160.14939872400001</v>
      </c>
      <c r="O263" s="9">
        <v>1232.1811373759999</v>
      </c>
      <c r="P263" s="9">
        <v>0</v>
      </c>
      <c r="Q263" s="9">
        <v>0</v>
      </c>
      <c r="R263" s="9">
        <v>0</v>
      </c>
      <c r="S263" s="9">
        <v>1506.5794800000001</v>
      </c>
      <c r="T263" s="9">
        <v>1232.1811373759999</v>
      </c>
      <c r="U263" s="9">
        <v>0</v>
      </c>
      <c r="V263">
        <v>0</v>
      </c>
    </row>
    <row r="264" spans="1:22" x14ac:dyDescent="0.25">
      <c r="A264" t="s">
        <v>136</v>
      </c>
      <c r="B264" t="s">
        <v>184</v>
      </c>
      <c r="C264" t="s">
        <v>175</v>
      </c>
      <c r="D264" s="4">
        <v>1</v>
      </c>
      <c r="E264" s="4">
        <v>0</v>
      </c>
      <c r="F264" s="9">
        <v>1464.3930000000003</v>
      </c>
      <c r="G264" s="9">
        <v>244.06550000000004</v>
      </c>
      <c r="H264" s="9">
        <v>1757.6760600000002</v>
      </c>
      <c r="I264" s="9">
        <v>0</v>
      </c>
      <c r="J264" s="9">
        <v>5101.2</v>
      </c>
      <c r="K264" s="9">
        <v>1506.5794800000001</v>
      </c>
      <c r="L264" s="9">
        <v>0</v>
      </c>
      <c r="M264" s="9">
        <v>114.24894390000001</v>
      </c>
      <c r="N264" s="9">
        <v>160.14939872400001</v>
      </c>
      <c r="O264" s="9">
        <v>1232.1811373759999</v>
      </c>
      <c r="P264" s="9">
        <v>0</v>
      </c>
      <c r="Q264" s="9">
        <v>0</v>
      </c>
      <c r="R264" s="9">
        <v>0</v>
      </c>
      <c r="S264" s="9">
        <v>1506.5794800000001</v>
      </c>
      <c r="T264" s="9">
        <v>1232.1811373759999</v>
      </c>
      <c r="U264" s="9">
        <v>0</v>
      </c>
      <c r="V264">
        <v>0</v>
      </c>
    </row>
    <row r="265" spans="1:22" x14ac:dyDescent="0.25">
      <c r="A265" t="s">
        <v>136</v>
      </c>
      <c r="B265" t="s">
        <v>185</v>
      </c>
      <c r="C265" t="s">
        <v>175</v>
      </c>
      <c r="D265" s="4">
        <v>1</v>
      </c>
      <c r="E265" s="4">
        <v>0</v>
      </c>
      <c r="F265" s="9">
        <v>1464.3930000000003</v>
      </c>
      <c r="G265" s="9">
        <v>244.06550000000004</v>
      </c>
      <c r="H265" s="9">
        <v>1757.6760600000002</v>
      </c>
      <c r="I265" s="9">
        <v>0</v>
      </c>
      <c r="J265" s="9">
        <v>5101.2</v>
      </c>
      <c r="K265" s="9">
        <v>1506.5794800000001</v>
      </c>
      <c r="L265" s="9">
        <v>0</v>
      </c>
      <c r="M265" s="9">
        <v>114.24894390000001</v>
      </c>
      <c r="N265" s="9">
        <v>160.14939872400001</v>
      </c>
      <c r="O265" s="9">
        <v>1232.1811373759999</v>
      </c>
      <c r="P265" s="9">
        <v>0</v>
      </c>
      <c r="Q265" s="9">
        <v>0</v>
      </c>
      <c r="R265" s="9">
        <v>0</v>
      </c>
      <c r="S265" s="9">
        <v>1506.5794800000001</v>
      </c>
      <c r="T265" s="9">
        <v>1232.1811373759999</v>
      </c>
      <c r="U265" s="9">
        <v>0</v>
      </c>
      <c r="V265">
        <v>0</v>
      </c>
    </row>
    <row r="266" spans="1:22" x14ac:dyDescent="0.25">
      <c r="A266" t="s">
        <v>136</v>
      </c>
      <c r="B266" t="s">
        <v>186</v>
      </c>
      <c r="C266" t="s">
        <v>175</v>
      </c>
      <c r="D266" s="4">
        <v>1</v>
      </c>
      <c r="E266" s="4">
        <v>0</v>
      </c>
      <c r="F266" s="9">
        <v>1464.3930000000003</v>
      </c>
      <c r="G266" s="9">
        <v>244.06550000000004</v>
      </c>
      <c r="H266" s="9">
        <v>1757.6760600000002</v>
      </c>
      <c r="I266" s="9">
        <v>0</v>
      </c>
      <c r="J266" s="9">
        <v>5101.2</v>
      </c>
      <c r="K266" s="9">
        <v>1506.5794800000001</v>
      </c>
      <c r="L266" s="9">
        <v>0</v>
      </c>
      <c r="M266" s="9">
        <v>114.24894390000001</v>
      </c>
      <c r="N266" s="9">
        <v>160.14939872400001</v>
      </c>
      <c r="O266" s="9">
        <v>1232.1811373759999</v>
      </c>
      <c r="P266" s="9">
        <v>0</v>
      </c>
      <c r="Q266" s="9">
        <v>0</v>
      </c>
      <c r="R266" s="9">
        <v>0</v>
      </c>
      <c r="S266" s="9">
        <v>1506.5794800000001</v>
      </c>
      <c r="T266" s="9">
        <v>1232.1811373759999</v>
      </c>
      <c r="U266" s="9">
        <v>0</v>
      </c>
      <c r="V266">
        <v>0</v>
      </c>
    </row>
    <row r="267" spans="1:22" x14ac:dyDescent="0.25">
      <c r="A267" t="s">
        <v>136</v>
      </c>
      <c r="B267" t="s">
        <v>187</v>
      </c>
      <c r="C267" t="s">
        <v>175</v>
      </c>
      <c r="D267" s="4">
        <v>1</v>
      </c>
      <c r="E267" s="4">
        <v>0</v>
      </c>
      <c r="F267" s="9">
        <v>1464.3930000000003</v>
      </c>
      <c r="G267" s="9">
        <v>244.06550000000004</v>
      </c>
      <c r="H267" s="9">
        <v>1757.6760600000002</v>
      </c>
      <c r="I267" s="9">
        <v>0</v>
      </c>
      <c r="J267" s="9">
        <v>5101.2</v>
      </c>
      <c r="K267" s="9">
        <v>1506.5794800000001</v>
      </c>
      <c r="L267" s="9">
        <v>0</v>
      </c>
      <c r="M267" s="9">
        <v>114.24894390000001</v>
      </c>
      <c r="N267" s="9">
        <v>160.14939872400001</v>
      </c>
      <c r="O267" s="9">
        <v>1232.1811373759999</v>
      </c>
      <c r="P267" s="9">
        <v>0</v>
      </c>
      <c r="Q267" s="9">
        <v>0</v>
      </c>
      <c r="R267" s="9">
        <v>0</v>
      </c>
      <c r="S267" s="9">
        <v>1506.5794800000001</v>
      </c>
      <c r="T267" s="9">
        <v>1232.1811373759999</v>
      </c>
      <c r="U267" s="9">
        <v>0</v>
      </c>
      <c r="V267">
        <v>0</v>
      </c>
    </row>
    <row r="268" spans="1:22" x14ac:dyDescent="0.25">
      <c r="A268" t="s">
        <v>136</v>
      </c>
      <c r="B268" t="s">
        <v>189</v>
      </c>
      <c r="C268" t="s">
        <v>175</v>
      </c>
      <c r="D268" s="4">
        <v>1</v>
      </c>
      <c r="E268" s="4">
        <v>0</v>
      </c>
      <c r="F268" s="9">
        <v>1464.3930000000003</v>
      </c>
      <c r="G268" s="9">
        <v>244.06550000000004</v>
      </c>
      <c r="H268" s="9">
        <v>1757.6760600000002</v>
      </c>
      <c r="I268" s="9">
        <v>0</v>
      </c>
      <c r="J268" s="9">
        <v>5101.2</v>
      </c>
      <c r="K268" s="9">
        <v>1506.5794800000001</v>
      </c>
      <c r="L268" s="9">
        <v>0</v>
      </c>
      <c r="M268" s="9">
        <v>114.24894390000001</v>
      </c>
      <c r="N268" s="9">
        <v>160.14939872400001</v>
      </c>
      <c r="O268" s="9">
        <v>1232.1811373759999</v>
      </c>
      <c r="P268" s="9">
        <v>0</v>
      </c>
      <c r="Q268" s="9">
        <v>0</v>
      </c>
      <c r="R268" s="9">
        <v>0</v>
      </c>
      <c r="S268" s="9">
        <v>1506.5794800000001</v>
      </c>
      <c r="T268" s="9">
        <v>1232.1811373759999</v>
      </c>
      <c r="U268" s="9">
        <v>0</v>
      </c>
      <c r="V268">
        <v>0</v>
      </c>
    </row>
    <row r="269" spans="1:22" x14ac:dyDescent="0.25">
      <c r="A269" t="s">
        <v>138</v>
      </c>
      <c r="B269" t="s">
        <v>173</v>
      </c>
      <c r="C269" t="s">
        <v>175</v>
      </c>
      <c r="D269" s="4">
        <v>1</v>
      </c>
      <c r="E269" s="4">
        <v>0</v>
      </c>
      <c r="F269" s="9">
        <v>2579.1624999999999</v>
      </c>
      <c r="G269" s="9">
        <v>429.86041666666665</v>
      </c>
      <c r="H269" s="9">
        <v>2947.1360625000002</v>
      </c>
      <c r="I269" s="9">
        <v>0</v>
      </c>
      <c r="J269" s="9">
        <v>5101.2</v>
      </c>
      <c r="K269" s="9">
        <v>2526.1166250000001</v>
      </c>
      <c r="L269" s="9">
        <v>0</v>
      </c>
      <c r="M269" s="9">
        <v>191.56384406250001</v>
      </c>
      <c r="N269" s="9">
        <v>459.24800242499998</v>
      </c>
      <c r="O269" s="9">
        <v>1875.3047785125004</v>
      </c>
      <c r="P269" s="9">
        <v>0</v>
      </c>
      <c r="Q269" s="9">
        <v>0</v>
      </c>
      <c r="R269" s="9">
        <v>0</v>
      </c>
      <c r="S269" s="9">
        <v>2526.1166250000001</v>
      </c>
      <c r="T269" s="9">
        <v>1875.3047785125004</v>
      </c>
      <c r="U269" s="9">
        <v>0</v>
      </c>
      <c r="V269">
        <v>0</v>
      </c>
    </row>
    <row r="270" spans="1:22" x14ac:dyDescent="0.25">
      <c r="A270" t="s">
        <v>138</v>
      </c>
      <c r="B270" t="s">
        <v>176</v>
      </c>
      <c r="C270" t="s">
        <v>175</v>
      </c>
      <c r="D270" s="4">
        <v>1</v>
      </c>
      <c r="E270" s="4">
        <v>0</v>
      </c>
      <c r="F270" s="9">
        <v>2579.1624999999999</v>
      </c>
      <c r="G270" s="9">
        <v>429.86041666666665</v>
      </c>
      <c r="H270" s="9">
        <v>2947.1360625000002</v>
      </c>
      <c r="I270" s="9">
        <v>0</v>
      </c>
      <c r="J270" s="9">
        <v>5101.2</v>
      </c>
      <c r="K270" s="9">
        <v>2526.1166250000001</v>
      </c>
      <c r="L270" s="9">
        <v>0</v>
      </c>
      <c r="M270" s="9">
        <v>191.56384406250001</v>
      </c>
      <c r="N270" s="9">
        <v>459.24800242499998</v>
      </c>
      <c r="O270" s="9">
        <v>1875.3047785125004</v>
      </c>
      <c r="P270" s="9">
        <v>0</v>
      </c>
      <c r="Q270" s="9">
        <v>0</v>
      </c>
      <c r="R270" s="9">
        <v>0</v>
      </c>
      <c r="S270" s="9">
        <v>2526.1166250000001</v>
      </c>
      <c r="T270" s="9">
        <v>1875.3047785125004</v>
      </c>
      <c r="U270" s="9">
        <v>0</v>
      </c>
      <c r="V270">
        <v>0</v>
      </c>
    </row>
    <row r="271" spans="1:22" x14ac:dyDescent="0.25">
      <c r="A271" t="s">
        <v>138</v>
      </c>
      <c r="B271" t="s">
        <v>177</v>
      </c>
      <c r="C271" t="s">
        <v>175</v>
      </c>
      <c r="D271" s="4">
        <v>1</v>
      </c>
      <c r="E271" s="4">
        <v>0</v>
      </c>
      <c r="F271" s="9">
        <v>2579.1624999999999</v>
      </c>
      <c r="G271" s="9">
        <v>429.86041666666665</v>
      </c>
      <c r="H271" s="9">
        <v>2947.1360625000002</v>
      </c>
      <c r="I271" s="9">
        <v>0</v>
      </c>
      <c r="J271" s="9">
        <v>5101.2</v>
      </c>
      <c r="K271" s="9">
        <v>2526.1166250000001</v>
      </c>
      <c r="L271" s="9">
        <v>0</v>
      </c>
      <c r="M271" s="9">
        <v>191.56384406250001</v>
      </c>
      <c r="N271" s="9">
        <v>459.24800242499998</v>
      </c>
      <c r="O271" s="9">
        <v>1875.3047785125004</v>
      </c>
      <c r="P271" s="9">
        <v>0</v>
      </c>
      <c r="Q271" s="9">
        <v>0</v>
      </c>
      <c r="R271" s="9">
        <v>0</v>
      </c>
      <c r="S271" s="9">
        <v>2526.1166250000001</v>
      </c>
      <c r="T271" s="9">
        <v>1875.3047785125004</v>
      </c>
      <c r="U271" s="9">
        <v>0</v>
      </c>
      <c r="V271">
        <v>0</v>
      </c>
    </row>
    <row r="272" spans="1:22" x14ac:dyDescent="0.25">
      <c r="A272" t="s">
        <v>138</v>
      </c>
      <c r="B272" t="s">
        <v>178</v>
      </c>
      <c r="C272" t="s">
        <v>175</v>
      </c>
      <c r="D272" s="4">
        <v>1</v>
      </c>
      <c r="E272" s="4">
        <v>0</v>
      </c>
      <c r="F272" s="9">
        <v>2579.1624999999999</v>
      </c>
      <c r="G272" s="9">
        <v>429.86041666666665</v>
      </c>
      <c r="H272" s="9">
        <v>2947.1360625000002</v>
      </c>
      <c r="I272" s="9">
        <v>0</v>
      </c>
      <c r="J272" s="9">
        <v>5101.2</v>
      </c>
      <c r="K272" s="9">
        <v>2526.1166250000001</v>
      </c>
      <c r="L272" s="9">
        <v>0</v>
      </c>
      <c r="M272" s="9">
        <v>191.56384406250001</v>
      </c>
      <c r="N272" s="9">
        <v>459.24800242499998</v>
      </c>
      <c r="O272" s="9">
        <v>1875.3047785125004</v>
      </c>
      <c r="P272" s="9">
        <v>0</v>
      </c>
      <c r="Q272" s="9">
        <v>0</v>
      </c>
      <c r="R272" s="9">
        <v>0</v>
      </c>
      <c r="S272" s="9">
        <v>2526.1166250000001</v>
      </c>
      <c r="T272" s="9">
        <v>1875.3047785125004</v>
      </c>
      <c r="U272" s="9">
        <v>0</v>
      </c>
      <c r="V272">
        <v>0</v>
      </c>
    </row>
    <row r="273" spans="1:22" x14ac:dyDescent="0.25">
      <c r="A273" t="s">
        <v>138</v>
      </c>
      <c r="B273" t="s">
        <v>179</v>
      </c>
      <c r="C273" t="s">
        <v>175</v>
      </c>
      <c r="D273" s="4">
        <v>1</v>
      </c>
      <c r="E273" s="4">
        <v>0</v>
      </c>
      <c r="F273" s="9">
        <v>2579.1624999999999</v>
      </c>
      <c r="G273" s="9">
        <v>429.86041666666665</v>
      </c>
      <c r="H273" s="9">
        <v>2947.1360625000002</v>
      </c>
      <c r="I273" s="9">
        <v>0</v>
      </c>
      <c r="J273" s="9">
        <v>5101.2</v>
      </c>
      <c r="K273" s="9">
        <v>2526.1166250000001</v>
      </c>
      <c r="L273" s="9">
        <v>0</v>
      </c>
      <c r="M273" s="9">
        <v>191.56384406250001</v>
      </c>
      <c r="N273" s="9">
        <v>459.24800242499998</v>
      </c>
      <c r="O273" s="9">
        <v>1875.3047785125004</v>
      </c>
      <c r="P273" s="9">
        <v>0</v>
      </c>
      <c r="Q273" s="9">
        <v>0</v>
      </c>
      <c r="R273" s="9">
        <v>0</v>
      </c>
      <c r="S273" s="9">
        <v>2526.1166250000001</v>
      </c>
      <c r="T273" s="9">
        <v>1875.3047785125004</v>
      </c>
      <c r="U273" s="9">
        <v>0</v>
      </c>
      <c r="V273">
        <v>0</v>
      </c>
    </row>
    <row r="274" spans="1:22" x14ac:dyDescent="0.25">
      <c r="A274" t="s">
        <v>138</v>
      </c>
      <c r="B274" t="s">
        <v>180</v>
      </c>
      <c r="C274" t="s">
        <v>175</v>
      </c>
      <c r="D274" s="4">
        <v>1</v>
      </c>
      <c r="E274" s="4">
        <v>0</v>
      </c>
      <c r="F274" s="9">
        <v>2579.1624999999999</v>
      </c>
      <c r="G274" s="9">
        <v>429.86041666666665</v>
      </c>
      <c r="H274" s="9">
        <v>2947.1360625000002</v>
      </c>
      <c r="I274" s="9">
        <v>0</v>
      </c>
      <c r="J274" s="9">
        <v>5101.2</v>
      </c>
      <c r="K274" s="9">
        <v>2526.1166250000001</v>
      </c>
      <c r="L274" s="9">
        <v>0</v>
      </c>
      <c r="M274" s="9">
        <v>191.56384406250001</v>
      </c>
      <c r="N274" s="9">
        <v>459.24800242499998</v>
      </c>
      <c r="O274" s="9">
        <v>1875.3047785125004</v>
      </c>
      <c r="P274" s="9">
        <v>0</v>
      </c>
      <c r="Q274" s="9">
        <v>0</v>
      </c>
      <c r="R274" s="9">
        <v>0</v>
      </c>
      <c r="S274" s="9">
        <v>2526.1166250000001</v>
      </c>
      <c r="T274" s="9">
        <v>1875.3047785125004</v>
      </c>
      <c r="U274" s="9">
        <v>0</v>
      </c>
      <c r="V274">
        <v>0</v>
      </c>
    </row>
    <row r="275" spans="1:22" x14ac:dyDescent="0.25">
      <c r="A275" t="s">
        <v>138</v>
      </c>
      <c r="B275" t="s">
        <v>183</v>
      </c>
      <c r="C275" t="s">
        <v>175</v>
      </c>
      <c r="D275" s="4">
        <v>1</v>
      </c>
      <c r="E275" s="4">
        <v>0</v>
      </c>
      <c r="F275" s="9">
        <v>2579.1624999999999</v>
      </c>
      <c r="G275" s="9">
        <v>429.86041666666665</v>
      </c>
      <c r="H275" s="9">
        <v>2947.1360625000002</v>
      </c>
      <c r="I275" s="9">
        <v>0</v>
      </c>
      <c r="J275" s="9">
        <v>5101.2</v>
      </c>
      <c r="K275" s="9">
        <v>2526.1166250000001</v>
      </c>
      <c r="L275" s="9">
        <v>0</v>
      </c>
      <c r="M275" s="9">
        <v>191.56384406250001</v>
      </c>
      <c r="N275" s="9">
        <v>459.24800242499998</v>
      </c>
      <c r="O275" s="9">
        <v>1875.3047785125004</v>
      </c>
      <c r="P275" s="9">
        <v>0</v>
      </c>
      <c r="Q275" s="9">
        <v>0</v>
      </c>
      <c r="R275" s="9">
        <v>0</v>
      </c>
      <c r="S275" s="9">
        <v>2526.1166250000001</v>
      </c>
      <c r="T275" s="9">
        <v>1875.3047785125004</v>
      </c>
      <c r="U275" s="9">
        <v>0</v>
      </c>
      <c r="V275">
        <v>0</v>
      </c>
    </row>
    <row r="276" spans="1:22" x14ac:dyDescent="0.25">
      <c r="A276" t="s">
        <v>138</v>
      </c>
      <c r="B276" t="s">
        <v>184</v>
      </c>
      <c r="C276" t="s">
        <v>175</v>
      </c>
      <c r="D276" s="4">
        <v>1</v>
      </c>
      <c r="E276" s="4">
        <v>0</v>
      </c>
      <c r="F276" s="9">
        <v>2579.1624999999999</v>
      </c>
      <c r="G276" s="9">
        <v>429.86041666666665</v>
      </c>
      <c r="H276" s="9">
        <v>2947.1360625000002</v>
      </c>
      <c r="I276" s="9">
        <v>0</v>
      </c>
      <c r="J276" s="9">
        <v>5101.2</v>
      </c>
      <c r="K276" s="9">
        <v>2526.1166250000001</v>
      </c>
      <c r="L276" s="9">
        <v>0</v>
      </c>
      <c r="M276" s="9">
        <v>191.56384406250001</v>
      </c>
      <c r="N276" s="9">
        <v>459.24800242499998</v>
      </c>
      <c r="O276" s="9">
        <v>1875.3047785125004</v>
      </c>
      <c r="P276" s="9">
        <v>0</v>
      </c>
      <c r="Q276" s="9">
        <v>0</v>
      </c>
      <c r="R276" s="9">
        <v>0</v>
      </c>
      <c r="S276" s="9">
        <v>2526.1166250000001</v>
      </c>
      <c r="T276" s="9">
        <v>1875.3047785125004</v>
      </c>
      <c r="U276" s="9">
        <v>0</v>
      </c>
      <c r="V276">
        <v>0</v>
      </c>
    </row>
    <row r="277" spans="1:22" x14ac:dyDescent="0.25">
      <c r="A277" t="s">
        <v>138</v>
      </c>
      <c r="B277" t="s">
        <v>185</v>
      </c>
      <c r="C277" t="s">
        <v>175</v>
      </c>
      <c r="D277" s="4">
        <v>1</v>
      </c>
      <c r="E277" s="4">
        <v>0</v>
      </c>
      <c r="F277" s="9">
        <v>2579.1624999999999</v>
      </c>
      <c r="G277" s="9">
        <v>429.86041666666665</v>
      </c>
      <c r="H277" s="9">
        <v>2947.1360625000002</v>
      </c>
      <c r="I277" s="9">
        <v>0</v>
      </c>
      <c r="J277" s="9">
        <v>5101.2</v>
      </c>
      <c r="K277" s="9">
        <v>2526.1166250000001</v>
      </c>
      <c r="L277" s="9">
        <v>0</v>
      </c>
      <c r="M277" s="9">
        <v>191.56384406250001</v>
      </c>
      <c r="N277" s="9">
        <v>459.24800242499998</v>
      </c>
      <c r="O277" s="9">
        <v>1875.3047785125004</v>
      </c>
      <c r="P277" s="9">
        <v>0</v>
      </c>
      <c r="Q277" s="9">
        <v>0</v>
      </c>
      <c r="R277" s="9">
        <v>0</v>
      </c>
      <c r="S277" s="9">
        <v>2526.1166250000001</v>
      </c>
      <c r="T277" s="9">
        <v>1875.3047785125004</v>
      </c>
      <c r="U277" s="9">
        <v>0</v>
      </c>
      <c r="V277">
        <v>0</v>
      </c>
    </row>
    <row r="278" spans="1:22" x14ac:dyDescent="0.25">
      <c r="A278" t="s">
        <v>138</v>
      </c>
      <c r="B278" t="s">
        <v>186</v>
      </c>
      <c r="C278" t="s">
        <v>175</v>
      </c>
      <c r="D278" s="4">
        <v>1</v>
      </c>
      <c r="E278" s="4">
        <v>0</v>
      </c>
      <c r="F278" s="9">
        <v>2579.1624999999999</v>
      </c>
      <c r="G278" s="9">
        <v>429.86041666666665</v>
      </c>
      <c r="H278" s="9">
        <v>2947.1360625000002</v>
      </c>
      <c r="I278" s="9">
        <v>0</v>
      </c>
      <c r="J278" s="9">
        <v>5101.2</v>
      </c>
      <c r="K278" s="9">
        <v>2526.1166250000001</v>
      </c>
      <c r="L278" s="9">
        <v>0</v>
      </c>
      <c r="M278" s="9">
        <v>191.56384406250001</v>
      </c>
      <c r="N278" s="9">
        <v>459.24800242499998</v>
      </c>
      <c r="O278" s="9">
        <v>1875.3047785125004</v>
      </c>
      <c r="P278" s="9">
        <v>0</v>
      </c>
      <c r="Q278" s="9">
        <v>0</v>
      </c>
      <c r="R278" s="9">
        <v>0</v>
      </c>
      <c r="S278" s="9">
        <v>2526.1166250000001</v>
      </c>
      <c r="T278" s="9">
        <v>1875.3047785125004</v>
      </c>
      <c r="U278" s="9">
        <v>0</v>
      </c>
      <c r="V278">
        <v>0</v>
      </c>
    </row>
    <row r="279" spans="1:22" x14ac:dyDescent="0.25">
      <c r="A279" t="s">
        <v>138</v>
      </c>
      <c r="B279" t="s">
        <v>187</v>
      </c>
      <c r="C279" t="s">
        <v>175</v>
      </c>
      <c r="D279" s="4">
        <v>1</v>
      </c>
      <c r="E279" s="4">
        <v>0</v>
      </c>
      <c r="F279" s="9">
        <v>2579.1624999999999</v>
      </c>
      <c r="G279" s="9">
        <v>429.86041666666665</v>
      </c>
      <c r="H279" s="9">
        <v>2947.1360625000002</v>
      </c>
      <c r="I279" s="9">
        <v>0</v>
      </c>
      <c r="J279" s="9">
        <v>5101.2</v>
      </c>
      <c r="K279" s="9">
        <v>2526.1166250000001</v>
      </c>
      <c r="L279" s="9">
        <v>0</v>
      </c>
      <c r="M279" s="9">
        <v>191.56384406250001</v>
      </c>
      <c r="N279" s="9">
        <v>459.24800242499998</v>
      </c>
      <c r="O279" s="9">
        <v>1875.3047785125004</v>
      </c>
      <c r="P279" s="9">
        <v>0</v>
      </c>
      <c r="Q279" s="9">
        <v>0</v>
      </c>
      <c r="R279" s="9">
        <v>0</v>
      </c>
      <c r="S279" s="9">
        <v>2526.1166250000001</v>
      </c>
      <c r="T279" s="9">
        <v>1875.3047785125004</v>
      </c>
      <c r="U279" s="9">
        <v>0</v>
      </c>
      <c r="V279">
        <v>0</v>
      </c>
    </row>
    <row r="280" spans="1:22" x14ac:dyDescent="0.25">
      <c r="A280" t="s">
        <v>138</v>
      </c>
      <c r="B280" t="s">
        <v>189</v>
      </c>
      <c r="C280" t="s">
        <v>175</v>
      </c>
      <c r="D280" s="4">
        <v>1</v>
      </c>
      <c r="E280" s="4">
        <v>0</v>
      </c>
      <c r="F280" s="9">
        <v>2579.1624999999999</v>
      </c>
      <c r="G280" s="9">
        <v>429.86041666666665</v>
      </c>
      <c r="H280" s="9">
        <v>2947.1360625000002</v>
      </c>
      <c r="I280" s="9">
        <v>0</v>
      </c>
      <c r="J280" s="9">
        <v>5101.2</v>
      </c>
      <c r="K280" s="9">
        <v>2526.1166250000001</v>
      </c>
      <c r="L280" s="9">
        <v>0</v>
      </c>
      <c r="M280" s="9">
        <v>191.56384406250001</v>
      </c>
      <c r="N280" s="9">
        <v>459.24800242499998</v>
      </c>
      <c r="O280" s="9">
        <v>1875.3047785125004</v>
      </c>
      <c r="P280" s="9">
        <v>0</v>
      </c>
      <c r="Q280" s="9">
        <v>0</v>
      </c>
      <c r="R280" s="9">
        <v>0</v>
      </c>
      <c r="S280" s="9">
        <v>2526.1166250000001</v>
      </c>
      <c r="T280" s="9">
        <v>1875.3047785125004</v>
      </c>
      <c r="U280" s="9">
        <v>0</v>
      </c>
      <c r="V280">
        <v>0</v>
      </c>
    </row>
    <row r="281" spans="1:22" x14ac:dyDescent="0.25">
      <c r="A281" t="s">
        <v>140</v>
      </c>
      <c r="B281" t="s">
        <v>173</v>
      </c>
      <c r="C281" t="s">
        <v>175</v>
      </c>
      <c r="D281" s="4">
        <v>1</v>
      </c>
      <c r="E281" s="4">
        <v>0</v>
      </c>
      <c r="F281" s="9">
        <v>1546.5889999999997</v>
      </c>
      <c r="G281" s="9">
        <v>257.76483333333329</v>
      </c>
      <c r="H281" s="9">
        <v>1831.8257999999998</v>
      </c>
      <c r="I281" s="9">
        <v>0</v>
      </c>
      <c r="J281" s="9">
        <v>5101.2</v>
      </c>
      <c r="K281" s="9">
        <v>1570.1364000000001</v>
      </c>
      <c r="L281" s="9">
        <v>0</v>
      </c>
      <c r="M281" s="9">
        <v>119.06867700000001</v>
      </c>
      <c r="N281" s="9">
        <v>75.837588120000007</v>
      </c>
      <c r="O281" s="9">
        <v>1375.2301348800002</v>
      </c>
      <c r="P281" s="9">
        <v>0</v>
      </c>
      <c r="Q281" s="9">
        <v>0</v>
      </c>
      <c r="R281" s="9">
        <v>0</v>
      </c>
      <c r="S281" s="9">
        <v>1570.1364000000001</v>
      </c>
      <c r="T281" s="9">
        <v>1375.2301348800002</v>
      </c>
      <c r="U281" s="9">
        <v>0</v>
      </c>
      <c r="V281">
        <v>0</v>
      </c>
    </row>
    <row r="282" spans="1:22" x14ac:dyDescent="0.25">
      <c r="A282" t="s">
        <v>140</v>
      </c>
      <c r="B282" t="s">
        <v>176</v>
      </c>
      <c r="C282" t="s">
        <v>175</v>
      </c>
      <c r="D282" s="4">
        <v>1</v>
      </c>
      <c r="E282" s="4">
        <v>0</v>
      </c>
      <c r="F282" s="9">
        <v>1546.5889999999997</v>
      </c>
      <c r="G282" s="9">
        <v>257.76483333333329</v>
      </c>
      <c r="H282" s="9">
        <v>1831.8257999999998</v>
      </c>
      <c r="I282" s="9">
        <v>0</v>
      </c>
      <c r="J282" s="9">
        <v>5101.2</v>
      </c>
      <c r="K282" s="9">
        <v>1570.1364000000001</v>
      </c>
      <c r="L282" s="9">
        <v>0</v>
      </c>
      <c r="M282" s="9">
        <v>119.06867700000001</v>
      </c>
      <c r="N282" s="9">
        <v>75.837588120000007</v>
      </c>
      <c r="O282" s="9">
        <v>1375.2301348800002</v>
      </c>
      <c r="P282" s="9">
        <v>0</v>
      </c>
      <c r="Q282" s="9">
        <v>0</v>
      </c>
      <c r="R282" s="9">
        <v>0</v>
      </c>
      <c r="S282" s="9">
        <v>1570.1364000000001</v>
      </c>
      <c r="T282" s="9">
        <v>1375.2301348800002</v>
      </c>
      <c r="U282" s="9">
        <v>0</v>
      </c>
      <c r="V282">
        <v>0</v>
      </c>
    </row>
    <row r="283" spans="1:22" x14ac:dyDescent="0.25">
      <c r="A283" t="s">
        <v>140</v>
      </c>
      <c r="B283" t="s">
        <v>177</v>
      </c>
      <c r="C283" t="s">
        <v>175</v>
      </c>
      <c r="D283" s="4">
        <v>1</v>
      </c>
      <c r="E283" s="4">
        <v>0</v>
      </c>
      <c r="F283" s="9">
        <v>1546.5889999999997</v>
      </c>
      <c r="G283" s="9">
        <v>257.76483333333329</v>
      </c>
      <c r="H283" s="9">
        <v>1831.8257999999998</v>
      </c>
      <c r="I283" s="9">
        <v>0</v>
      </c>
      <c r="J283" s="9">
        <v>5101.2</v>
      </c>
      <c r="K283" s="9">
        <v>1570.1364000000001</v>
      </c>
      <c r="L283" s="9">
        <v>0</v>
      </c>
      <c r="M283" s="9">
        <v>119.06867700000001</v>
      </c>
      <c r="N283" s="9">
        <v>75.837588120000007</v>
      </c>
      <c r="O283" s="9">
        <v>1375.2301348800002</v>
      </c>
      <c r="P283" s="9">
        <v>0</v>
      </c>
      <c r="Q283" s="9">
        <v>0</v>
      </c>
      <c r="R283" s="9">
        <v>0</v>
      </c>
      <c r="S283" s="9">
        <v>1570.1364000000001</v>
      </c>
      <c r="T283" s="9">
        <v>1375.2301348800002</v>
      </c>
      <c r="U283" s="9">
        <v>0</v>
      </c>
      <c r="V283">
        <v>0</v>
      </c>
    </row>
    <row r="284" spans="1:22" x14ac:dyDescent="0.25">
      <c r="A284" t="s">
        <v>140</v>
      </c>
      <c r="B284" t="s">
        <v>178</v>
      </c>
      <c r="C284" t="s">
        <v>175</v>
      </c>
      <c r="D284" s="4">
        <v>1</v>
      </c>
      <c r="E284" s="4">
        <v>0</v>
      </c>
      <c r="F284" s="9">
        <v>1546.5889999999997</v>
      </c>
      <c r="G284" s="9">
        <v>257.76483333333329</v>
      </c>
      <c r="H284" s="9">
        <v>1831.8257999999998</v>
      </c>
      <c r="I284" s="9">
        <v>0</v>
      </c>
      <c r="J284" s="9">
        <v>5101.2</v>
      </c>
      <c r="K284" s="9">
        <v>1570.1364000000001</v>
      </c>
      <c r="L284" s="9">
        <v>0</v>
      </c>
      <c r="M284" s="9">
        <v>119.06867700000001</v>
      </c>
      <c r="N284" s="9">
        <v>75.837588120000007</v>
      </c>
      <c r="O284" s="9">
        <v>1375.2301348800002</v>
      </c>
      <c r="P284" s="9">
        <v>0</v>
      </c>
      <c r="Q284" s="9">
        <v>0</v>
      </c>
      <c r="R284" s="9">
        <v>0</v>
      </c>
      <c r="S284" s="9">
        <v>1570.1364000000001</v>
      </c>
      <c r="T284" s="9">
        <v>1375.2301348800002</v>
      </c>
      <c r="U284" s="9">
        <v>0</v>
      </c>
      <c r="V284">
        <v>0</v>
      </c>
    </row>
    <row r="285" spans="1:22" x14ac:dyDescent="0.25">
      <c r="A285" t="s">
        <v>140</v>
      </c>
      <c r="B285" t="s">
        <v>179</v>
      </c>
      <c r="C285" t="s">
        <v>175</v>
      </c>
      <c r="D285" s="4">
        <v>1</v>
      </c>
      <c r="E285" s="4">
        <v>0</v>
      </c>
      <c r="F285" s="9">
        <v>1546.5889999999997</v>
      </c>
      <c r="G285" s="9">
        <v>257.76483333333329</v>
      </c>
      <c r="H285" s="9">
        <v>1911.4703999999999</v>
      </c>
      <c r="I285" s="9">
        <v>0</v>
      </c>
      <c r="J285" s="9">
        <v>5101.2</v>
      </c>
      <c r="K285" s="9">
        <v>1638.4032</v>
      </c>
      <c r="L285" s="9">
        <v>0</v>
      </c>
      <c r="M285" s="9">
        <v>124.24557599999999</v>
      </c>
      <c r="N285" s="9">
        <v>79.13487456</v>
      </c>
      <c r="O285" s="9">
        <v>1435.0227494399999</v>
      </c>
      <c r="P285" s="9">
        <v>0</v>
      </c>
      <c r="Q285" s="9">
        <v>0</v>
      </c>
      <c r="R285" s="9">
        <v>0</v>
      </c>
      <c r="S285" s="9">
        <v>1638.4032</v>
      </c>
      <c r="T285" s="9">
        <v>1435.0227494399999</v>
      </c>
      <c r="U285" s="9">
        <v>0</v>
      </c>
      <c r="V285">
        <v>0</v>
      </c>
    </row>
    <row r="286" spans="1:22" x14ac:dyDescent="0.25">
      <c r="A286" t="s">
        <v>140</v>
      </c>
      <c r="B286" t="s">
        <v>180</v>
      </c>
      <c r="C286" t="s">
        <v>175</v>
      </c>
      <c r="D286" s="4">
        <v>1</v>
      </c>
      <c r="E286" s="4">
        <v>0</v>
      </c>
      <c r="F286" s="9">
        <v>1546.5889999999997</v>
      </c>
      <c r="G286" s="9">
        <v>257.76483333333329</v>
      </c>
      <c r="H286" s="9">
        <v>1911.4703999999999</v>
      </c>
      <c r="I286" s="9">
        <v>0</v>
      </c>
      <c r="J286" s="9">
        <v>5101.2</v>
      </c>
      <c r="K286" s="9">
        <v>1638.4032</v>
      </c>
      <c r="L286" s="9">
        <v>0</v>
      </c>
      <c r="M286" s="9">
        <v>124.24557599999999</v>
      </c>
      <c r="N286" s="9">
        <v>79.13487456</v>
      </c>
      <c r="O286" s="9">
        <v>1435.0227494399999</v>
      </c>
      <c r="P286" s="9">
        <v>0</v>
      </c>
      <c r="Q286" s="9">
        <v>0</v>
      </c>
      <c r="R286" s="9">
        <v>0</v>
      </c>
      <c r="S286" s="9">
        <v>1638.4032</v>
      </c>
      <c r="T286" s="9">
        <v>1435.0227494399999</v>
      </c>
      <c r="U286" s="9">
        <v>0</v>
      </c>
      <c r="V286">
        <v>0</v>
      </c>
    </row>
    <row r="287" spans="1:22" x14ac:dyDescent="0.25">
      <c r="A287" t="s">
        <v>140</v>
      </c>
      <c r="B287" t="s">
        <v>183</v>
      </c>
      <c r="C287" t="s">
        <v>175</v>
      </c>
      <c r="D287" s="4">
        <v>1</v>
      </c>
      <c r="E287" s="4">
        <v>0</v>
      </c>
      <c r="F287" s="9">
        <v>1546.5889999999997</v>
      </c>
      <c r="G287" s="9">
        <v>257.76483333333329</v>
      </c>
      <c r="H287" s="9">
        <v>1911.4703999999999</v>
      </c>
      <c r="I287" s="9">
        <v>0</v>
      </c>
      <c r="J287" s="9">
        <v>5101.2</v>
      </c>
      <c r="K287" s="9">
        <v>1638.4032</v>
      </c>
      <c r="L287" s="9">
        <v>0</v>
      </c>
      <c r="M287" s="9">
        <v>124.24557599999999</v>
      </c>
      <c r="N287" s="9">
        <v>79.13487456</v>
      </c>
      <c r="O287" s="9">
        <v>1435.0227494399999</v>
      </c>
      <c r="P287" s="9">
        <v>0</v>
      </c>
      <c r="Q287" s="9">
        <v>0</v>
      </c>
      <c r="R287" s="9">
        <v>0</v>
      </c>
      <c r="S287" s="9">
        <v>1638.4032</v>
      </c>
      <c r="T287" s="9">
        <v>1435.0227494399999</v>
      </c>
      <c r="U287" s="9">
        <v>0</v>
      </c>
      <c r="V287">
        <v>0</v>
      </c>
    </row>
    <row r="288" spans="1:22" x14ac:dyDescent="0.25">
      <c r="A288" t="s">
        <v>140</v>
      </c>
      <c r="B288" t="s">
        <v>184</v>
      </c>
      <c r="C288" t="s">
        <v>175</v>
      </c>
      <c r="D288" s="4">
        <v>1</v>
      </c>
      <c r="E288" s="4">
        <v>0</v>
      </c>
      <c r="F288" s="9">
        <v>1546.5889999999997</v>
      </c>
      <c r="G288" s="9">
        <v>257.76483333333329</v>
      </c>
      <c r="H288" s="9">
        <v>1911.4703999999999</v>
      </c>
      <c r="I288" s="9">
        <v>0</v>
      </c>
      <c r="J288" s="9">
        <v>5101.2</v>
      </c>
      <c r="K288" s="9">
        <v>1638.4032</v>
      </c>
      <c r="L288" s="9">
        <v>0</v>
      </c>
      <c r="M288" s="9">
        <v>124.24557599999999</v>
      </c>
      <c r="N288" s="9">
        <v>79.13487456</v>
      </c>
      <c r="O288" s="9">
        <v>1435.0227494399999</v>
      </c>
      <c r="P288" s="9">
        <v>0</v>
      </c>
      <c r="Q288" s="9">
        <v>0</v>
      </c>
      <c r="R288" s="9">
        <v>0</v>
      </c>
      <c r="S288" s="9">
        <v>1638.4032</v>
      </c>
      <c r="T288" s="9">
        <v>1435.0227494399999</v>
      </c>
      <c r="U288" s="9">
        <v>0</v>
      </c>
      <c r="V288">
        <v>0</v>
      </c>
    </row>
    <row r="289" spans="1:22" x14ac:dyDescent="0.25">
      <c r="A289" t="s">
        <v>140</v>
      </c>
      <c r="B289" t="s">
        <v>185</v>
      </c>
      <c r="C289" t="s">
        <v>175</v>
      </c>
      <c r="D289" s="4">
        <v>1</v>
      </c>
      <c r="E289" s="4">
        <v>0</v>
      </c>
      <c r="F289" s="9">
        <v>1613.8319999999999</v>
      </c>
      <c r="G289" s="9">
        <v>268.97199999999998</v>
      </c>
      <c r="H289" s="9">
        <v>1911.4703999999999</v>
      </c>
      <c r="I289" s="9">
        <v>0</v>
      </c>
      <c r="J289" s="9">
        <v>5101.2</v>
      </c>
      <c r="K289" s="9">
        <v>1638.4032</v>
      </c>
      <c r="L289" s="9">
        <v>0</v>
      </c>
      <c r="M289" s="9">
        <v>124.24557599999999</v>
      </c>
      <c r="N289" s="9">
        <v>79.13487456</v>
      </c>
      <c r="O289" s="9">
        <v>1435.0227494399999</v>
      </c>
      <c r="P289" s="9">
        <v>0</v>
      </c>
      <c r="Q289" s="9">
        <v>0</v>
      </c>
      <c r="R289" s="9">
        <v>0</v>
      </c>
      <c r="S289" s="9">
        <v>1638.4032</v>
      </c>
      <c r="T289" s="9">
        <v>1435.0227494399999</v>
      </c>
      <c r="U289" s="9">
        <v>0</v>
      </c>
      <c r="V289">
        <v>0</v>
      </c>
    </row>
    <row r="290" spans="1:22" x14ac:dyDescent="0.25">
      <c r="A290" t="s">
        <v>140</v>
      </c>
      <c r="B290" t="s">
        <v>186</v>
      </c>
      <c r="C290" t="s">
        <v>175</v>
      </c>
      <c r="D290" s="4">
        <v>1</v>
      </c>
      <c r="E290" s="4">
        <v>0</v>
      </c>
      <c r="F290" s="9">
        <v>1613.8319999999999</v>
      </c>
      <c r="G290" s="9">
        <v>268.97199999999998</v>
      </c>
      <c r="H290" s="9">
        <v>1911.4703999999999</v>
      </c>
      <c r="I290" s="9">
        <v>0</v>
      </c>
      <c r="J290" s="9">
        <v>5101.2</v>
      </c>
      <c r="K290" s="9">
        <v>1638.4032</v>
      </c>
      <c r="L290" s="9">
        <v>0</v>
      </c>
      <c r="M290" s="9">
        <v>124.24557599999999</v>
      </c>
      <c r="N290" s="9">
        <v>79.13487456</v>
      </c>
      <c r="O290" s="9">
        <v>1435.0227494399999</v>
      </c>
      <c r="P290" s="9">
        <v>0</v>
      </c>
      <c r="Q290" s="9">
        <v>0</v>
      </c>
      <c r="R290" s="9">
        <v>0</v>
      </c>
      <c r="S290" s="9">
        <v>1638.4032</v>
      </c>
      <c r="T290" s="9">
        <v>1435.0227494399999</v>
      </c>
      <c r="U290" s="9">
        <v>0</v>
      </c>
      <c r="V290">
        <v>0</v>
      </c>
    </row>
    <row r="291" spans="1:22" x14ac:dyDescent="0.25">
      <c r="A291" t="s">
        <v>140</v>
      </c>
      <c r="B291" t="s">
        <v>187</v>
      </c>
      <c r="C291" t="s">
        <v>175</v>
      </c>
      <c r="D291" s="4">
        <v>1</v>
      </c>
      <c r="E291" s="4">
        <v>0</v>
      </c>
      <c r="F291" s="9">
        <v>1613.8319999999999</v>
      </c>
      <c r="G291" s="9">
        <v>268.97199999999998</v>
      </c>
      <c r="H291" s="9">
        <v>1911.4703999999999</v>
      </c>
      <c r="I291" s="9">
        <v>0</v>
      </c>
      <c r="J291" s="9">
        <v>5101.2</v>
      </c>
      <c r="K291" s="9">
        <v>1638.4032</v>
      </c>
      <c r="L291" s="9">
        <v>0</v>
      </c>
      <c r="M291" s="9">
        <v>124.24557599999999</v>
      </c>
      <c r="N291" s="9">
        <v>79.13487456</v>
      </c>
      <c r="O291" s="9">
        <v>1435.0227494399999</v>
      </c>
      <c r="P291" s="9">
        <v>0</v>
      </c>
      <c r="Q291" s="9">
        <v>0</v>
      </c>
      <c r="R291" s="9">
        <v>0</v>
      </c>
      <c r="S291" s="9">
        <v>1638.4032</v>
      </c>
      <c r="T291" s="9">
        <v>1435.0227494399999</v>
      </c>
      <c r="U291" s="9">
        <v>0</v>
      </c>
      <c r="V291">
        <v>0</v>
      </c>
    </row>
    <row r="292" spans="1:22" x14ac:dyDescent="0.25">
      <c r="A292" t="s">
        <v>140</v>
      </c>
      <c r="B292" t="s">
        <v>189</v>
      </c>
      <c r="C292" t="s">
        <v>175</v>
      </c>
      <c r="D292" s="4">
        <v>1</v>
      </c>
      <c r="E292" s="4">
        <v>0</v>
      </c>
      <c r="F292" s="9">
        <v>1613.8319999999999</v>
      </c>
      <c r="G292" s="9">
        <v>268.97199999999998</v>
      </c>
      <c r="H292" s="9">
        <v>1911.4703999999999</v>
      </c>
      <c r="I292" s="9">
        <v>0</v>
      </c>
      <c r="J292" s="9">
        <v>5101.2</v>
      </c>
      <c r="K292" s="9">
        <v>1638.4032</v>
      </c>
      <c r="L292" s="9">
        <v>0</v>
      </c>
      <c r="M292" s="9">
        <v>124.24557599999999</v>
      </c>
      <c r="N292" s="9">
        <v>79.13487456</v>
      </c>
      <c r="O292" s="9">
        <v>1435.0227494399999</v>
      </c>
      <c r="P292" s="9">
        <v>0</v>
      </c>
      <c r="Q292" s="9">
        <v>0</v>
      </c>
      <c r="R292" s="9">
        <v>0</v>
      </c>
      <c r="S292" s="9">
        <v>1638.4032</v>
      </c>
      <c r="T292" s="9">
        <v>1435.0227494399999</v>
      </c>
      <c r="U292" s="9">
        <v>0</v>
      </c>
      <c r="V292">
        <v>0</v>
      </c>
    </row>
  </sheetData>
  <mergeCells count="4">
    <mergeCell ref="A1:V1"/>
    <mergeCell ref="A2:V2"/>
    <mergeCell ref="X1:AE1"/>
    <mergeCell ref="X7:AE7"/>
  </mergeCells>
  <conditionalFormatting sqref="V5:V292">
    <cfRule type="expression" dxfId="1" priority="1">
      <formula>V5="REVISAR"</formula>
    </cfRule>
  </conditionalFormatting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L28"/>
  <sheetViews>
    <sheetView workbookViewId="0"/>
  </sheetViews>
  <sheetFormatPr baseColWidth="10" defaultColWidth="9.140625" defaultRowHeight="15" x14ac:dyDescent="0.25"/>
  <cols>
    <col min="1" max="1" width="20" customWidth="1"/>
    <col min="2" max="2" width="15" customWidth="1"/>
    <col min="3" max="3" width="18" customWidth="1"/>
    <col min="4" max="4" width="17" customWidth="1"/>
    <col min="5" max="5" width="18" customWidth="1"/>
    <col min="6" max="6" width="17" customWidth="1"/>
    <col min="7" max="8" width="18" customWidth="1"/>
    <col min="9" max="10" width="17" customWidth="1"/>
    <col min="11" max="11" width="18" customWidth="1"/>
    <col min="12" max="12" width="12" customWidth="1"/>
  </cols>
  <sheetData>
    <row r="1" spans="1:12" ht="26.1" customHeight="1" x14ac:dyDescent="0.3">
      <c r="A1" s="56" t="s">
        <v>377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</row>
    <row r="2" spans="1:12" x14ac:dyDescent="0.25">
      <c r="A2" s="57" t="s">
        <v>378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</row>
    <row r="4" spans="1:12" ht="30" x14ac:dyDescent="0.25">
      <c r="A4" s="23" t="s">
        <v>149</v>
      </c>
      <c r="B4" s="23" t="s">
        <v>379</v>
      </c>
      <c r="C4" s="23" t="s">
        <v>380</v>
      </c>
      <c r="D4" s="23" t="s">
        <v>381</v>
      </c>
      <c r="E4" s="23" t="s">
        <v>382</v>
      </c>
      <c r="F4" s="23" t="s">
        <v>383</v>
      </c>
      <c r="G4" s="23" t="s">
        <v>384</v>
      </c>
      <c r="H4" s="23" t="s">
        <v>385</v>
      </c>
      <c r="I4" s="23" t="s">
        <v>386</v>
      </c>
      <c r="J4" s="23" t="s">
        <v>387</v>
      </c>
      <c r="K4" s="23" t="s">
        <v>388</v>
      </c>
      <c r="L4" s="23" t="s">
        <v>331</v>
      </c>
    </row>
    <row r="5" spans="1:12" x14ac:dyDescent="0.25">
      <c r="A5" t="s">
        <v>91</v>
      </c>
      <c r="B5" s="2">
        <v>0</v>
      </c>
      <c r="C5" s="9">
        <v>138381.85459199996</v>
      </c>
      <c r="D5" s="9">
        <v>9868.6595839999991</v>
      </c>
      <c r="E5" s="9">
        <v>9868.6595839999991</v>
      </c>
      <c r="F5" s="9">
        <v>0</v>
      </c>
      <c r="G5" s="9">
        <v>138381.85459199996</v>
      </c>
      <c r="H5" s="9">
        <v>85886.752121574391</v>
      </c>
      <c r="I5" s="9">
        <v>0</v>
      </c>
      <c r="J5" s="9">
        <v>85886.752121574391</v>
      </c>
      <c r="K5" s="9">
        <v>158944.18562086829</v>
      </c>
      <c r="L5" t="s">
        <v>278</v>
      </c>
    </row>
    <row r="6" spans="1:12" x14ac:dyDescent="0.25">
      <c r="A6" t="s">
        <v>96</v>
      </c>
      <c r="B6" s="2">
        <v>0</v>
      </c>
      <c r="C6" s="9">
        <v>177644.32</v>
      </c>
      <c r="D6" s="9">
        <v>12688.879999999997</v>
      </c>
      <c r="E6" s="9">
        <v>12688.879999999997</v>
      </c>
      <c r="F6" s="9">
        <v>0</v>
      </c>
      <c r="G6" s="9">
        <v>177644.32</v>
      </c>
      <c r="H6" s="9">
        <v>106081.49522</v>
      </c>
      <c r="I6" s="9">
        <v>0</v>
      </c>
      <c r="J6" s="9">
        <v>106081.49522</v>
      </c>
      <c r="K6" s="9">
        <v>198685.20451199997</v>
      </c>
      <c r="L6" t="s">
        <v>278</v>
      </c>
    </row>
    <row r="7" spans="1:12" x14ac:dyDescent="0.25">
      <c r="A7" t="s">
        <v>98</v>
      </c>
      <c r="B7" s="2">
        <v>0</v>
      </c>
      <c r="C7" s="9">
        <v>18816.901109999999</v>
      </c>
      <c r="D7" s="9">
        <v>1344.0643650000002</v>
      </c>
      <c r="E7" s="9">
        <v>1344.0643650000002</v>
      </c>
      <c r="F7" s="9">
        <v>0</v>
      </c>
      <c r="G7" s="9">
        <v>18816.901109999999</v>
      </c>
      <c r="H7" s="9">
        <v>16329.306783258004</v>
      </c>
      <c r="I7" s="9">
        <v>0</v>
      </c>
      <c r="J7" s="9">
        <v>16329.306783258004</v>
      </c>
      <c r="K7" s="9">
        <v>24866.534816865005</v>
      </c>
      <c r="L7" t="s">
        <v>278</v>
      </c>
    </row>
    <row r="8" spans="1:12" x14ac:dyDescent="0.25">
      <c r="A8" t="s">
        <v>100</v>
      </c>
      <c r="B8" s="2">
        <v>0</v>
      </c>
      <c r="C8" s="9">
        <v>55270.63584000001</v>
      </c>
      <c r="D8" s="9">
        <v>3947.90256</v>
      </c>
      <c r="E8" s="9">
        <v>3947.90256</v>
      </c>
      <c r="F8" s="9">
        <v>0</v>
      </c>
      <c r="G8" s="9">
        <v>55270.63584000001</v>
      </c>
      <c r="H8" s="9">
        <v>38650.755642912009</v>
      </c>
      <c r="I8" s="9">
        <v>0</v>
      </c>
      <c r="J8" s="9">
        <v>38650.755642912009</v>
      </c>
      <c r="K8" s="9">
        <v>73040.145262560007</v>
      </c>
      <c r="L8" t="s">
        <v>278</v>
      </c>
    </row>
    <row r="9" spans="1:12" x14ac:dyDescent="0.25">
      <c r="A9" t="s">
        <v>102</v>
      </c>
      <c r="B9" s="2">
        <v>0</v>
      </c>
      <c r="C9" s="9">
        <v>20647.462439999996</v>
      </c>
      <c r="D9" s="9">
        <v>1473.2398799999999</v>
      </c>
      <c r="E9" s="9">
        <v>1473.2398799999999</v>
      </c>
      <c r="F9" s="9">
        <v>0</v>
      </c>
      <c r="G9" s="9">
        <v>20647.462439999996</v>
      </c>
      <c r="H9" s="9">
        <v>17345.7288797</v>
      </c>
      <c r="I9" s="9">
        <v>0</v>
      </c>
      <c r="J9" s="9">
        <v>17345.7288797</v>
      </c>
      <c r="K9" s="9">
        <v>27286.806026890004</v>
      </c>
      <c r="L9" t="s">
        <v>278</v>
      </c>
    </row>
    <row r="10" spans="1:12" x14ac:dyDescent="0.25">
      <c r="A10" t="s">
        <v>104</v>
      </c>
      <c r="B10" s="2">
        <v>0</v>
      </c>
      <c r="C10" s="9">
        <v>22225.50477</v>
      </c>
      <c r="D10" s="9">
        <v>1568.0570849999999</v>
      </c>
      <c r="E10" s="9">
        <v>1636.2334799999999</v>
      </c>
      <c r="F10" s="9">
        <v>0</v>
      </c>
      <c r="G10" s="9">
        <v>22225.50477</v>
      </c>
      <c r="H10" s="9">
        <v>19065.447050075996</v>
      </c>
      <c r="I10" s="9">
        <v>0</v>
      </c>
      <c r="J10" s="9">
        <v>19065.447050075996</v>
      </c>
      <c r="K10" s="9">
        <v>29360.04519805875</v>
      </c>
      <c r="L10" t="s">
        <v>278</v>
      </c>
    </row>
    <row r="11" spans="1:12" x14ac:dyDescent="0.25">
      <c r="A11" t="s">
        <v>106</v>
      </c>
      <c r="B11" s="2">
        <v>0</v>
      </c>
      <c r="C11" s="9">
        <v>55806.718380000006</v>
      </c>
      <c r="D11" s="9">
        <v>3986.1941699999998</v>
      </c>
      <c r="E11" s="9">
        <v>3986.1941699999998</v>
      </c>
      <c r="F11" s="9">
        <v>0</v>
      </c>
      <c r="G11" s="9">
        <v>55806.718380000006</v>
      </c>
      <c r="H11" s="9">
        <v>37825.793717963999</v>
      </c>
      <c r="I11" s="9">
        <v>0</v>
      </c>
      <c r="J11" s="9">
        <v>37825.793717963999</v>
      </c>
      <c r="K11" s="9">
        <v>73748.57833917001</v>
      </c>
      <c r="L11" t="s">
        <v>278</v>
      </c>
    </row>
    <row r="12" spans="1:12" x14ac:dyDescent="0.25">
      <c r="A12" t="s">
        <v>108</v>
      </c>
      <c r="B12" s="2">
        <v>0</v>
      </c>
      <c r="C12" s="9">
        <v>33598.167119999998</v>
      </c>
      <c r="D12" s="9">
        <v>2439.4708799999994</v>
      </c>
      <c r="E12" s="9">
        <v>2439.4708799999994</v>
      </c>
      <c r="F12" s="9">
        <v>0</v>
      </c>
      <c r="G12" s="9">
        <v>33598.167119999998</v>
      </c>
      <c r="H12" s="9">
        <v>26236.951006475989</v>
      </c>
      <c r="I12" s="9">
        <v>0</v>
      </c>
      <c r="J12" s="9">
        <v>26236.951006475989</v>
      </c>
      <c r="K12" s="9">
        <v>44370.269898779996</v>
      </c>
      <c r="L12" t="s">
        <v>278</v>
      </c>
    </row>
    <row r="13" spans="1:12" x14ac:dyDescent="0.25">
      <c r="A13" t="s">
        <v>110</v>
      </c>
      <c r="B13" s="2">
        <v>0</v>
      </c>
      <c r="C13" s="9">
        <v>185614.97499999995</v>
      </c>
      <c r="D13" s="9">
        <v>13258.2125</v>
      </c>
      <c r="E13" s="9">
        <v>13258.2125</v>
      </c>
      <c r="F13" s="9">
        <v>0</v>
      </c>
      <c r="G13" s="9">
        <v>185614.97499999995</v>
      </c>
      <c r="H13" s="9">
        <v>111700.718368</v>
      </c>
      <c r="I13" s="9">
        <v>0</v>
      </c>
      <c r="J13" s="9">
        <v>111700.718368</v>
      </c>
      <c r="K13" s="9">
        <v>206753.10150300004</v>
      </c>
      <c r="L13" t="s">
        <v>278</v>
      </c>
    </row>
    <row r="14" spans="1:12" x14ac:dyDescent="0.25">
      <c r="A14" t="s">
        <v>112</v>
      </c>
      <c r="B14" s="2">
        <v>0</v>
      </c>
      <c r="C14" s="9">
        <v>26871.542129999998</v>
      </c>
      <c r="D14" s="9">
        <v>1929.6080099999999</v>
      </c>
      <c r="E14" s="9">
        <v>1929.6080099999999</v>
      </c>
      <c r="F14" s="9">
        <v>0</v>
      </c>
      <c r="G14" s="9">
        <v>26871.542129999998</v>
      </c>
      <c r="H14" s="9">
        <v>21039.145046543003</v>
      </c>
      <c r="I14" s="9">
        <v>0</v>
      </c>
      <c r="J14" s="9">
        <v>21039.145046543003</v>
      </c>
      <c r="K14" s="9">
        <v>35503.082115092497</v>
      </c>
      <c r="L14" t="s">
        <v>278</v>
      </c>
    </row>
    <row r="15" spans="1:12" x14ac:dyDescent="0.25">
      <c r="A15" t="s">
        <v>114</v>
      </c>
      <c r="B15" s="2">
        <v>0</v>
      </c>
      <c r="C15" s="9">
        <v>104964.61500000003</v>
      </c>
      <c r="D15" s="9">
        <v>7497.4724999999999</v>
      </c>
      <c r="E15" s="9">
        <v>7497.4724999999999</v>
      </c>
      <c r="F15" s="9">
        <v>0</v>
      </c>
      <c r="G15" s="9">
        <v>104964.61500000003</v>
      </c>
      <c r="H15" s="9">
        <v>66504.677058000001</v>
      </c>
      <c r="I15" s="9">
        <v>0</v>
      </c>
      <c r="J15" s="9">
        <v>66504.677058000001</v>
      </c>
      <c r="K15" s="9">
        <v>125118.80711100002</v>
      </c>
      <c r="L15" t="s">
        <v>278</v>
      </c>
    </row>
    <row r="16" spans="1:12" x14ac:dyDescent="0.25">
      <c r="A16" t="s">
        <v>116</v>
      </c>
      <c r="B16" s="2">
        <v>10.5</v>
      </c>
      <c r="C16" s="9">
        <v>80769.029374999984</v>
      </c>
      <c r="D16" s="9">
        <v>5993.7749999999996</v>
      </c>
      <c r="E16" s="9">
        <v>5993.7749999999996</v>
      </c>
      <c r="F16" s="9">
        <v>1785.42</v>
      </c>
      <c r="G16" s="9">
        <v>82697.075624999998</v>
      </c>
      <c r="H16" s="9">
        <v>52572.425548427076</v>
      </c>
      <c r="I16" s="9">
        <v>1710.9638</v>
      </c>
      <c r="J16" s="9">
        <v>54283.389348427081</v>
      </c>
      <c r="K16" s="9">
        <v>100774.98137025</v>
      </c>
      <c r="L16" t="s">
        <v>278</v>
      </c>
    </row>
    <row r="17" spans="1:12" x14ac:dyDescent="0.25">
      <c r="A17" t="s">
        <v>118</v>
      </c>
      <c r="B17" s="2">
        <v>0</v>
      </c>
      <c r="C17" s="9">
        <v>106986.15899999997</v>
      </c>
      <c r="D17" s="9">
        <v>7641.8684999999996</v>
      </c>
      <c r="E17" s="9">
        <v>7641.8684999999996</v>
      </c>
      <c r="F17" s="9">
        <v>0</v>
      </c>
      <c r="G17" s="9">
        <v>106986.15899999997</v>
      </c>
      <c r="H17" s="9">
        <v>67613.043372299988</v>
      </c>
      <c r="I17" s="9">
        <v>0</v>
      </c>
      <c r="J17" s="9">
        <v>67613.043372299988</v>
      </c>
      <c r="K17" s="9">
        <v>127165.01394779999</v>
      </c>
      <c r="L17" t="s">
        <v>278</v>
      </c>
    </row>
    <row r="18" spans="1:12" x14ac:dyDescent="0.25">
      <c r="A18" t="s">
        <v>120</v>
      </c>
      <c r="B18" s="2">
        <v>0</v>
      </c>
      <c r="C18" s="9">
        <v>86115.992960000003</v>
      </c>
      <c r="D18" s="9">
        <v>6162.1459200000008</v>
      </c>
      <c r="E18" s="9">
        <v>6162.1459200000008</v>
      </c>
      <c r="F18" s="9">
        <v>0</v>
      </c>
      <c r="G18" s="9">
        <v>86115.992960000003</v>
      </c>
      <c r="H18" s="9">
        <v>56205.028956256006</v>
      </c>
      <c r="I18" s="9">
        <v>0</v>
      </c>
      <c r="J18" s="9">
        <v>56205.028956256006</v>
      </c>
      <c r="K18" s="9">
        <v>106050.23495492266</v>
      </c>
      <c r="L18" t="s">
        <v>278</v>
      </c>
    </row>
    <row r="19" spans="1:12" x14ac:dyDescent="0.25">
      <c r="A19" t="s">
        <v>122</v>
      </c>
      <c r="B19" s="2">
        <v>0</v>
      </c>
      <c r="C19" s="9">
        <v>82382.151600000027</v>
      </c>
      <c r="D19" s="9">
        <v>5884.4394000000002</v>
      </c>
      <c r="E19" s="9">
        <v>5884.4394000000002</v>
      </c>
      <c r="F19" s="9">
        <v>0</v>
      </c>
      <c r="G19" s="9">
        <v>82382.151600000027</v>
      </c>
      <c r="H19" s="9">
        <v>54617.451518519993</v>
      </c>
      <c r="I19" s="9">
        <v>0</v>
      </c>
      <c r="J19" s="9">
        <v>54617.451518519993</v>
      </c>
      <c r="K19" s="9">
        <v>102277.82866464001</v>
      </c>
      <c r="L19" t="s">
        <v>278</v>
      </c>
    </row>
    <row r="20" spans="1:12" x14ac:dyDescent="0.25">
      <c r="A20" t="s">
        <v>124</v>
      </c>
      <c r="B20" s="2">
        <v>0</v>
      </c>
      <c r="C20" s="9">
        <v>31370.37183</v>
      </c>
      <c r="D20" s="9">
        <v>2246.4716400000002</v>
      </c>
      <c r="E20" s="9">
        <v>2246.4716400000002</v>
      </c>
      <c r="F20" s="9">
        <v>0</v>
      </c>
      <c r="G20" s="9">
        <v>31370.37183</v>
      </c>
      <c r="H20" s="9">
        <v>24001.476835874997</v>
      </c>
      <c r="I20" s="9">
        <v>0</v>
      </c>
      <c r="J20" s="9">
        <v>24001.476835874997</v>
      </c>
      <c r="K20" s="9">
        <v>41451.647321962511</v>
      </c>
      <c r="L20" t="s">
        <v>278</v>
      </c>
    </row>
    <row r="21" spans="1:12" x14ac:dyDescent="0.25">
      <c r="A21" t="s">
        <v>126</v>
      </c>
      <c r="B21" s="2">
        <v>0</v>
      </c>
      <c r="C21" s="9">
        <v>55512.656640000008</v>
      </c>
      <c r="D21" s="9">
        <v>3965.1897599999998</v>
      </c>
      <c r="E21" s="9">
        <v>3965.1897599999998</v>
      </c>
      <c r="F21" s="9">
        <v>0</v>
      </c>
      <c r="G21" s="9">
        <v>55512.656640000008</v>
      </c>
      <c r="H21" s="9">
        <v>38797.795725696</v>
      </c>
      <c r="I21" s="9">
        <v>0</v>
      </c>
      <c r="J21" s="9">
        <v>38797.795725696</v>
      </c>
      <c r="K21" s="9">
        <v>73359.975749759978</v>
      </c>
      <c r="L21" t="s">
        <v>278</v>
      </c>
    </row>
    <row r="22" spans="1:12" x14ac:dyDescent="0.25">
      <c r="A22" t="s">
        <v>128</v>
      </c>
      <c r="B22" s="2">
        <v>0</v>
      </c>
      <c r="C22" s="9">
        <v>31311.626219999995</v>
      </c>
      <c r="D22" s="9">
        <v>2205.0441000000001</v>
      </c>
      <c r="E22" s="9">
        <v>2315.2963049999998</v>
      </c>
      <c r="F22" s="9">
        <v>0</v>
      </c>
      <c r="G22" s="9">
        <v>31311.626219999995</v>
      </c>
      <c r="H22" s="9">
        <v>23985.102592457995</v>
      </c>
      <c r="I22" s="9">
        <v>0</v>
      </c>
      <c r="J22" s="9">
        <v>23985.102592457995</v>
      </c>
      <c r="K22" s="9">
        <v>41360.591007776253</v>
      </c>
      <c r="L22" t="s">
        <v>278</v>
      </c>
    </row>
    <row r="23" spans="1:12" x14ac:dyDescent="0.25">
      <c r="A23" t="s">
        <v>130</v>
      </c>
      <c r="B23" s="2">
        <v>0</v>
      </c>
      <c r="C23" s="9">
        <v>28875.187699999988</v>
      </c>
      <c r="D23" s="9">
        <v>2058.1028999999999</v>
      </c>
      <c r="E23" s="9">
        <v>2058.1028999999999</v>
      </c>
      <c r="F23" s="9">
        <v>0</v>
      </c>
      <c r="G23" s="9">
        <v>28875.187699999988</v>
      </c>
      <c r="H23" s="9">
        <v>22358.667635983329</v>
      </c>
      <c r="I23" s="9">
        <v>0</v>
      </c>
      <c r="J23" s="9">
        <v>22358.667635983329</v>
      </c>
      <c r="K23" s="9">
        <v>38161.869160991671</v>
      </c>
      <c r="L23" t="s">
        <v>278</v>
      </c>
    </row>
    <row r="24" spans="1:12" x14ac:dyDescent="0.25">
      <c r="A24" t="s">
        <v>132</v>
      </c>
      <c r="B24" s="2">
        <v>0</v>
      </c>
      <c r="C24" s="9">
        <v>25999.959999999995</v>
      </c>
      <c r="D24" s="9">
        <v>1857.14</v>
      </c>
      <c r="E24" s="9">
        <v>1857.14</v>
      </c>
      <c r="F24" s="9">
        <v>0</v>
      </c>
      <c r="G24" s="9">
        <v>25999.959999999995</v>
      </c>
      <c r="H24" s="9">
        <v>20503.568456000005</v>
      </c>
      <c r="I24" s="9">
        <v>0</v>
      </c>
      <c r="J24" s="9">
        <v>20503.568456000005</v>
      </c>
      <c r="K24" s="9">
        <v>34358.947139999997</v>
      </c>
      <c r="L24" t="s">
        <v>278</v>
      </c>
    </row>
    <row r="25" spans="1:12" x14ac:dyDescent="0.25">
      <c r="A25" t="s">
        <v>134</v>
      </c>
      <c r="B25" s="2">
        <v>0</v>
      </c>
      <c r="C25" s="9">
        <v>100027.20000000003</v>
      </c>
      <c r="D25" s="9">
        <v>7144.7999999999993</v>
      </c>
      <c r="E25" s="9">
        <v>7144.7999999999993</v>
      </c>
      <c r="F25" s="9">
        <v>0</v>
      </c>
      <c r="G25" s="9">
        <v>100027.20000000003</v>
      </c>
      <c r="H25" s="9">
        <v>65827.324367999972</v>
      </c>
      <c r="I25" s="9">
        <v>0</v>
      </c>
      <c r="J25" s="9">
        <v>65827.324367999972</v>
      </c>
      <c r="K25" s="9">
        <v>120121.15564800003</v>
      </c>
      <c r="L25" t="s">
        <v>278</v>
      </c>
    </row>
    <row r="26" spans="1:12" x14ac:dyDescent="0.25">
      <c r="A26" t="s">
        <v>136</v>
      </c>
      <c r="B26" s="2">
        <v>0</v>
      </c>
      <c r="C26" s="9">
        <v>21092.112720000001</v>
      </c>
      <c r="D26" s="9">
        <v>1506.5794800000001</v>
      </c>
      <c r="E26" s="9">
        <v>1506.5794800000001</v>
      </c>
      <c r="F26" s="9">
        <v>0</v>
      </c>
      <c r="G26" s="9">
        <v>21092.112720000001</v>
      </c>
      <c r="H26" s="9">
        <v>17479.033811063997</v>
      </c>
      <c r="I26" s="9">
        <v>0</v>
      </c>
      <c r="J26" s="9">
        <v>17479.033811063997</v>
      </c>
      <c r="K26" s="9">
        <v>27873.226959480002</v>
      </c>
      <c r="L26" t="s">
        <v>278</v>
      </c>
    </row>
    <row r="27" spans="1:12" x14ac:dyDescent="0.25">
      <c r="A27" t="s">
        <v>138</v>
      </c>
      <c r="B27" s="2">
        <v>0</v>
      </c>
      <c r="C27" s="9">
        <v>35418.678625</v>
      </c>
      <c r="D27" s="9">
        <v>2526.1166250000001</v>
      </c>
      <c r="E27" s="9">
        <v>2579.1624999999999</v>
      </c>
      <c r="F27" s="9">
        <v>0</v>
      </c>
      <c r="G27" s="9">
        <v>35418.678625</v>
      </c>
      <c r="H27" s="9">
        <v>26690.440462300008</v>
      </c>
      <c r="I27" s="9">
        <v>0</v>
      </c>
      <c r="J27" s="9">
        <v>26690.440462300008</v>
      </c>
      <c r="K27" s="9">
        <v>46788.729554124991</v>
      </c>
      <c r="L27" t="s">
        <v>278</v>
      </c>
    </row>
    <row r="28" spans="1:12" x14ac:dyDescent="0.25">
      <c r="A28" t="s">
        <v>140</v>
      </c>
      <c r="B28" s="2">
        <v>0</v>
      </c>
      <c r="C28" s="9">
        <v>22664.577600000004</v>
      </c>
      <c r="D28" s="9">
        <v>1638.4032</v>
      </c>
      <c r="E28" s="9">
        <v>1638.4032</v>
      </c>
      <c r="F28" s="9">
        <v>0</v>
      </c>
      <c r="G28" s="9">
        <v>22664.577600000004</v>
      </c>
      <c r="H28" s="9">
        <v>20101.837376880001</v>
      </c>
      <c r="I28" s="9">
        <v>0</v>
      </c>
      <c r="J28" s="9">
        <v>20101.837376880001</v>
      </c>
      <c r="K28" s="9">
        <v>29936.607447599996</v>
      </c>
      <c r="L28" t="s">
        <v>278</v>
      </c>
    </row>
  </sheetData>
  <mergeCells count="2">
    <mergeCell ref="A1:L1"/>
    <mergeCell ref="A2:L2"/>
  </mergeCells>
  <conditionalFormatting sqref="L5:L28">
    <cfRule type="expression" dxfId="0" priority="1">
      <formula>L5="REVISAR"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31</vt:i4>
      </vt:variant>
    </vt:vector>
  </HeadingPairs>
  <TitlesOfParts>
    <vt:vector size="31" baseType="lpstr">
      <vt:lpstr>CONFIG_SS_2026</vt:lpstr>
      <vt:lpstr>EMPLEADOS</vt:lpstr>
      <vt:lpstr>VARIABLES_2026</vt:lpstr>
      <vt:lpstr>CALCULO_2026</vt:lpstr>
      <vt:lpstr>BONUS_2026</vt:lpstr>
      <vt:lpstr>F_TRABAJADOR_1</vt:lpstr>
      <vt:lpstr>F_TRABAJADOR_2</vt:lpstr>
      <vt:lpstr>F_TRABAJADOR_3</vt:lpstr>
      <vt:lpstr>F_TRABAJADOR_4</vt:lpstr>
      <vt:lpstr>F_TRABAJADOR_5</vt:lpstr>
      <vt:lpstr>F_TRABAJADOR_6</vt:lpstr>
      <vt:lpstr>F_TRABAJADOR_7</vt:lpstr>
      <vt:lpstr>F_TRABAJADOR_8</vt:lpstr>
      <vt:lpstr>F_TRABAJADOR_9</vt:lpstr>
      <vt:lpstr>F_TRABAJADOR_10</vt:lpstr>
      <vt:lpstr>F_TRABAJADOR_11</vt:lpstr>
      <vt:lpstr>F_TRABAJADOR_12</vt:lpstr>
      <vt:lpstr>F_TRABAJADOR_13</vt:lpstr>
      <vt:lpstr>F_TRABAJADOR_14</vt:lpstr>
      <vt:lpstr>F_TRABAJADOR_15</vt:lpstr>
      <vt:lpstr>F_TRABAJADOR_16</vt:lpstr>
      <vt:lpstr>F_TRABAJADOR_17</vt:lpstr>
      <vt:lpstr>F_TRABAJADOR_18</vt:lpstr>
      <vt:lpstr>F_TRABAJADOR_19</vt:lpstr>
      <vt:lpstr>F_TRABAJADOR_20</vt:lpstr>
      <vt:lpstr>F_TRABAJADOR_21</vt:lpstr>
      <vt:lpstr>F_TRABAJADOR_22</vt:lpstr>
      <vt:lpstr>F_TRABAJADOR_23</vt:lpstr>
      <vt:lpstr>F_TRABAJADOR_24</vt:lpstr>
      <vt:lpstr>EMPRESA_INSS_2026</vt:lpstr>
      <vt:lpstr>RESUMEN_ANUAL_INSS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Ismael Míguez Valero</cp:lastModifiedBy>
  <dcterms:modified xsi:type="dcterms:W3CDTF">2026-10-22T20:38:55Z</dcterms:modified>
</cp:coreProperties>
</file>